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namedSheetViews/namedSheetView1.xml" ContentType="application/vnd.ms-excel.namedsheetview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C:\Users\Windows 11\Downloads\"/>
    </mc:Choice>
  </mc:AlternateContent>
  <xr:revisionPtr revIDLastSave="0" documentId="8_{5A67F91A-4B03-4F89-87CC-AB106C3F5BE2}" xr6:coauthVersionLast="47" xr6:coauthVersionMax="47" xr10:uidLastSave="{00000000-0000-0000-0000-000000000000}"/>
  <bookViews>
    <workbookView xWindow="30" yWindow="-16320" windowWidth="29040" windowHeight="15720" activeTab="7" xr2:uid="{00000000-000D-0000-FFFF-FFFF00000000}"/>
  </bookViews>
  <sheets>
    <sheet name="Controle Contas" sheetId="2" r:id="rId1"/>
    <sheet name="Limite Câmbio Clientes" sheetId="21" r:id="rId2"/>
    <sheet name="Dados" sheetId="16" state="hidden" r:id="rId3"/>
    <sheet name="BTG2" sheetId="17" state="hidden" r:id="rId4"/>
    <sheet name="Cadastro de assessores" sheetId="18" state="hidden" r:id="rId5"/>
    <sheet name="Saídas" sheetId="19" state="hidden" r:id="rId6"/>
    <sheet name="Tabelas Fee" sheetId="22" r:id="rId7"/>
    <sheet name="Contas Atívore" sheetId="23" r:id="rId8"/>
  </sheets>
  <definedNames>
    <definedName name="_xlnm._FilterDatabase" localSheetId="6" hidden="1">'Tabelas Fee'!$F$19:$F$19</definedName>
    <definedName name="_xlnm._FilterDatabase" localSheetId="0" hidden="1">'Controle Contas'!$A$1:$AV$142</definedName>
    <definedName name="Z_008E127E_C544_4EFA_BE3B_1D75A2D8A540_.wvu.FilterData" localSheetId="0" hidden="1">'Controle Contas'!#REF!</definedName>
    <definedName name="Z_00AA877A_D943_4DEE_A9D0_0327E6881B5D_.wvu.FilterData" localSheetId="0" hidden="1">'Controle Contas'!$D$1:$Z$98</definedName>
    <definedName name="Z_04B94E89_4EC8_4751_9D2C_F81029B1E06C_.wvu.FilterData" localSheetId="0" hidden="1">'Controle Contas'!$A$1:$Z$98</definedName>
    <definedName name="Z_0729D9A8_3FDD_4208_913C_5898A32EB14C_.wvu.FilterData" localSheetId="0" hidden="1">'Controle Contas'!$A$1:$Z$98</definedName>
    <definedName name="Z_07518316_F8A7_4EB0_947D_572D32265DD6_.wvu.FilterData" localSheetId="0" hidden="1">'Controle Contas'!$K$1:$K$98</definedName>
    <definedName name="Z_09D69132_6565_4C75_B6C1_799CDAE8D0C1_.wvu.FilterData" localSheetId="0" hidden="1">'Controle Contas'!$A$1:$Z$98</definedName>
    <definedName name="Z_0BA908DD_2BB4_48DD_992D_A06F463B3C10_.wvu.FilterData" localSheetId="0" hidden="1">'Controle Contas'!$A$1:$Z$98</definedName>
    <definedName name="Z_0C093EF2_FE71_4A36_A5D0_0CC1ED345771_.wvu.FilterData" localSheetId="0" hidden="1">'Controle Contas'!$A$1:$Z$98</definedName>
    <definedName name="Z_0C29AC0F_29EE_43E2_A3A9_238CF9B4E828_.wvu.FilterData" localSheetId="0" hidden="1">'Controle Contas'!$A$1:$Z$98</definedName>
    <definedName name="Z_0F1F1A7D_DBBA_48E6_8155_A22F73061F6A_.wvu.FilterData" localSheetId="0" hidden="1">'Controle Contas'!$A$1:$Z$98</definedName>
    <definedName name="Z_11E82F7A_A513_409C_8889_85D2D04EAA93_.wvu.FilterData" localSheetId="0" hidden="1">'Controle Contas'!$D$1:$Z$98</definedName>
    <definedName name="Z_123EA29C_8E07_4455_925A_02BED419E6D8_.wvu.FilterData" localSheetId="0" hidden="1">'Controle Contas'!$A$1:$Z$98</definedName>
    <definedName name="Z_14F2BC0A_D0DC_4C31_B463_CFE61D5BFA16_.wvu.FilterData" localSheetId="0" hidden="1">'Controle Contas'!$K$1:$K$98</definedName>
    <definedName name="Z_165CC5BD_C6DE_42CC_8EC5_314C1EF5C23C_.wvu.FilterData" localSheetId="0" hidden="1">'Controle Contas'!$A$1:$Z$98</definedName>
    <definedName name="Z_18202B43_11E2_4360_89B4_BC3A5A4F1DF4_.wvu.FilterData" localSheetId="0" hidden="1">'Controle Contas'!$A$1:$Z$98</definedName>
    <definedName name="Z_182CC3BD_F05F_4640_93AB_3E742A49D2F4_.wvu.FilterData" localSheetId="0" hidden="1">'Controle Contas'!$A$1:$Z$98</definedName>
    <definedName name="Z_190E4C1F_122C_47B6_9AB6_5AD0DE5AE794_.wvu.FilterData" localSheetId="0" hidden="1">'Controle Contas'!$A$1:$Z$98</definedName>
    <definedName name="Z_1A2D0BEE_A1E7_4868_B0E7_2299906D2EC9_.wvu.FilterData" localSheetId="0" hidden="1">'Controle Contas'!$A$1:$Z$98</definedName>
    <definedName name="Z_1ACE75D4_78FB_433B_A252_49AC148C336D_.wvu.FilterData" localSheetId="0" hidden="1">'Controle Contas'!$D$1:$Z$98</definedName>
    <definedName name="Z_1B04E56E_E798_4C11_95F4_24698B8E55CF_.wvu.FilterData" localSheetId="0" hidden="1">'Controle Contas'!$A$1:$Z$98</definedName>
    <definedName name="Z_1B124F6D_7E9E_4A11_BA68_19BF451F357B_.wvu.FilterData" localSheetId="0" hidden="1">'Controle Contas'!$A$1:$Z$98</definedName>
    <definedName name="Z_1B54CF81_2EE6_41A0_8DAF_9EC2BA627E83_.wvu.FilterData" localSheetId="0" hidden="1">'Controle Contas'!$A$1:$Z$98</definedName>
    <definedName name="Z_1CA5E0BF_68F0_49B9_BAC3_D5150E9684AC_.wvu.FilterData" localSheetId="0" hidden="1">'Controle Contas'!$A$1:$Z$98</definedName>
    <definedName name="Z_1CC9FC42_DA3F_4C4C_8D11_5290D572985F_.wvu.FilterData" localSheetId="0" hidden="1">'Controle Contas'!#REF!</definedName>
    <definedName name="Z_1D2CBD60_F563_4C95_AD64_98422B83043F_.wvu.FilterData" localSheetId="0" hidden="1">'Controle Contas'!$A$1:$Z$98</definedName>
    <definedName name="Z_1E3418C5_BE5C_4169_B722_868C56F47867_.wvu.FilterData" localSheetId="0" hidden="1">'Controle Contas'!$A$1:$Z$98</definedName>
    <definedName name="Z_1FE7E5D8_7F24_4EC5_B50B_B798FF734343_.wvu.FilterData" localSheetId="0" hidden="1">'Controle Contas'!$D$1:$Z$98</definedName>
    <definedName name="Z_20EDE9E2_012B_4D94_BBFB_E727994B300D_.wvu.FilterData" localSheetId="0" hidden="1">'Controle Contas'!$J$1:$M$98</definedName>
    <definedName name="Z_24DA35F3_A183_4043_B5A3_CCE9C654A418_.wvu.FilterData" localSheetId="0" hidden="1">'Controle Contas'!$D$1:$Z$98</definedName>
    <definedName name="Z_2A7C5A02_283B_4AF0_9172_FB25C169B4CC_.wvu.FilterData" localSheetId="0" hidden="1">'Controle Contas'!$I$1:$J$98</definedName>
    <definedName name="Z_2ACEDE0F_F9B4_496A_AEDF_A3455844D0F1_.wvu.FilterData" localSheetId="0" hidden="1">'Controle Contas'!$I$1:$K$98</definedName>
    <definedName name="Z_2E5ACC8C_CE46_4BA3_BF00_8C87FFA2314F_.wvu.FilterData" localSheetId="0" hidden="1">'Controle Contas'!$D$1:$Z$98</definedName>
    <definedName name="Z_308A98F0_B886_4603_9AAA_7507D9F3FDF3_.wvu.FilterData" localSheetId="0" hidden="1">'Controle Contas'!$A$1:$Z$98</definedName>
    <definedName name="Z_30DCFFE6_AC46_4E31_A4DE_A50A8DB8D6EE_.wvu.FilterData" localSheetId="0" hidden="1">'Controle Contas'!$D$1:$Z$98</definedName>
    <definedName name="Z_31229629_4FD1_448B_A266_475AA52A7FB8_.wvu.FilterData" localSheetId="0" hidden="1">'Controle Contas'!$I$1:$J$98</definedName>
    <definedName name="Z_32F40765_F481_472F_9579_B1764A204508_.wvu.FilterData" localSheetId="0" hidden="1">'Controle Contas'!$A$1:$Z$98</definedName>
    <definedName name="Z_351F5E9C_A977_48CE_983D_BE49DC49D48F_.wvu.FilterData" localSheetId="0" hidden="1">'Controle Contas'!$A$1:$Z$98</definedName>
    <definedName name="Z_3B3B7747_6ACF_4D69_A9DA_2034D46A0C17_.wvu.FilterData" localSheetId="0" hidden="1">'Controle Contas'!$I$1:$Z$98</definedName>
    <definedName name="Z_3D664E02_DE09_446D_8677_45A9E129B71A_.wvu.FilterData" localSheetId="0" hidden="1">'Controle Contas'!$A$1:$Z$98</definedName>
    <definedName name="Z_3D6B9F54_BE99_4813_98C8_B7E13E17DB44_.wvu.FilterData" localSheetId="0" hidden="1">'Controle Contas'!$A$1:$Z$98</definedName>
    <definedName name="Z_3D93ED61_EE7D_4D34_AA35_E3A99D2818CC_.wvu.FilterData" localSheetId="0" hidden="1">'Controle Contas'!$A$1:$Z$98</definedName>
    <definedName name="Z_3E739D3D_4612_4A7D_B065_193217A121C9_.wvu.FilterData" localSheetId="0" hidden="1">'Controle Contas'!$A$1:$Z$98</definedName>
    <definedName name="Z_423FEFF5_1271_4E5E_909E_F26C45E4687E_.wvu.FilterData" localSheetId="0" hidden="1">'Controle Contas'!$A$1:$Z$98</definedName>
    <definedName name="Z_42D21524_78A6_48BE_B817_2DEE65E174F2_.wvu.FilterData" localSheetId="0" hidden="1">'Controle Contas'!$A$1:$Z$98</definedName>
    <definedName name="Z_45E1B251_B47C_4880_A24C_DFF311DFB6BE_.wvu.FilterData" localSheetId="0" hidden="1">'Controle Contas'!$D$1:$Z$98</definedName>
    <definedName name="Z_467CCEEF_C32B_435C_B4B4_C5C520204D0A_.wvu.FilterData" localSheetId="0" hidden="1">'Controle Contas'!$D$1:$Z$98</definedName>
    <definedName name="Z_47BB50BF_5891_4898_9F00_C079F37784D8_.wvu.FilterData" localSheetId="0" hidden="1">'Controle Contas'!$A$1:$Z$98</definedName>
    <definedName name="Z_48357F01_1856_4FCF_9F08_FCDE56A2D44A_.wvu.FilterData" localSheetId="0" hidden="1">'Controle Contas'!$J$1:$Z$98</definedName>
    <definedName name="Z_48BEEF85_2E21_4F6B_AD21_18C6672F750C_.wvu.FilterData" localSheetId="0" hidden="1">'Controle Contas'!$A$1:$Z$98</definedName>
    <definedName name="Z_4940310E_44EC_4404_8E7A_3DB94229D3CC_.wvu.FilterData" localSheetId="0" hidden="1">'Controle Contas'!$A$1:$Z$98</definedName>
    <definedName name="Z_498C8090_E789_4002_9AB4_7DA559970D1F_.wvu.FilterData" localSheetId="0" hidden="1">'Controle Contas'!$A$1:$Z$98</definedName>
    <definedName name="Z_4B144270_D511_4B35_9F3A_15D532C23A28_.wvu.FilterData" localSheetId="0" hidden="1">'Controle Contas'!$A$1:$Z$98</definedName>
    <definedName name="Z_4CBC865C_9949_4E80_A3AA_F2F06539A76B_.wvu.FilterData" localSheetId="0" hidden="1">'Controle Contas'!$I$1:$J$98</definedName>
    <definedName name="Z_4D7C0ACA_4002_4014_B735_851D9875261D_.wvu.FilterData" localSheetId="0" hidden="1">'Controle Contas'!$D$1:$Z$98</definedName>
    <definedName name="Z_4E4B428C_7B14_45A5_8B2C_221969AE8FFF_.wvu.FilterData" localSheetId="0" hidden="1">'Controle Contas'!$A$1:$Z$98</definedName>
    <definedName name="Z_4F2CCAF3_97EF_4C30_8A9B_B6C17B3875D4_.wvu.FilterData" localSheetId="0" hidden="1">'Controle Contas'!$A$1:$Z$98</definedName>
    <definedName name="Z_55B42B10_8863_42F1_AE98_5DFC66B0599C_.wvu.FilterData" localSheetId="0" hidden="1">'Controle Contas'!$D$1:$Z$98</definedName>
    <definedName name="Z_56AFD506_F86B_4274_811D_793BB20DD9D3_.wvu.FilterData" localSheetId="0" hidden="1">'Controle Contas'!$D$1:$Z$98</definedName>
    <definedName name="Z_5AA61B26_04EA_4139_9C7F_0A469271FB39_.wvu.FilterData" localSheetId="0" hidden="1">'Controle Contas'!$K$1:$K$98</definedName>
    <definedName name="Z_5CDCABD2_B796_4544_A3DF_EA95C60E83B1_.wvu.FilterData" localSheetId="0" hidden="1">'Controle Contas'!$A$1:$Z$98</definedName>
    <definedName name="Z_61A21088_D231_4D60_92A9_DD2E208C52FC_.wvu.FilterData" localSheetId="0" hidden="1">'Controle Contas'!$J$1:$J$98</definedName>
    <definedName name="Z_620506BD_90CB_4FFD_ADD6_EEFB9E05D2C2_.wvu.FilterData" localSheetId="0" hidden="1">'Controle Contas'!$A$1:$Z$98</definedName>
    <definedName name="Z_627C91B2_712F_4DFB_B495_28BCEA46E4E2_.wvu.FilterData" localSheetId="0" hidden="1">'Controle Contas'!$A$1:$Z$98</definedName>
    <definedName name="Z_6739707D_6665_4B91_A403_33028D89D80B_.wvu.FilterData" localSheetId="0" hidden="1">'Controle Contas'!$V$1:$V$98</definedName>
    <definedName name="Z_6756493F_515F_4BAD_99B9_4D4FD6DD7A9C_.wvu.FilterData" localSheetId="0" hidden="1">'Controle Contas'!$K$1:$K$98</definedName>
    <definedName name="Z_68027020_505F_4FEF_B89A_FA26CB86BFBD_.wvu.FilterData" localSheetId="0" hidden="1">'Controle Contas'!$A$1:$J$98</definedName>
    <definedName name="Z_696FAB15_B4B8_48BE_8F83_E6C9E9CE8934_.wvu.FilterData" localSheetId="0" hidden="1">'Controle Contas'!$D$1:$Z$98</definedName>
    <definedName name="Z_6A9A4AFA_3A97_4345_9DC1_B2430F067760_.wvu.FilterData" localSheetId="0" hidden="1">'Controle Contas'!$A$1:$Z$98</definedName>
    <definedName name="Z_6B15E0BD_4CEC_4AAD_8552_8A546D6B94C2_.wvu.FilterData" localSheetId="0" hidden="1">'Controle Contas'!$A$1:$Z$98</definedName>
    <definedName name="Z_6C0BBECD_A50F_4906_B232_F202421F246E_.wvu.FilterData" localSheetId="0" hidden="1">'Controle Contas'!$A$1:$Z$98</definedName>
    <definedName name="Z_6C4E81CA_32B3_4BD4_9A1C_F20FF8B924A7_.wvu.FilterData" localSheetId="0" hidden="1">'Controle Contas'!$D$1:$Z$98</definedName>
    <definedName name="Z_70FA6B02_2DAC_44FB_9C02_C4F5C0E36D73_.wvu.FilterData" localSheetId="0" hidden="1">'Controle Contas'!$A$1:$Z$98</definedName>
    <definedName name="Z_71E42FA8_6CEB_4654_A089_2A9DF79B5124_.wvu.FilterData" localSheetId="0" hidden="1">'Controle Contas'!$D$1:$Z$98</definedName>
    <definedName name="Z_73A11926_2E6F_4871_B727_3B1A920B8A61_.wvu.FilterData" localSheetId="0" hidden="1">'Controle Contas'!$A$1:$Z$98</definedName>
    <definedName name="Z_76D4584F_C314_4A4E_9FC8_D8CBFFFD2BFD_.wvu.FilterData" localSheetId="0" hidden="1">'Controle Contas'!$D$1:$Z$98</definedName>
    <definedName name="Z_795295AF_CFCB_4FCC_B804_2D2424BE9A49_.wvu.FilterData" localSheetId="0" hidden="1">'Controle Contas'!$A$1:$Z$98</definedName>
    <definedName name="Z_7A31FC72_E7F8_41D5_8003_370F116E4600_.wvu.FilterData" localSheetId="0" hidden="1">'Controle Contas'!#REF!</definedName>
    <definedName name="Z_7AF13999_56AE_4926_8E0B_6078908E462E_.wvu.FilterData" localSheetId="0" hidden="1">'Controle Contas'!#REF!</definedName>
    <definedName name="Z_7B1ED787_A94E_4CE6_A02D_6B7249291FB8_.wvu.FilterData" localSheetId="0" hidden="1">'Controle Contas'!$A$1:$Z$98</definedName>
    <definedName name="Z_7DA9518A_EE5A_427A_8374_9078BCA694F8_.wvu.FilterData" localSheetId="0" hidden="1">'Controle Contas'!$A$1:$Z$98</definedName>
    <definedName name="Z_7EAC6D07_C079_4E1F_8351_32A4134DCF17_.wvu.FilterData" localSheetId="0" hidden="1">'Controle Contas'!$A$1:$Z$98</definedName>
    <definedName name="Z_7F00D025_E5E3_42AA_BA25_4210D64EDAFB_.wvu.FilterData" localSheetId="0" hidden="1">'Controle Contas'!$D$1:$Z$98</definedName>
    <definedName name="Z_7F512548_DCD4_41A0_81C1_C8D0EAF11021_.wvu.FilterData" localSheetId="0" hidden="1">'Controle Contas'!$I$1:$J$98</definedName>
    <definedName name="Z_80059556_C04D_4F8A_85F1_6777B5AF0DDA_.wvu.FilterData" localSheetId="0" hidden="1">'Controle Contas'!$K$1:$K$98</definedName>
    <definedName name="Z_81931677_6684_49E1_A5A6_0E1E7ADF1EED_.wvu.FilterData" localSheetId="0" hidden="1">'Controle Contas'!$D$1:$Z$98</definedName>
    <definedName name="Z_82A40C77_C21E_423D_9026_A1FFC3D45689_.wvu.FilterData" localSheetId="0" hidden="1">'Controle Contas'!#REF!</definedName>
    <definedName name="Z_8512D509_BB82_4790_B030_E04796825D6B_.wvu.FilterData" localSheetId="0" hidden="1">'Controle Contas'!$D$1:$Z$98</definedName>
    <definedName name="Z_868430C6_0589_475C_A71F_471025F1F9DA_.wvu.FilterData" localSheetId="0" hidden="1">'Controle Contas'!$J$1:$J$98</definedName>
    <definedName name="Z_877073CE_EDC5_4AE1_A62C_A28AC7A7A477_.wvu.FilterData" localSheetId="0" hidden="1">'Controle Contas'!$A$1:$Z$98</definedName>
    <definedName name="Z_88E135A6_EC14_4A9F_8810_3E1BF8B05913_.wvu.FilterData" localSheetId="0" hidden="1">'Controle Contas'!$A$1:$Z$98</definedName>
    <definedName name="Z_89C1539B_029C_4A93_ABD6_1E5ED24463CE_.wvu.FilterData" localSheetId="0" hidden="1">'Controle Contas'!$J$1:$J$98</definedName>
    <definedName name="Z_8AB9AFC6_AC70_4521_8BB0_1CD8767A0CB2_.wvu.FilterData" localSheetId="0" hidden="1">'Controle Contas'!$A$1:$Z$98</definedName>
    <definedName name="Z_8CCE7264_53B5_42E0_91A2_AC90A97DDBB0_.wvu.FilterData" localSheetId="0" hidden="1">'Controle Contas'!$A$1:$Z$98</definedName>
    <definedName name="Z_8D24973A_3DD4_4A65_81AA_4A3A5E1B8097_.wvu.FilterData" localSheetId="0" hidden="1">'Controle Contas'!$A$1:$Z$98</definedName>
    <definedName name="Z_8D824072_7468_4CA8_93C5_C695445D9E65_.wvu.FilterData" localSheetId="0" hidden="1">'Controle Contas'!$A$1:$Z$98</definedName>
    <definedName name="Z_8EA094D4_B192_4EF2_B9D1_8FBC187F625E_.wvu.FilterData" localSheetId="0" hidden="1">'Controle Contas'!$D$1:$Z$98</definedName>
    <definedName name="Z_92D059E1_DD44_46EF_9817_CE8E9ED08641_.wvu.FilterData" localSheetId="0" hidden="1">'Controle Contas'!$A$1:$Z$98</definedName>
    <definedName name="Z_9383F315_992B_4F81_9F15_ACA3399A25A8_.wvu.FilterData" localSheetId="0" hidden="1">'Controle Contas'!$A$1:$Z$98</definedName>
    <definedName name="Z_93AB8B81_5F98_4284_B06A_D7CE72815A11_.wvu.FilterData" localSheetId="0" hidden="1">'Controle Contas'!$D$1:$Z$98</definedName>
    <definedName name="Z_93FFEBAE_581D_40DB_8965_BE5241E39C63_.wvu.FilterData" localSheetId="0" hidden="1">'Controle Contas'!$D$1:$V$98</definedName>
    <definedName name="Z_94B1EE88_AAE4_419C_A337_E394A2D47789_.wvu.FilterData" localSheetId="0" hidden="1">'Controle Contas'!$A$1:$Z$98</definedName>
    <definedName name="Z_9DB54CEC_7DF6_4819_98A7_5213652DB41E_.wvu.FilterData" localSheetId="0" hidden="1">'Controle Contas'!$A$1:$Z$98</definedName>
    <definedName name="Z_9F819FDD_0727_4581_B42E_FBB6FF5FA047_.wvu.FilterData" localSheetId="0" hidden="1">'Controle Contas'!$A$1:$Z$98</definedName>
    <definedName name="Z_A0B546EB_9509_40DA_A60B_298EBFE4E59D_.wvu.FilterData" localSheetId="0" hidden="1">'Controle Contas'!$A$1:$Z$98</definedName>
    <definedName name="Z_A2DA313D_541E_4594_B799_3E48419A20BA_.wvu.FilterData" localSheetId="0" hidden="1">'Controle Contas'!$A$1:$Z$98</definedName>
    <definedName name="Z_A38DF138_839A_4A1C_BC46_D2DEF970C3D5_.wvu.FilterData" localSheetId="0" hidden="1">'Controle Contas'!$A$1:$Z$98</definedName>
    <definedName name="Z_A45E3B99_1ACB_4EBC_B2F2_64674F11650A_.wvu.FilterData" localSheetId="0" hidden="1">'Controle Contas'!$A$1:$Z$98</definedName>
    <definedName name="Z_A50D27BC_8C13_4194_A754_7376F2F3B5DA_.wvu.FilterData" localSheetId="0" hidden="1">'Controle Contas'!$A$1:$Z$98</definedName>
    <definedName name="Z_A5104C11_AB4D_42DF_BDB1_C9ECB067E779_.wvu.FilterData" localSheetId="0" hidden="1">'Controle Contas'!$A$1:$Z$98</definedName>
    <definedName name="Z_A94C9867_6E9C_4996_98EE_31E34F1A6290_.wvu.FilterData" localSheetId="0" hidden="1">'Controle Contas'!$A$1:$Z$98</definedName>
    <definedName name="Z_A99246DD_EFB6_438F_9F56_C45BAF1CE7A6_.wvu.FilterData" localSheetId="0" hidden="1">'Controle Contas'!$A$1:$Z$98</definedName>
    <definedName name="Z_AC2A9D44_625D_4777_81CF_B348B418D6A2_.wvu.FilterData" localSheetId="0" hidden="1">'Controle Contas'!$I$1:$Z$98</definedName>
    <definedName name="Z_ACC6E3C0_B31C_4914_B8EB_5C970F7276E1_.wvu.FilterData" localSheetId="0" hidden="1">'Controle Contas'!$D$1:$Z$98</definedName>
    <definedName name="Z_AD1169A2_F31B_474D_9D8B_B51D22A5564E_.wvu.FilterData" localSheetId="0" hidden="1">'Controle Contas'!$A$1:$Z$98</definedName>
    <definedName name="Z_AD7B492E_5EDA_4AB3_B46E_D679F16BA1C5_.wvu.FilterData" localSheetId="0" hidden="1">'Controle Contas'!$A$1:$Z$98</definedName>
    <definedName name="Z_AEA42E9C_6B35_4C80_9D55_A52D57DB8C78_.wvu.FilterData" localSheetId="0" hidden="1">'Controle Contas'!$A$1:$Z$98</definedName>
    <definedName name="Z_AFAE9C81_BEC7_4E49_B430_378A11A40202_.wvu.FilterData" localSheetId="0" hidden="1">'Controle Contas'!$A$1:$Z$98</definedName>
    <definedName name="Z_B0B99A06_0585_42AE_A3FC_8AB03D179DE1_.wvu.FilterData" localSheetId="0" hidden="1">'Controle Contas'!$A$1:$Z$98</definedName>
    <definedName name="Z_B1825302_A70B_43EF_8B49_193DD91BCFC3_.wvu.FilterData" localSheetId="0" hidden="1">'Controle Contas'!$A$1:$Z$98</definedName>
    <definedName name="Z_B3245F46_37F0_4BF4_A32E_422B28702198_.wvu.FilterData" localSheetId="0" hidden="1">'Controle Contas'!$A$1:$Z$98</definedName>
    <definedName name="Z_B36BCCD7_3E96_42EF_956F_39C1E1AA82D7_.wvu.FilterData" localSheetId="0" hidden="1">'Controle Contas'!$D$1:$Z$98</definedName>
    <definedName name="Z_B41BF864_EE22_4CF9_8F54_DF9C2B01559F_.wvu.FilterData" localSheetId="0" hidden="1">'Controle Contas'!$D$1:$Z$98</definedName>
    <definedName name="Z_B556C7A5_AB95_4E4B_B2D0_18365AF04A31_.wvu.FilterData" localSheetId="0" hidden="1">'Controle Contas'!$A$1:$Z$98</definedName>
    <definedName name="Z_B687DF64_BC4A_4A5E_86C9_AD317BE257F3_.wvu.FilterData" localSheetId="0" hidden="1">'Controle Contas'!$A$1:$Z$98</definedName>
    <definedName name="Z_B7CC4EE4_A846_4603_8481_AD2D4CB802B6_.wvu.FilterData" localSheetId="0" hidden="1">'Controle Contas'!$A$1:$Z$98</definedName>
    <definedName name="Z_B7CD9EB0_1531_40C7_9620_5B58C4DE4619_.wvu.FilterData" localSheetId="0" hidden="1">'Controle Contas'!#REF!</definedName>
    <definedName name="Z_B7EEEDA4_B1BD_42FA_A7D9_296D455A843A_.wvu.FilterData" localSheetId="0" hidden="1">'Controle Contas'!$D$1:$Z$98</definedName>
    <definedName name="Z_B7EEEDA4_B1BD_42FA_A7D9_296D455A843A_.wvu.FilterData" localSheetId="5" hidden="1">Saídas!$A$2:$K$798</definedName>
    <definedName name="Z_B9BC7587_C8FA_44AE_AF72_4EC169138123_.wvu.FilterData" localSheetId="0" hidden="1">'Controle Contas'!$A$1:$Z$98</definedName>
    <definedName name="Z_BA18543D_75F5_4396_A6BE_06A25F435576_.wvu.FilterData" localSheetId="0" hidden="1">'Controle Contas'!$M$1:$M$98</definedName>
    <definedName name="Z_BB685961_18A5_4353_B9CA_C99E3035439C_.wvu.FilterData" localSheetId="0" hidden="1">'Controle Contas'!$I$1:$I$98</definedName>
    <definedName name="Z_BE2B38C5_3A4C_41A6_B1CE_C5BD1A554CE1_.wvu.FilterData" localSheetId="0" hidden="1">'Controle Contas'!$D$1:$Z$98</definedName>
    <definedName name="Z_BE8CD934_CC4E_44AD_87CB_FAA2F27B5EDE_.wvu.FilterData" localSheetId="0" hidden="1">'Controle Contas'!$A$1:$Z$98</definedName>
    <definedName name="Z_BE98C523_16C4_4799_B5C7_2FECDEAA3594_.wvu.FilterData" localSheetId="0" hidden="1">'Controle Contas'!$A$1:$Z$98</definedName>
    <definedName name="Z_BF6FEDB4_E2FA_48B7_9DA6_BC7F490B0477_.wvu.FilterData" localSheetId="0" hidden="1">'Controle Contas'!$A$1:$Z$98</definedName>
    <definedName name="Z_C0BB8DA4_833E_4321_AB5F_AC42635F4B03_.wvu.FilterData" localSheetId="0" hidden="1">'Controle Contas'!$A$1:$Z$98</definedName>
    <definedName name="Z_C1014A19_3732_468D_8008_9FAAA22884BA_.wvu.FilterData" localSheetId="0" hidden="1">'Controle Contas'!$A$1:$Z$98</definedName>
    <definedName name="Z_C1687B13_2B25_4F88_B9FC_5F98F0C59F78_.wvu.FilterData" localSheetId="0" hidden="1">'Controle Contas'!$A$1:$Z$98</definedName>
    <definedName name="Z_C211F3C5_E62E_499E_8F63_245DA1931F27_.wvu.FilterData" localSheetId="0" hidden="1">'Controle Contas'!$J$1:$J$98</definedName>
    <definedName name="Z_C3AD15E8_13CC_456A_AB04_51AAF9E2980D_.wvu.FilterData" localSheetId="0" hidden="1">'Controle Contas'!$A$1:$Z$98</definedName>
    <definedName name="Z_C437C293_DD5A_46C1_9E17_A1E6569A844F_.wvu.FilterData" localSheetId="0" hidden="1">'Controle Contas'!$A$1:$Z$98</definedName>
    <definedName name="Z_C9E04318_49D5_413C_AE45_5FA13028FBA7_.wvu.FilterData" localSheetId="0" hidden="1">'Controle Contas'!$A$1:$Z$98</definedName>
    <definedName name="Z_CA819861_0AE0_4948_82AE_AB183D929D75_.wvu.FilterData" localSheetId="0" hidden="1">'Controle Contas'!$D$1:$Z$98</definedName>
    <definedName name="Z_CDB621C8_741E_4D49_A1A1_806831C1C801_.wvu.FilterData" localSheetId="0" hidden="1">'Controle Contas'!$A$1:$Z$98</definedName>
    <definedName name="Z_D072EB94_FC7A_42D0_92E6_38EC69ADB85A_.wvu.FilterData" localSheetId="0" hidden="1">'Controle Contas'!$M$1:$R$98</definedName>
    <definedName name="Z_D0D5036C_A5B8_48C9_99F2_3378B99CD86A_.wvu.FilterData" localSheetId="0" hidden="1">'Controle Contas'!$I$1:$J$98</definedName>
    <definedName name="Z_D0F7634C_C90D_415B_A49E_CA2B2308DD43_.wvu.FilterData" localSheetId="0" hidden="1">'Controle Contas'!$D$1:$Z$98</definedName>
    <definedName name="Z_D6C27E9A_598C_47F2_8F3D_83A50A107790_.wvu.FilterData" localSheetId="0" hidden="1">'Controle Contas'!$A$1:$Z$98</definedName>
    <definedName name="Z_D79DC086_EEDD_4790_8146_D52BA9A7F131_.wvu.FilterData" localSheetId="0" hidden="1">'Controle Contas'!$A$1:$Z$98</definedName>
    <definedName name="Z_D864ABD8_FE0C_4DB1_AFBB_435365A1AFFA_.wvu.FilterData" localSheetId="0" hidden="1">'Controle Contas'!$J$1:$J$98</definedName>
    <definedName name="Z_D8819ACB_4D4A_4A46_9E67_27B50537E1A0_.wvu.FilterData" localSheetId="0" hidden="1">'Controle Contas'!$A$1:$Z$98</definedName>
    <definedName name="Z_D88A4E9B_48B4_4051_9559_DAF3073B092E_.wvu.FilterData" localSheetId="0" hidden="1">'Controle Contas'!$A$1:$Z$98</definedName>
    <definedName name="Z_DB05EF65_D7B5_4DD6_8F09_01BC4E20BF15_.wvu.FilterData" localSheetId="0" hidden="1">'Controle Contas'!$A$1:$Z$98</definedName>
    <definedName name="Z_DC29F690_9655_45BB_92AA_E95A9B3310FB_.wvu.FilterData" localSheetId="0" hidden="1">'Controle Contas'!$A$1:$Z$98</definedName>
    <definedName name="Z_DD94A016_46C8_4460_B1C1_C762909060C1_.wvu.FilterData" localSheetId="0" hidden="1">'Controle Contas'!$A$1:$Z$98</definedName>
    <definedName name="Z_DFF4B50E_01D0_4A0A_B926_259FB09F099F_.wvu.FilterData" localSheetId="0" hidden="1">'Controle Contas'!$A$1:$Z$98</definedName>
    <definedName name="Z_E22319CF_3753_47A5_B289_E2A97398BB8E_.wvu.FilterData" localSheetId="0" hidden="1">'Controle Contas'!$D$1:$Z$98</definedName>
    <definedName name="Z_E7A70FCC_EA4E_40D5_9DDC_E30CAAA6A5E9_.wvu.FilterData" localSheetId="0" hidden="1">'Controle Contas'!$D$1:$Z$98</definedName>
    <definedName name="Z_E9B33F64_57CC_4836_8989_C37AFAD0A1A1_.wvu.FilterData" localSheetId="0" hidden="1">'Controle Contas'!$D$1:$Z$98</definedName>
    <definedName name="Z_EA321758_483F_4473_88B9_B2CF626E6766_.wvu.FilterData" localSheetId="0" hidden="1">'Controle Contas'!$A$1:$Z$98</definedName>
    <definedName name="Z_EC630380_4E32_463C_A081_3FD6E39B14D4_.wvu.FilterData" localSheetId="0" hidden="1">'Controle Contas'!$A$1:$Z$98</definedName>
    <definedName name="Z_EF930F08_600E_41B2_A950_EDFA862A4DF5_.wvu.FilterData" localSheetId="0" hidden="1">'Controle Contas'!$A$1:$Z$98</definedName>
    <definedName name="Z_F06A8CEB_8F34_47AC_96B0_B61FE8609ACF_.wvu.FilterData" localSheetId="0" hidden="1">'Controle Contas'!$A$1:$Z$98</definedName>
    <definedName name="Z_F0BB1313_8DAB_4593_8379_B4E1E3B74303_.wvu.FilterData" localSheetId="0" hidden="1">'Controle Contas'!$A$1:$Z$98</definedName>
    <definedName name="Z_F0BD57BC_C164_490A_B83D_B897FA0D5D2A_.wvu.FilterData" localSheetId="0" hidden="1">'Controle Contas'!$K$1:$R$98</definedName>
    <definedName name="Z_F15FF684_7769_4505_B2AB_70888CAB489D_.wvu.FilterData" localSheetId="0" hidden="1">'Controle Contas'!$J$1:$J$98</definedName>
    <definedName name="Z_F1C95DF9_78F7_4F8B_91B8_C5B5126E595F_.wvu.FilterData" localSheetId="0" hidden="1">'Controle Contas'!$A$1:$Z$98</definedName>
    <definedName name="Z_F2B8A4F9_E4F8_4ED0_A21F_30A975482C04_.wvu.FilterData" localSheetId="0" hidden="1">'Controle Contas'!$A$1:$Z$98</definedName>
    <definedName name="Z_F430D34E_B491_4E9C_849E_EEB9B339935A_.wvu.FilterData" localSheetId="0" hidden="1">'Controle Contas'!$A$1:$Z$98</definedName>
    <definedName name="Z_F5C3EDBE_D036_4F19_BBFF_08129EB89FC5_.wvu.FilterData" localSheetId="0" hidden="1">'Controle Contas'!$A$1:$Z$98</definedName>
    <definedName name="Z_F5E5ED4E_DF60_4BBD_B24F_5EA09E18D40C_.wvu.FilterData" localSheetId="0" hidden="1">'Controle Contas'!$D$1:$Z$98</definedName>
    <definedName name="Z_F6E4F345_0495_4811_B173_87C625079C9E_.wvu.FilterData" localSheetId="0" hidden="1">'Controle Contas'!$K$1:$K$98</definedName>
    <definedName name="Z_F7A696CE_1C08_47AC_97AB_04922766D35D_.wvu.FilterData" localSheetId="0" hidden="1">'Controle Contas'!#REF!</definedName>
    <definedName name="Z_F7FE2BE4_900A_43F6_8C94_35005727D36A_.wvu.FilterData" localSheetId="0" hidden="1">'Controle Contas'!$K$1:$K$98</definedName>
    <definedName name="Z_FB88F0D5_C0C4_49EA_AA98_7E894FD09BBF_.wvu.FilterData" localSheetId="0" hidden="1">'Controle Contas'!#REF!</definedName>
    <definedName name="Z_FBF43EAE_8290_440F_B9C7_B7F1CB34234E_.wvu.FilterData" localSheetId="0" hidden="1">'Controle Contas'!$A$1:$Z$98</definedName>
    <definedName name="Z_FEA88256_CB03_4841_9B37_F0F16919974C_.wvu.FilterData" localSheetId="0" hidden="1">'Controle Contas'!$A$1:$Z$98</definedName>
    <definedName name="Z_FEAC60D3_C159_415D_937A_4EAACDD63294_.wvu.FilterData" localSheetId="0" hidden="1">'Controle Contas'!$I$1:$J$98</definedName>
    <definedName name="Z_FFF3EAAB_FE87_47E6_83D5_BE12890C325F_.wvu.FilterData" localSheetId="0" hidden="1">'Controle Contas'!$A$1:$Z$98</definedName>
  </definedNames>
  <calcPr calcId="191028" calcMode="manual" calcCompleted="0"/>
  <customWorkbookViews>
    <customWorkbookView name="Filtro 59" guid="{D072EB94-FC7A-42D0-92E6-38EC69ADB85A}" maximized="1" windowWidth="0" windowHeight="0" activeSheetId="0"/>
    <customWorkbookView name="Filtro 57" guid="{EA321758-483F-4473-88B9-B2CF626E6766}" maximized="1" windowWidth="0" windowHeight="0" activeSheetId="0"/>
    <customWorkbookView name="Filtro 58" guid="{89C1539B-029C-4A93-ABD6-1E5ED24463CE}" maximized="1" windowWidth="0" windowHeight="0" activeSheetId="0"/>
    <customWorkbookView name="Filtro 55" guid="{F7FE2BE4-900A-43F6-8C94-35005727D36A}" maximized="1" windowWidth="0" windowHeight="0" activeSheetId="0"/>
    <customWorkbookView name="Filtro 56" guid="{80059556-C04D-4F8A-85F1-6777B5AF0DDA}" maximized="1" windowWidth="0" windowHeight="0" activeSheetId="0"/>
    <customWorkbookView name="Filtro 53" guid="{7AF13999-56AE-4926-8E0B-6078908E462E}" maximized="1" windowWidth="0" windowHeight="0" activeSheetId="0"/>
    <customWorkbookView name="Filtro 54" guid="{1FE7E5D8-7F24-4EC5-B50B-B798FF734343}" maximized="1" windowWidth="0" windowHeight="0" activeSheetId="0"/>
    <customWorkbookView name="Filtro 51" guid="{2E5ACC8C-CE46-4BA3-BF00-8C87FFA2314F}" maximized="1" windowWidth="0" windowHeight="0" activeSheetId="0"/>
    <customWorkbookView name="Filtro 52" guid="{5AA61B26-04EA-4139-9C7F-0A469271FB39}" maximized="1" windowWidth="0" windowHeight="0" activeSheetId="0"/>
    <customWorkbookView name="Filtro 118" guid="{D79DC086-EEDD-4790-8146-D52BA9A7F131}" maximized="1" windowWidth="0" windowHeight="0" activeSheetId="0"/>
    <customWorkbookView name="Filtro 119" guid="{DD94A016-46C8-4460-B1C1-C762909060C1}" maximized="1" windowWidth="0" windowHeight="0" activeSheetId="0"/>
    <customWorkbookView name="Filtro 50" guid="{F15FF684-7769-4505-B2AB-70888CAB489D}" maximized="1" windowWidth="0" windowHeight="0" activeSheetId="0"/>
    <customWorkbookView name="Filtro 125" guid="{AFAE9C81-BEC7-4E49-B430-378A11A40202}" maximized="1" windowWidth="0" windowHeight="0" activeSheetId="0"/>
    <customWorkbookView name="Filtro 126" guid="{A38DF138-839A-4A1C-BC46-D2DEF970C3D5}" maximized="1" windowWidth="0" windowHeight="0" activeSheetId="0"/>
    <customWorkbookView name="Filtro 127" guid="{182CC3BD-F05F-4640-93AB-3E742A49D2F4}" maximized="1" windowWidth="0" windowHeight="0" activeSheetId="0"/>
    <customWorkbookView name="Filtro 128" guid="{8AB9AFC6-AC70-4521-8BB0-1CD8767A0CB2}" maximized="1" windowWidth="0" windowHeight="0" activeSheetId="0"/>
    <customWorkbookView name="Filtro 121" guid="{C0BB8DA4-833E-4321-AB5F-AC42635F4B03}" maximized="1" windowWidth="0" windowHeight="0" activeSheetId="0"/>
    <customWorkbookView name="Filtro 122" guid="{A99246DD-EFB6-438F-9F56-C45BAF1CE7A6}" maximized="1" windowWidth="0" windowHeight="0" activeSheetId="0"/>
    <customWorkbookView name="Filtro 123" guid="{9F819FDD-0727-4581-B42E-FBB6FF5FA047}" maximized="1" windowWidth="0" windowHeight="0" activeSheetId="0"/>
    <customWorkbookView name="Filtro 124" guid="{AD7B492E-5EDA-4AB3-B46E-D679F16BA1C5}" maximized="1" windowWidth="0" windowHeight="0" activeSheetId="0"/>
    <customWorkbookView name="Filtro 120" guid="{C1014A19-3732-468D-8008-9FAAA22884BA}" maximized="1" windowWidth="0" windowHeight="0" activeSheetId="0"/>
    <customWorkbookView name="Filtro 68" guid="{55B42B10-8863-42F1-AE98-5DFC66B0599C}" maximized="1" windowWidth="0" windowHeight="0" activeSheetId="0"/>
    <customWorkbookView name="Filtro 69" guid="{45E1B251-B47C-4880-A24C-DFF311DFB6BE}" maximized="1" windowWidth="0" windowHeight="0" activeSheetId="0"/>
    <customWorkbookView name="Filtro 66" guid="{E7A70FCC-EA4E-40D5-9DDC-E30CAAA6A5E9}" maximized="1" windowWidth="0" windowHeight="0" activeSheetId="0"/>
    <customWorkbookView name="Filtro 67" guid="{E22319CF-3753-47A5-B289-E2A97398BB8E}" maximized="1" windowWidth="0" windowHeight="0" activeSheetId="0"/>
    <customWorkbookView name="Filtro 64" guid="{93FFEBAE-581D-40DB-8965-BE5241E39C63}" maximized="1" windowWidth="0" windowHeight="0" activeSheetId="0"/>
    <customWorkbookView name="Filtro 65" guid="{56AFD506-F86B-4274-811D-793BB20DD9D3}" maximized="1" windowWidth="0" windowHeight="0" activeSheetId="0"/>
    <customWorkbookView name="Filtro 62" guid="{B1825302-A70B-43EF-8B49-193DD91BCFC3}" maximized="1" windowWidth="0" windowHeight="0" activeSheetId="0"/>
    <customWorkbookView name="Filtro 63" guid="{32F40765-F481-472F-9579-B1764A204508}" maximized="1" windowWidth="0" windowHeight="0" activeSheetId="0"/>
    <customWorkbookView name="Filtro 107" guid="{1B04E56E-E798-4C11-95F4-24698B8E55CF}" maximized="1" windowWidth="0" windowHeight="0" activeSheetId="0"/>
    <customWorkbookView name="Filtro 60" guid="{8EA094D4-B192-4EF2-B9D1-8FBC187F625E}" maximized="1" windowWidth="0" windowHeight="0" activeSheetId="0"/>
    <customWorkbookView name="Filtro 108" guid="{EF930F08-600E-41B2-A950-EDFA862A4DF5}" maximized="1" windowWidth="0" windowHeight="0" activeSheetId="0"/>
    <customWorkbookView name="Filtro 61" guid="{E9B33F64-57CC-4836-8989-C37AFAD0A1A1}" maximized="1" windowWidth="0" windowHeight="0" activeSheetId="0"/>
    <customWorkbookView name="Filtro 109" guid="{877073CE-EDC5-4AE1-A62C-A28AC7A7A477}" maximized="1" windowWidth="0" windowHeight="0" activeSheetId="0"/>
    <customWorkbookView name="Filtro 114" guid="{AD1169A2-F31B-474D-9D8B-B51D22A5564E}" maximized="1" windowWidth="0" windowHeight="0" activeSheetId="0"/>
    <customWorkbookView name="Filtro 115" guid="{B3245F46-37F0-4BF4-A32E-422B28702198}" maximized="1" windowWidth="0" windowHeight="0" activeSheetId="0"/>
    <customWorkbookView name="Filtro 116" guid="{627C91B2-712F-4DFB-B495-28BCEA46E4E2}" maximized="1" windowWidth="0" windowHeight="0" activeSheetId="0"/>
    <customWorkbookView name="Filtro 117" guid="{47BB50BF-5891-4898-9F00-C079F37784D8}" maximized="1" windowWidth="0" windowHeight="0" activeSheetId="0"/>
    <customWorkbookView name="Filtro 110" guid="{F2B8A4F9-E4F8-4ED0-A21F-30A975482C04}" maximized="1" windowWidth="0" windowHeight="0" activeSheetId="0"/>
    <customWorkbookView name="Filtro 111" guid="{C3AD15E8-13CC-456A-AB04-51AAF9E2980D}" maximized="1" windowWidth="0" windowHeight="0" activeSheetId="0"/>
    <customWorkbookView name="Filtro 112" guid="{F5C3EDBE-D036-4F19-BBFF-08129EB89FC5}" maximized="1" windowWidth="0" windowHeight="0" activeSheetId="0"/>
    <customWorkbookView name="Filtro 113" guid="{1E3418C5-BE5C-4169-B722-868C56F47867}" maximized="1" windowWidth="0" windowHeight="0" activeSheetId="0"/>
    <customWorkbookView name="Filtro 79" guid="{DFF4B50E-01D0-4A0A-B926-259FB09F099F}" maximized="1" windowWidth="0" windowHeight="0" activeSheetId="0"/>
    <customWorkbookView name="Filtro 77" guid="{FEA88256-CB03-4841-9B37-F0F16919974C}" maximized="1" windowWidth="0" windowHeight="0" activeSheetId="0"/>
    <customWorkbookView name="Filtro 78" guid="{B9BC7587-C8FA-44AE-AF72-4EC169138123}" maximized="1" windowWidth="0" windowHeight="0" activeSheetId="0"/>
    <customWorkbookView name="Filtro 75" guid="{94B1EE88-AAE4-419C-A337-E394A2D47789}" maximized="1" windowWidth="0" windowHeight="0" activeSheetId="0"/>
    <customWorkbookView name="Filtro 76" guid="{1D2CBD60-F563-4C95-AD64-98422B83043F}" maximized="1" windowWidth="0" windowHeight="0" activeSheetId="0"/>
    <customWorkbookView name="Filtro 73" guid="{24DA35F3-A183-4043-B5A3-CCE9C654A418}" maximized="1" windowWidth="0" windowHeight="0" activeSheetId="0"/>
    <customWorkbookView name="Filtro 74" guid="{4D7C0ACA-4002-4014-B735-851D9875261D}" maximized="1" windowWidth="0" windowHeight="0" activeSheetId="0"/>
    <customWorkbookView name="Filtro 71" guid="{7F00D025-E5E3-42AA-BA25-4210D64EDAFB}" maximized="1" windowWidth="0" windowHeight="0" activeSheetId="0"/>
    <customWorkbookView name="Filtro 72" guid="{00AA877A-D943-4DEE-A9D0-0327E6881B5D}" maximized="1" windowWidth="0" windowHeight="0" activeSheetId="0"/>
    <customWorkbookView name="Filtro 70" guid="{6739707D-6665-4B91-A403-33028D89D80B}" maximized="1" windowWidth="0" windowHeight="0" activeSheetId="0"/>
    <customWorkbookView name="Filtro 147" guid="{8D824072-7468-4CA8-93C5-C695445D9E65}" maximized="1" windowWidth="0" windowHeight="0" activeSheetId="0"/>
    <customWorkbookView name="Filtro 148" guid="{A2DA313D-541E-4594-B799-3E48419A20BA}" maximized="1" windowWidth="0" windowHeight="0" activeSheetId="0"/>
    <customWorkbookView name="Filtro 149" guid="{1B54CF81-2EE6-41A0-8DAF-9EC2BA627E83}" maximized="1" windowWidth="0" windowHeight="0" activeSheetId="0"/>
    <customWorkbookView name="Filtro 143" guid="{DC29F690-9655-45BB-92AA-E95A9B3310FB}" maximized="1" windowWidth="0" windowHeight="0" activeSheetId="0"/>
    <customWorkbookView name="Filtro 144" guid="{3D664E02-DE09-446D-8677-45A9E129B71A}" maximized="1" windowWidth="0" windowHeight="0" activeSheetId="0"/>
    <customWorkbookView name="Filtro 145" guid="{04B94E89-4EC8-4751-9D2C-F81029B1E06C}" maximized="1" windowWidth="0" windowHeight="0" activeSheetId="0"/>
    <customWorkbookView name="Filtro 146" guid="{F1C95DF9-78F7-4F8B-91B8-C5B5126E595F}" maximized="1" windowWidth="0" windowHeight="0" activeSheetId="0"/>
    <customWorkbookView name="Filtro 140" guid="{4B144270-D511-4B35-9F3A-15D532C23A28}" maximized="1" windowWidth="0" windowHeight="0" activeSheetId="0"/>
    <customWorkbookView name="Filtro 141" guid="{BB685961-18A5-4353-B9CA-C99E3035439C}" maximized="1" windowWidth="0" windowHeight="0" activeSheetId="0"/>
    <customWorkbookView name="Filtro 142" guid="{B556C7A5-AB95-4E4B-B2D0-18365AF04A31}" maximized="1" windowWidth="0" windowHeight="0" activeSheetId="0"/>
    <customWorkbookView name="Filtro 88" guid="{F06A8CEB-8F34-47AC-96B0-B61FE8609ACF}" maximized="1" windowWidth="0" windowHeight="0" activeSheetId="0"/>
    <customWorkbookView name="Filtro 89" guid="{F0BD57BC-C164-490A-B83D-B897FA0D5D2A}" maximized="1" windowWidth="0" windowHeight="0" activeSheetId="0"/>
    <customWorkbookView name="Filtro 86" guid="{3D6B9F54-BE99-4813-98C8-B7E13E17DB44}" maximized="1" windowWidth="0" windowHeight="0" activeSheetId="0"/>
    <customWorkbookView name="Filtro 87" guid="{795295AF-CFCB-4FCC-B804-2D2424BE9A49}" maximized="1" windowWidth="0" windowHeight="0" activeSheetId="0"/>
    <customWorkbookView name="Filtro 84" guid="{0C093EF2-FE71-4A36-A5D0-0CC1ED345771}" maximized="1" windowWidth="0" windowHeight="0" activeSheetId="0"/>
    <customWorkbookView name="Filtro 85" guid="{9383F315-992B-4F81-9F15-ACA3399A25A8}" maximized="1" windowWidth="0" windowHeight="0" activeSheetId="0"/>
    <customWorkbookView name="Filtro 129" guid="{6B15E0BD-4CEC-4AAD-8552-8A546D6B94C2}" maximized="1" windowWidth="0" windowHeight="0" activeSheetId="0"/>
    <customWorkbookView name="Filtro 82" guid="{D6C27E9A-598C-47F2-8F3D-83A50A107790}" maximized="1" windowWidth="0" windowHeight="0" activeSheetId="0"/>
    <customWorkbookView name="Filtro 83" guid="{D8819ACB-4D4A-4A46-9E67-27B50537E1A0}" maximized="1" windowWidth="0" windowHeight="0" activeSheetId="0"/>
    <customWorkbookView name="Filtro 80" guid="{A45E3B99-1ACB-4EBC-B2F2-64674F11650A}" maximized="1" windowWidth="0" windowHeight="0" activeSheetId="0"/>
    <customWorkbookView name="Filtro 81" guid="{A5104C11-AB4D-42DF-BDB1-C9ECB067E779}" maximized="1" windowWidth="0" windowHeight="0" activeSheetId="0"/>
    <customWorkbookView name="Filtro 136" guid="{620506BD-90CB-4FFD-ADD6-EEFB9E05D2C2}" maximized="1" windowWidth="0" windowHeight="0" activeSheetId="0"/>
    <customWorkbookView name="Filtro 137" guid="{0729D9A8-3FDD-4208-913C-5898A32EB14C}" maximized="1" windowWidth="0" windowHeight="0" activeSheetId="0"/>
    <customWorkbookView name="Filtro 138" guid="{B7CC4EE4-A846-4603-8481-AD2D4CB802B6}" maximized="1" windowWidth="0" windowHeight="0" activeSheetId="0"/>
    <customWorkbookView name="Filtro 139" guid="{4E4B428C-7B14-45A5-8B2C-221969AE8FFF}" maximized="1" windowWidth="0" windowHeight="0" activeSheetId="0"/>
    <customWorkbookView name="Filtro 132" guid="{DB05EF65-D7B5-4DD6-8F09-01BC4E20BF15}" maximized="1" windowWidth="0" windowHeight="0" activeSheetId="0"/>
    <customWorkbookView name="Filtro 133" guid="{6C0BBECD-A50F-4906-B232-F202421F246E}" maximized="1" windowWidth="0" windowHeight="0" activeSheetId="0"/>
    <customWorkbookView name="Filtro 134" guid="{C437C293-DD5A-46C1-9E17-A1E6569A844F}" maximized="1" windowWidth="0" windowHeight="0" activeSheetId="0"/>
    <customWorkbookView name="Filtro 135" guid="{498C8090-E789-4002-9AB4-7DA559970D1F}" maximized="1" windowWidth="0" windowHeight="0" activeSheetId="0"/>
    <customWorkbookView name="Filtro 130" guid="{EC630380-4E32-463C-A081-3FD6E39B14D4}" maximized="1" windowWidth="0" windowHeight="0" activeSheetId="0"/>
    <customWorkbookView name="Filtro 131" guid="{8D24973A-3DD4-4A65-81AA-4A3A5E1B8097}" maximized="1" windowWidth="0" windowHeight="0" activeSheetId="0"/>
    <customWorkbookView name="Filtro 17" guid="{93AB8B81-5F98-4284-B06A-D7CE72815A11}" maximized="1" windowWidth="0" windowHeight="0" activeSheetId="0"/>
    <customWorkbookView name="Filtro 18" guid="{308A98F0-B886-4603-9AAA-7507D9F3FDF3}" maximized="1" windowWidth="0" windowHeight="0" activeSheetId="0"/>
    <customWorkbookView name="Filtro 15" guid="{1ACE75D4-78FB-433B-A252-49AC148C336D}" maximized="1" windowWidth="0" windowHeight="0" activeSheetId="0"/>
    <customWorkbookView name="Filtro 16" guid="{F6E4F345-0495-4811-B173-87C625079C9E}" maximized="1" windowWidth="0" windowHeight="0" activeSheetId="0"/>
    <customWorkbookView name="Filtro 13" guid="{8512D509-BB82-4790-B030-E04796825D6B}" maximized="1" windowWidth="0" windowHeight="0" activeSheetId="0"/>
    <customWorkbookView name="Filtro 14" guid="{696FAB15-B4B8-48BE-8F83-E6C9E9CE8934}" maximized="1" windowWidth="0" windowHeight="0" activeSheetId="0"/>
    <customWorkbookView name="Filtro 99" guid="{F0BB1313-8DAB-4593-8379-B4E1E3B74303}" maximized="1" windowWidth="0" windowHeight="0" activeSheetId="0"/>
    <customWorkbookView name="Filtro 11" guid="{B41BF864-EE22-4CF9-8F54-DF9C2B01559F}" maximized="1" windowWidth="0" windowHeight="0" activeSheetId="0"/>
    <customWorkbookView name="Filtro 12" guid="{D0F7634C-C90D-415B-A49E-CA2B2308DD43}" maximized="1" windowWidth="0" windowHeight="0" activeSheetId="0"/>
    <customWorkbookView name="Filtro 97" guid="{48BEEF85-2E21-4F6B-AD21-18C6672F750C}" maximized="1" windowWidth="0" windowHeight="0" activeSheetId="0"/>
    <customWorkbookView name="Filtro 98" guid="{351F5E9C-A977-48CE-983D-BE49DC49D48F}" maximized="1" windowWidth="0" windowHeight="0" activeSheetId="0"/>
    <customWorkbookView name="Filtro 10" guid="{6756493F-515F-4BAD-99B9-4D4FD6DD7A9C}" maximized="1" windowWidth="0" windowHeight="0" activeSheetId="0"/>
    <customWorkbookView name="Filtro 95" guid="{73A11926-2E6F-4871-B727-3B1A920B8A61}" maximized="1" windowWidth="0" windowHeight="0" activeSheetId="0"/>
    <customWorkbookView name="Filtro 96" guid="{1B124F6D-7E9E-4A11-BA68-19BF451F357B}" maximized="1" windowWidth="0" windowHeight="0" activeSheetId="0"/>
    <customWorkbookView name="Filtro 93" guid="{423FEFF5-1271-4E5E-909E-F26C45E4687E}" maximized="1" windowWidth="0" windowHeight="0" activeSheetId="0"/>
    <customWorkbookView name="Filtro 94" guid="{09D69132-6565-4C75-B6C1-799CDAE8D0C1}" maximized="1" windowWidth="0" windowHeight="0" activeSheetId="0"/>
    <customWorkbookView name="Filtro 91" guid="{B0B99A06-0585-42AE-A3FC-8AB03D179DE1}" maximized="1" windowWidth="0" windowHeight="0" activeSheetId="0"/>
    <customWorkbookView name="Filtro 92" guid="{6A9A4AFA-3A97-4345-9DC1-B2430F067760}" maximized="1" windowWidth="0" windowHeight="0" activeSheetId="0"/>
    <customWorkbookView name="Filtro 169" guid="{92D059E1-DD44-46EF-9817-CE8E9ED08641}" maximized="1" windowWidth="0" windowHeight="0" activeSheetId="0"/>
    <customWorkbookView name="Filtro 90" guid="{FBF43EAE-8290-440F-B9C7-B7F1CB34234E}" maximized="1" windowWidth="0" windowHeight="0" activeSheetId="0"/>
    <customWorkbookView name="Filtro 165" guid="{8CCE7264-53B5-42E0-91A2-AC90A97DDBB0}" maximized="1" windowWidth="0" windowHeight="0" activeSheetId="0"/>
    <customWorkbookView name="Filtro 166" guid="{BE98C523-16C4-4799-B5C7-2FECDEAA3594}" maximized="1" windowWidth="0" windowHeight="0" activeSheetId="0"/>
    <customWorkbookView name="Filtro 167" guid="{CDB621C8-741E-4D49-A1A1-806831C1C801}" maximized="1" windowWidth="0" windowHeight="0" activeSheetId="0"/>
    <customWorkbookView name="Filtro 168" guid="{0C29AC0F-29EE-43E2-A3A9-238CF9B4E828}" maximized="1" windowWidth="0" windowHeight="0" activeSheetId="0"/>
    <customWorkbookView name="Filtro 161" guid="{4F2CCAF3-97EF-4C30-8A9B-B6C17B3875D4}" maximized="1" windowWidth="0" windowHeight="0" activeSheetId="0"/>
    <customWorkbookView name="Filtro 162" guid="{0BA908DD-2BB4-48DD-992D-A06F463B3C10}" maximized="1" windowWidth="0" windowHeight="0" activeSheetId="0"/>
    <customWorkbookView name="Filtro 163" guid="{3E739D3D-4612-4A7D-B065-193217A121C9}" maximized="1" windowWidth="0" windowHeight="0" activeSheetId="0"/>
    <customWorkbookView name="Filtro 164" guid="{1A2D0BEE-A1E7-4868-B0E7-2299906D2EC9}" maximized="1" windowWidth="0" windowHeight="0" activeSheetId="0"/>
    <customWorkbookView name="Filtro 160" guid="{B7CD9EB0-1531-40C7-9620-5B58C4DE4619}" maximized="1" windowWidth="0" windowHeight="0" activeSheetId="0"/>
    <customWorkbookView name="Filtro 28" guid="{1CC9FC42-DA3F-4C4C-8D11-5290D572985F}" maximized="1" windowWidth="0" windowHeight="0" activeSheetId="0"/>
    <customWorkbookView name="Filtro 29" guid="{AC2A9D44-625D-4777-81CF-B348B418D6A2}" maximized="1" windowWidth="0" windowHeight="0" activeSheetId="0"/>
    <customWorkbookView name="Filtro 26" guid="{D864ABD8-FE0C-4DB1-AFBB-435365A1AFFA}" maximized="1" windowWidth="0" windowHeight="0" activeSheetId="0"/>
    <customWorkbookView name="Filtro 27" guid="{6C4E81CA-32B3-4BD4-9A1C-F20FF8B924A7}" maximized="1" windowWidth="0" windowHeight="0" activeSheetId="0"/>
    <customWorkbookView name="Filtro 8" guid="{7DA9518A-EE5A-427A-8374-9078BCA694F8}" maximized="1" windowWidth="0" windowHeight="0" activeSheetId="0"/>
    <customWorkbookView name="Filtro 24" guid="{F7A696CE-1C08-47AC-97AB-04922766D35D}" maximized="1" windowWidth="0" windowHeight="0" activeSheetId="0"/>
    <customWorkbookView name="Filtro 9" guid="{CA819861-0AE0-4948-82AE-AB183D929D75}" maximized="1" windowWidth="0" windowHeight="0" activeSheetId="0"/>
    <customWorkbookView name="Filtro 25" guid="{71E42FA8-6CEB-4654-A089-2A9DF79B5124}" maximized="1" windowWidth="0" windowHeight="0" activeSheetId="0"/>
    <customWorkbookView name="Filtro 22" guid="{868430C6-0589-475C-A71F-471025F1F9DA}" maximized="1" windowWidth="0" windowHeight="0" activeSheetId="0"/>
    <customWorkbookView name="Filtro 23" guid="{82A40C77-C21E-423D-9026-A1FFC3D45689}" maximized="1" windowWidth="0" windowHeight="0" activeSheetId="0"/>
    <customWorkbookView name="Filtro 20" guid="{07518316-F8A7-4EB0-947D-572D32265DD6}" maximized="1" windowWidth="0" windowHeight="0" activeSheetId="0"/>
    <customWorkbookView name="Filtro 21" guid="{2ACEDE0F-F9B4-496A-AEDF-A3455844D0F1}" maximized="1" windowWidth="0" windowHeight="0" activeSheetId="0"/>
    <customWorkbookView name="Filtro 158" guid="{B687DF64-BC4A-4A5E-86C9-AD317BE257F3}" maximized="1" windowWidth="0" windowHeight="0" activeSheetId="0"/>
    <customWorkbookView name="Filtro 159" guid="{88E135A6-EC14-4A9F-8810-3E1BF8B05913}" maximized="1" windowWidth="0" windowHeight="0" activeSheetId="0"/>
    <customWorkbookView name="Filtro 154" guid="{1CA5E0BF-68F0-49B9-BAC3-D5150E9684AC}" maximized="1" windowWidth="0" windowHeight="0" activeSheetId="0"/>
    <customWorkbookView name="Filtro 155" guid="{5CDCABD2-B796-4544-A3DF-EA95C60E83B1}" maximized="1" windowWidth="0" windowHeight="0" activeSheetId="0"/>
    <customWorkbookView name="Filtro 156" guid="{FFF3EAAB-FE87-47E6-83D5-BE12890C325F}" maximized="1" windowWidth="0" windowHeight="0" activeSheetId="0"/>
    <customWorkbookView name="Filtro 157" guid="{BE8CD934-CC4E-44AD-87CB-FAA2F27B5EDE}" maximized="1" windowWidth="0" windowHeight="0" activeSheetId="0"/>
    <customWorkbookView name="Filtro 150" guid="{A0B546EB-9509-40DA-A60B-298EBFE4E59D}" maximized="1" windowWidth="0" windowHeight="0" activeSheetId="0"/>
    <customWorkbookView name="Filtro 151" guid="{42D21524-78A6-48BE-B817-2DEE65E174F2}" maximized="1" windowWidth="0" windowHeight="0" activeSheetId="0"/>
    <customWorkbookView name="Filtro 152" guid="{68027020-505F-4FEF-B89A-FA26CB86BFBD}" maximized="1" windowWidth="0" windowHeight="0" activeSheetId="0"/>
    <customWorkbookView name="Filtro 153" guid="{D88A4E9B-48B4-4051-9559-DAF3073B092E}" maximized="1" windowWidth="0" windowHeight="0" activeSheetId="0"/>
    <customWorkbookView name="Filtro 19" guid="{BE2B38C5-3A4C-41A6-B1CE-C5BD1A554CE1}" maximized="1" windowWidth="0" windowHeight="0" activeSheetId="0"/>
    <customWorkbookView name="Filtro 39" guid="{ACC6E3C0-B31C-4914-B8EB-5C970F7276E1}" maximized="1" windowWidth="0" windowHeight="0" activeSheetId="0"/>
    <customWorkbookView name="Filtro 37" guid="{4CBC865C-9949-4E80-A3AA-F2F06539A76B}" maximized="1" windowWidth="0" windowHeight="0" activeSheetId="0"/>
    <customWorkbookView name="Filtro 38" guid="{F5E5ED4E-DF60-4BBD-B24F-5EA09E18D40C}" maximized="1" windowWidth="0" windowHeight="0" activeSheetId="0"/>
    <customWorkbookView name="Filtro 35" guid="{C1687B13-2B25-4F88-B9FC-5F98F0C59F78}" maximized="1" windowWidth="0" windowHeight="0" activeSheetId="0"/>
    <customWorkbookView name="Filtro 36" guid="{2A7C5A02-283B-4AF0-9172-FB25C169B4CC}" maximized="1" windowWidth="0" windowHeight="0" activeSheetId="0"/>
    <customWorkbookView name="Filtro 33" guid="{3B3B7747-6ACF-4D69-A9DA-2034D46A0C17}" maximized="1" windowWidth="0" windowHeight="0" activeSheetId="0"/>
    <customWorkbookView name="Filtro 34" guid="{11E82F7A-A513-409C-8889-85D2D04EAA93}" maximized="1" windowWidth="0" windowHeight="0" activeSheetId="0"/>
    <customWorkbookView name="Filtro 31" guid="{48357F01-1856-4FCF-9F08-FCDE56A2D44A}" maximized="1" windowWidth="0" windowHeight="0" activeSheetId="0"/>
    <customWorkbookView name="Filtro 32" guid="{FB88F0D5-C0C4-49EA-AA98-7E894FD09BBF}" maximized="1" windowWidth="0" windowHeight="0" activeSheetId="0"/>
    <customWorkbookView name="Filtro 30" guid="{C211F3C5-E62E-499E-8F63-245DA1931F27}" maximized="1" windowWidth="0" windowHeight="0" activeSheetId="0"/>
    <customWorkbookView name="Filtro 103" guid="{3D93ED61-EE7D-4D34-AA35-E3A99D2818CC}" maximized="1" windowWidth="0" windowHeight="0" activeSheetId="0"/>
    <customWorkbookView name="Filtro 104" guid="{18202B43-11E2-4360-89B4-BC3A5A4F1DF4}" maximized="1" windowWidth="0" windowHeight="0" activeSheetId="0"/>
    <customWorkbookView name="Filtro 105" guid="{0F1F1A7D-DBBA-48E6-8155-A22F73061F6A}" maximized="1" windowWidth="0" windowHeight="0" activeSheetId="0"/>
    <customWorkbookView name="Filtro 106" guid="{7EAC6D07-C079-4E1F-8351-32A4134DCF17}" maximized="1" windowWidth="0" windowHeight="0" activeSheetId="0"/>
    <customWorkbookView name="Filtro 100" guid="{A50D27BC-8C13-4194-A754-7376F2F3B5DA}" maximized="1" windowWidth="0" windowHeight="0" activeSheetId="0"/>
    <customWorkbookView name="Filtro 101" guid="{70FA6B02-2DAC-44FB-9C02-C4F5C0E36D73}" maximized="1" windowWidth="0" windowHeight="0" activeSheetId="0"/>
    <customWorkbookView name="Filtro 102" guid="{4940310E-44EC-4404-8E7A-3DB94229D3CC}" maximized="1" windowWidth="0" windowHeight="0" activeSheetId="0"/>
    <customWorkbookView name="Filtro 4" guid="{B36BCCD7-3E96-42EF-956F-39C1E1AA82D7}" maximized="1" windowWidth="0" windowHeight="0" activeSheetId="0"/>
    <customWorkbookView name="Filtro 5" guid="{C9E04318-49D5-413C-AE45-5FA13028FBA7}" maximized="1" windowWidth="0" windowHeight="0" activeSheetId="0"/>
    <customWorkbookView name="Filtro 6" guid="{A94C9867-6E9C-4996-98EE-31E34F1A6290}" maximized="1" windowWidth="0" windowHeight="0" activeSheetId="0"/>
    <customWorkbookView name="Filtro 7" guid="{76D4584F-C314-4A4E-9FC8-D8CBFFFD2BFD}" maximized="1" windowWidth="0" windowHeight="0" activeSheetId="0"/>
    <customWorkbookView name="Filtro 1" guid="{B7EEEDA4-B1BD-42FA-A7D9-296D455A843A}" maximized="1" windowWidth="0" windowHeight="0" activeSheetId="0"/>
    <customWorkbookView name="Filtro 2" guid="{14F2BC0A-D0DC-4C31-B463-CFE61D5BFA16}" maximized="1" windowWidth="0" windowHeight="0" activeSheetId="0"/>
    <customWorkbookView name="Filtro 3" guid="{81931677-6684-49E1-A5A6-0E1E7ADF1EED}" maximized="1" windowWidth="0" windowHeight="0" activeSheetId="0"/>
    <customWorkbookView name="Filtro 48" guid="{30DCFFE6-AC46-4E31-A4DE-A50A8DB8D6EE}" maximized="1" windowWidth="0" windowHeight="0" activeSheetId="0"/>
    <customWorkbookView name="Filtro 49" guid="{20EDE9E2-012B-4D94-BBFB-E727994B300D}" maximized="1" windowWidth="0" windowHeight="0" activeSheetId="0"/>
    <customWorkbookView name="Filtro 46" guid="{31229629-4FD1-448B-A266-475AA52A7FB8}" maximized="1" windowWidth="0" windowHeight="0" activeSheetId="0"/>
    <customWorkbookView name="Filtro 47" guid="{008E127E-C544-4EFA-BE3B-1D75A2D8A540}" maximized="1" windowWidth="0" windowHeight="0" activeSheetId="0"/>
    <customWorkbookView name="Filtro 44" guid="{61A21088-D231-4D60-92A9-DD2E208C52FC}" maximized="1" windowWidth="0" windowHeight="0" activeSheetId="0"/>
    <customWorkbookView name="Filtro 45" guid="{7F512548-DCD4-41A0-81C1-C8D0EAF11021}" maximized="1" windowWidth="0" windowHeight="0" activeSheetId="0"/>
    <customWorkbookView name="Filtro 42" guid="{D0D5036C-A5B8-48C9-99F2-3378B99CD86A}" maximized="1" windowWidth="0" windowHeight="0" activeSheetId="0"/>
    <customWorkbookView name="Filtro 43" guid="{FEAC60D3-C159-415D-937A-4EAACDD63294}" maximized="1" windowWidth="0" windowHeight="0" activeSheetId="0"/>
    <customWorkbookView name="Filtro 40" guid="{467CCEEF-C32B-435C-B4B4-C5C520204D0A}" maximized="1" windowWidth="0" windowHeight="0" activeSheetId="0"/>
    <customWorkbookView name="Filtro 41" guid="{BA18543D-75F5-4396-A6BE-06A25F435576}" maximized="1" windowWidth="0" windowHeight="0" activeSheetId="0"/>
    <customWorkbookView name="Filtro 176" guid="{F430D34E-B491-4E9C-849E-EEB9B339935A}" maximized="1" windowWidth="0" windowHeight="0" activeSheetId="0"/>
    <customWorkbookView name="Filtro 177" guid="{7A31FC72-E7F8-41D5-8003-370F116E4600}" maximized="1" windowWidth="0" windowHeight="0" activeSheetId="0"/>
    <customWorkbookView name="Filtro 178" guid="{190E4C1F-122C-47B6-9AB6-5AD0DE5AE794}" maximized="1" windowWidth="0" windowHeight="0" activeSheetId="0"/>
    <customWorkbookView name="Filtro 172" guid="{9DB54CEC-7DF6-4819-98A7-5213652DB41E}" maximized="1" windowWidth="0" windowHeight="0" activeSheetId="0"/>
    <customWorkbookView name="Filtro 173" guid="{123EA29C-8E07-4455-925A-02BED419E6D8}" maximized="1" windowWidth="0" windowHeight="0" activeSheetId="0"/>
    <customWorkbookView name="Filtro 174" guid="{7B1ED787-A94E-4CE6-A02D-6B7249291FB8}" maximized="1" windowWidth="0" windowHeight="0" activeSheetId="0"/>
    <customWorkbookView name="Filtro 175" guid="{165CC5BD-C6DE-42CC-8EC5-314C1EF5C23C}" maximized="1" windowWidth="0" windowHeight="0" activeSheetId="0"/>
    <customWorkbookView name="Filtro 170" guid="{BF6FEDB4-E2FA-48B7-9DA6-BC7F490B0477}" maximized="1" windowWidth="0" windowHeight="0" activeSheetId="0"/>
    <customWorkbookView name="Filtro 171" guid="{AEA42E9C-6B35-4C80-9D55-A52D57DB8C78}" maximized="1" windowWidth="0" windowHeight="0" activeSheetId="0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6" i="2" l="1"/>
  <c r="R70" i="2"/>
  <c r="R56" i="2"/>
  <c r="R130" i="2"/>
  <c r="R57" i="2"/>
  <c r="R26" i="2"/>
  <c r="R122" i="2"/>
  <c r="R3" i="2"/>
  <c r="R142" i="2"/>
  <c r="R141" i="2"/>
  <c r="R140" i="2"/>
  <c r="R139" i="2"/>
  <c r="R138" i="2"/>
  <c r="R137" i="2"/>
  <c r="R136" i="2"/>
  <c r="R135" i="2"/>
  <c r="R134" i="2"/>
  <c r="R133" i="2"/>
  <c r="R132" i="2"/>
  <c r="R131" i="2"/>
  <c r="R129" i="2"/>
  <c r="R128" i="2"/>
  <c r="R127" i="2"/>
  <c r="R126" i="2"/>
  <c r="R125" i="2"/>
  <c r="R123" i="2"/>
  <c r="R121" i="2"/>
  <c r="R120" i="2"/>
  <c r="R119" i="2"/>
  <c r="R118" i="2"/>
  <c r="R117" i="2"/>
  <c r="R116" i="2"/>
  <c r="R115" i="2"/>
  <c r="R114" i="2"/>
  <c r="R112" i="2"/>
  <c r="R113" i="2"/>
  <c r="R111" i="2"/>
  <c r="R110" i="2"/>
  <c r="R109" i="2"/>
  <c r="R107" i="2"/>
  <c r="R108" i="2"/>
  <c r="R106" i="2"/>
  <c r="R105" i="2"/>
  <c r="R104" i="2"/>
  <c r="R102" i="2"/>
  <c r="R101" i="2"/>
  <c r="R100" i="2"/>
  <c r="R99" i="2"/>
  <c r="R94" i="2"/>
  <c r="R92" i="2"/>
  <c r="R93" i="2"/>
  <c r="R91" i="2"/>
  <c r="R89" i="2"/>
  <c r="R88" i="2"/>
  <c r="R87" i="2"/>
  <c r="R86" i="2"/>
  <c r="R85" i="2"/>
  <c r="R83" i="2"/>
  <c r="R84" i="2"/>
  <c r="R81" i="2"/>
  <c r="R80" i="2"/>
  <c r="R78" i="2"/>
  <c r="R79" i="2"/>
  <c r="R82" i="2"/>
  <c r="R77" i="2"/>
  <c r="R76" i="2"/>
  <c r="R74" i="2"/>
  <c r="R73" i="2"/>
  <c r="R72" i="2"/>
  <c r="R71" i="2"/>
  <c r="R69" i="2"/>
  <c r="R68" i="2"/>
  <c r="R67" i="2"/>
  <c r="R66" i="2"/>
  <c r="R65" i="2"/>
  <c r="R64" i="2"/>
  <c r="R63" i="2"/>
  <c r="R62" i="2"/>
  <c r="R61" i="2"/>
  <c r="R60" i="2"/>
  <c r="R59" i="2"/>
  <c r="R58" i="2"/>
  <c r="R55" i="2"/>
  <c r="R54" i="2"/>
  <c r="R53" i="2"/>
  <c r="R52" i="2"/>
  <c r="R51" i="2"/>
  <c r="R50" i="2"/>
  <c r="R49" i="2"/>
  <c r="R48" i="2"/>
  <c r="R47" i="2"/>
  <c r="R45" i="2"/>
  <c r="R44" i="2"/>
  <c r="R43" i="2"/>
  <c r="R42" i="2"/>
  <c r="R41" i="2"/>
  <c r="R40" i="2"/>
  <c r="R39" i="2"/>
  <c r="R38" i="2"/>
  <c r="R37" i="2"/>
  <c r="R36" i="2"/>
  <c r="R35" i="2"/>
  <c r="R34" i="2"/>
  <c r="R33" i="2"/>
  <c r="R32" i="2"/>
  <c r="R30" i="2"/>
  <c r="R31" i="2"/>
  <c r="R29" i="2"/>
  <c r="R27" i="2"/>
  <c r="R25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4" i="2"/>
  <c r="R2" i="2"/>
  <c r="C2" i="18" a="1"/>
  <c r="C3" i="18" a="1"/>
  <c r="C4" i="18" a="1"/>
  <c r="C5" i="18" a="1"/>
  <c r="C6" i="18" a="1"/>
  <c r="C7" i="18" a="1"/>
  <c r="C8" i="18" a="1"/>
  <c r="C9" i="18" a="1"/>
  <c r="C10" i="18" a="1"/>
  <c r="C11" i="18" a="1"/>
  <c r="C12" i="18" a="1"/>
  <c r="C13" i="18" a="1"/>
  <c r="C14" i="18" a="1"/>
  <c r="C15" i="18" a="1"/>
  <c r="C16" i="18" a="1"/>
  <c r="C17" i="18" a="1"/>
  <c r="C18" i="18" a="1"/>
  <c r="C19" i="18" a="1"/>
  <c r="C20" i="18" a="1"/>
  <c r="C21" i="18" a="1"/>
  <c r="C22" i="18" a="1"/>
  <c r="C23" i="18" a="1"/>
  <c r="C24" i="18" a="1"/>
  <c r="C25" i="18" a="1"/>
  <c r="C26" i="18" a="1"/>
  <c r="C27" i="18" a="1"/>
  <c r="C28" i="18" a="1"/>
  <c r="C29" i="18" a="1"/>
  <c r="C30" i="18" a="1"/>
  <c r="C31" i="18" a="1"/>
  <c r="C32" i="18" a="1"/>
  <c r="C33" i="18" a="1"/>
  <c r="C34" i="18" a="1"/>
  <c r="C35" i="18" a="1"/>
  <c r="C36" i="18" a="1"/>
  <c r="C37" i="18" a="1"/>
  <c r="C38" i="18" a="1"/>
  <c r="C39" i="18" a="1"/>
  <c r="C40" i="18" a="1"/>
  <c r="C41" i="18" a="1"/>
  <c r="C42" i="18" a="1"/>
  <c r="C43" i="18" a="1"/>
  <c r="C44" i="18" a="1"/>
  <c r="C45" i="18" a="1"/>
  <c r="C46" i="18" a="1"/>
  <c r="C47" i="18" a="1"/>
  <c r="C48" i="18" a="1"/>
  <c r="C49" i="18" a="1"/>
  <c r="C50" i="18" a="1"/>
  <c r="C51" i="18" a="1"/>
  <c r="C52" i="18" a="1"/>
  <c r="C53" i="18" a="1"/>
  <c r="C54" i="18" a="1"/>
  <c r="C55" i="18" a="1"/>
  <c r="C56" i="18" a="1"/>
  <c r="C57" i="18" a="1"/>
  <c r="C58" i="18" a="1"/>
  <c r="C59" i="18" a="1"/>
  <c r="C60" i="18" a="1"/>
  <c r="C61" i="18" a="1"/>
  <c r="C62" i="18" a="1"/>
  <c r="C63" i="18" a="1"/>
  <c r="C64" i="18" a="1"/>
  <c r="C65" i="18" a="1"/>
  <c r="C66" i="18" a="1"/>
  <c r="C67" i="18" a="1"/>
  <c r="C68" i="18" a="1"/>
  <c r="C69" i="18" a="1"/>
  <c r="C70" i="18" a="1"/>
  <c r="C71" i="18" a="1"/>
  <c r="C72" i="18" a="1"/>
  <c r="C73" i="18" a="1"/>
  <c r="C74" i="18" a="1"/>
  <c r="C75" i="18" a="1"/>
  <c r="C76" i="18" a="1"/>
  <c r="C77" i="18" a="1"/>
  <c r="C78" i="18" a="1"/>
  <c r="C79" i="18" a="1"/>
  <c r="C80" i="18" a="1"/>
  <c r="C81" i="18" a="1"/>
  <c r="C82" i="18" a="1"/>
  <c r="C83" i="18" a="1"/>
  <c r="C84" i="18" a="1"/>
  <c r="C85" i="18" a="1"/>
  <c r="C86" i="18" a="1"/>
  <c r="C87" i="18" a="1"/>
  <c r="C88" i="18" a="1"/>
  <c r="C89" i="18" a="1"/>
  <c r="C90" i="18" a="1"/>
  <c r="C91" i="18" a="1"/>
  <c r="C92" i="18" a="1"/>
  <c r="C93" i="18" a="1"/>
  <c r="C94" i="18" a="1"/>
  <c r="C95" i="18" a="1"/>
  <c r="C96" i="18" a="1"/>
  <c r="C97" i="18" a="1"/>
  <c r="C98" i="18" a="1"/>
  <c r="C99" i="18" a="1"/>
  <c r="C100" i="18" a="1"/>
  <c r="C101" i="18" a="1"/>
  <c r="C102" i="18" a="1"/>
  <c r="C103" i="18" a="1"/>
  <c r="E3" i="17"/>
  <c r="E2" i="17"/>
  <c r="E127" i="16"/>
  <c r="E126" i="16"/>
  <c r="E125" i="16"/>
  <c r="E120" i="16"/>
  <c r="C120" i="16"/>
  <c r="D118" i="16"/>
  <c r="D117" i="16"/>
  <c r="D116" i="16"/>
  <c r="D115" i="16"/>
  <c r="D114" i="16"/>
  <c r="D113" i="16"/>
  <c r="D112" i="16"/>
  <c r="D111" i="16"/>
  <c r="D110" i="16"/>
  <c r="D109" i="16"/>
  <c r="D108" i="16"/>
  <c r="D107" i="16"/>
  <c r="D106" i="16"/>
  <c r="D105" i="16"/>
  <c r="D104" i="16"/>
  <c r="D103" i="16"/>
  <c r="D102" i="16"/>
  <c r="D101" i="16"/>
  <c r="G100" i="16"/>
  <c r="D100" i="16"/>
  <c r="D99" i="16"/>
  <c r="D98" i="16"/>
  <c r="D97" i="16"/>
  <c r="D96" i="16"/>
  <c r="D95" i="16"/>
  <c r="D94" i="16"/>
  <c r="D93" i="16"/>
  <c r="D92" i="16"/>
  <c r="D91" i="16"/>
  <c r="D89" i="16"/>
  <c r="D88" i="16"/>
  <c r="D87" i="16"/>
  <c r="G86" i="16"/>
  <c r="D86" i="16"/>
  <c r="D85" i="16"/>
  <c r="D83" i="16"/>
  <c r="D82" i="16"/>
  <c r="D81" i="16"/>
  <c r="D80" i="16"/>
  <c r="G78" i="16"/>
  <c r="D78" i="16"/>
  <c r="D77" i="16"/>
  <c r="D76" i="16"/>
  <c r="D75" i="16"/>
  <c r="D74" i="16"/>
  <c r="D73" i="16"/>
  <c r="D72" i="16"/>
  <c r="D71" i="16"/>
  <c r="D70" i="16"/>
  <c r="D69" i="16"/>
  <c r="D68" i="16"/>
  <c r="D67" i="16"/>
  <c r="D66" i="16"/>
  <c r="D65" i="16"/>
  <c r="D64" i="16"/>
  <c r="G63" i="16"/>
  <c r="D63" i="16"/>
  <c r="G62" i="16"/>
  <c r="D62" i="16"/>
  <c r="D61" i="16"/>
  <c r="D60" i="16"/>
  <c r="D59" i="16"/>
  <c r="D58" i="16"/>
  <c r="G57" i="16"/>
  <c r="D57" i="16"/>
  <c r="D56" i="16"/>
  <c r="D55" i="16"/>
  <c r="D53" i="16"/>
  <c r="D52" i="16"/>
  <c r="G51" i="16"/>
  <c r="D51" i="16"/>
  <c r="D50" i="16"/>
  <c r="D49" i="16"/>
  <c r="D48" i="16"/>
  <c r="D47" i="16"/>
  <c r="G46" i="16"/>
  <c r="D46" i="16"/>
  <c r="D45" i="16"/>
  <c r="D44" i="16"/>
  <c r="D43" i="16"/>
  <c r="D42" i="16"/>
  <c r="D41" i="16"/>
  <c r="D40" i="16"/>
  <c r="D39" i="16"/>
  <c r="D38" i="16"/>
  <c r="D37" i="16"/>
  <c r="G36" i="16"/>
  <c r="D36" i="16"/>
  <c r="D35" i="16"/>
  <c r="D34" i="16"/>
  <c r="D33" i="16"/>
  <c r="G32" i="16"/>
  <c r="D32" i="16"/>
  <c r="D31" i="16"/>
  <c r="D30" i="16"/>
  <c r="D29" i="16"/>
  <c r="D28" i="16"/>
  <c r="D27" i="16"/>
  <c r="M26" i="16"/>
  <c r="D26" i="16"/>
  <c r="M25" i="16"/>
  <c r="D25" i="16"/>
  <c r="M24" i="16"/>
  <c r="D24" i="16"/>
  <c r="M23" i="16"/>
  <c r="D23" i="16"/>
  <c r="D22" i="16"/>
  <c r="M21" i="16"/>
  <c r="D21" i="16"/>
  <c r="G20" i="16"/>
  <c r="D20" i="16"/>
  <c r="M19" i="16"/>
  <c r="K19" i="16"/>
  <c r="D19" i="16"/>
  <c r="M18" i="16"/>
  <c r="K18" i="16"/>
  <c r="D18" i="16"/>
  <c r="D17" i="16"/>
  <c r="D16" i="16"/>
  <c r="D14" i="16"/>
  <c r="D13" i="16"/>
  <c r="D12" i="16"/>
  <c r="D11" i="16"/>
  <c r="D10" i="16"/>
  <c r="D9" i="16"/>
  <c r="D8" i="16"/>
  <c r="D7" i="16"/>
  <c r="D6" i="16"/>
  <c r="D5" i="16"/>
  <c r="K4" i="16"/>
  <c r="D4" i="16"/>
  <c r="K3" i="16"/>
  <c r="D3" i="16"/>
  <c r="D2" i="16"/>
  <c r="M4" i="16" l="1"/>
  <c r="K26" i="16"/>
  <c r="K25" i="16"/>
  <c r="K24" i="16"/>
  <c r="K23" i="16"/>
  <c r="K20" i="16"/>
  <c r="K22" i="16"/>
  <c r="K21" i="16"/>
  <c r="M20" i="16"/>
  <c r="K11" i="16"/>
  <c r="P12" i="16"/>
  <c r="M9" i="16"/>
  <c r="M3" i="16"/>
  <c r="P3" i="16"/>
  <c r="P18" i="16"/>
  <c r="P4" i="16"/>
  <c r="O23" i="16"/>
  <c r="M22" i="16"/>
  <c r="O25" i="16"/>
  <c r="O18" i="16"/>
  <c r="O21" i="16"/>
  <c r="O4" i="16"/>
  <c r="G120" i="16"/>
  <c r="O19" i="16"/>
  <c r="O20" i="16"/>
  <c r="M14" i="16"/>
  <c r="O26" i="16"/>
  <c r="P14" i="16"/>
  <c r="K13" i="16"/>
  <c r="M11" i="16"/>
  <c r="P10" i="16"/>
  <c r="K9" i="16"/>
  <c r="M8" i="16"/>
  <c r="P8" i="16"/>
  <c r="M13" i="16"/>
  <c r="K28" i="16"/>
  <c r="L18" i="16" s="1"/>
  <c r="M28" i="16"/>
  <c r="L22" i="16"/>
  <c r="O24" i="16"/>
  <c r="K5" i="16"/>
  <c r="L3" i="16" s="1"/>
  <c r="L20" i="16"/>
  <c r="K10" i="16"/>
  <c r="P11" i="16"/>
  <c r="M12" i="16"/>
  <c r="K14" i="16"/>
  <c r="K8" i="16"/>
  <c r="P9" i="16"/>
  <c r="M10" i="16"/>
  <c r="K12" i="16"/>
  <c r="P13" i="16"/>
  <c r="P5" i="16" l="1"/>
  <c r="L23" i="16"/>
  <c r="P15" i="16"/>
  <c r="O12" i="16"/>
  <c r="N19" i="16"/>
  <c r="O28" i="16"/>
  <c r="M27" i="16"/>
  <c r="N28" i="16"/>
  <c r="N26" i="16"/>
  <c r="N20" i="16"/>
  <c r="N18" i="16"/>
  <c r="N23" i="16"/>
  <c r="L4" i="16"/>
  <c r="O11" i="16"/>
  <c r="O14" i="16"/>
  <c r="O22" i="16"/>
  <c r="N22" i="16"/>
  <c r="O10" i="16"/>
  <c r="L5" i="16"/>
  <c r="L28" i="16"/>
  <c r="L27" i="16"/>
  <c r="L19" i="16"/>
  <c r="O8" i="16"/>
  <c r="M15" i="16"/>
  <c r="N12" i="16" s="1"/>
  <c r="N25" i="16"/>
  <c r="L25" i="16"/>
  <c r="M5" i="16"/>
  <c r="N4" i="16" s="1"/>
  <c r="O3" i="16"/>
  <c r="K15" i="16"/>
  <c r="L15" i="16" s="1"/>
  <c r="L8" i="16"/>
  <c r="L12" i="16"/>
  <c r="L14" i="16"/>
  <c r="N21" i="16"/>
  <c r="N24" i="16"/>
  <c r="L21" i="16"/>
  <c r="O13" i="16"/>
  <c r="L9" i="16"/>
  <c r="L24" i="16"/>
  <c r="L26" i="16"/>
  <c r="O9" i="16"/>
  <c r="N9" i="16"/>
  <c r="L13" i="16" l="1"/>
  <c r="L10" i="16"/>
  <c r="N11" i="16"/>
  <c r="N13" i="16"/>
  <c r="N8" i="16"/>
  <c r="N14" i="16"/>
  <c r="N3" i="16"/>
  <c r="N5" i="16" s="1"/>
  <c r="L11" i="16"/>
  <c r="O15" i="16"/>
  <c r="N15" i="16"/>
  <c r="N10" i="16"/>
  <c r="O27" i="16"/>
  <c r="N27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tc={41111dda-496e-4f6c-bd73-a1d0dec6dcc5}</author>
    <author/>
  </authors>
  <commentList>
    <comment ref="M1" authorId="0" shapeId="0" xr:uid="{41111DDA-496E-4F6C-BD73-A1D0DEC6DCC5}">
      <text>
        <t>[Threaded comment]
Your version of Excel allows you to read this threaded comment; however, any edits to it will get removed if the file is opened in a newer version of Excel. Learn more: https://go.microsoft.com/fwlink/?linkid=870924
Comment:
    ARR - Arrojada
BDR - BDR
CON - Conservadora 
CORP - Corporate 
CRIP - Cripto
DIV - Dividendos 
EQT - Equities 
FII - Imobiliária
INC - Income
MOD - Moderada
PREV - Previdenciária
SMLL - Small Caps
FUND - Fundos</t>
      </text>
    </comment>
    <comment ref="V1" authorId="1" shapeId="0" xr:uid="{00000000-0006-0000-0100-000001000000}">
      <text>
        <r>
          <rPr>
            <sz val="10"/>
            <color rgb="FF000000"/>
            <rFont val="Arial"/>
            <scheme val="minor"/>
          </rPr>
          <t xml:space="preserve">                   AO BACKOFFICE 
PARA STVM NA OBSERVAÇÃO DA MESA: colocar apenas o início das STVMs, após conclusão deve ser OBRIGATÓRIAMENTE removida e transferida para as observações do BackOffice.
-STVM da [CORRETORA] iniciada [DATA]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<sst xmlns="http://schemas.openxmlformats.org/spreadsheetml/2006/main" count="12847" uniqueCount="2016">
  <si>
    <t>Corretora</t>
  </si>
  <si>
    <t>Grupo Geral</t>
  </si>
  <si>
    <t>Grupo Familiar</t>
  </si>
  <si>
    <t>Cliente</t>
  </si>
  <si>
    <t>PF/ PJ</t>
  </si>
  <si>
    <t>Canal</t>
  </si>
  <si>
    <t>Cliente - Corretora</t>
  </si>
  <si>
    <t>Conta</t>
  </si>
  <si>
    <t>UF</t>
  </si>
  <si>
    <t>Consultor</t>
  </si>
  <si>
    <t>Início da Conta</t>
  </si>
  <si>
    <t>Tipo de Marcação</t>
  </si>
  <si>
    <t>Perfil Carteira/ Renda</t>
  </si>
  <si>
    <t>Perfil de Investidor</t>
  </si>
  <si>
    <t>Vencimento Suitability</t>
  </si>
  <si>
    <t>Data Próxima Revisão</t>
  </si>
  <si>
    <t>Tabela Fee</t>
  </si>
  <si>
    <t>Target Carteira</t>
  </si>
  <si>
    <t>Consolidador</t>
  </si>
  <si>
    <t>Liquidez</t>
  </si>
  <si>
    <t xml:space="preserve">Resgates Recorrentes </t>
  </si>
  <si>
    <t>Observações</t>
  </si>
  <si>
    <t>Possui Crédito</t>
  </si>
  <si>
    <t>Possui Previdência</t>
  </si>
  <si>
    <t>Calculadora de IR</t>
  </si>
  <si>
    <t>E-mail</t>
  </si>
  <si>
    <t>PL 31/01/2025</t>
  </si>
  <si>
    <t>PL 28/02/2025</t>
  </si>
  <si>
    <t>PL 31/03/2025</t>
  </si>
  <si>
    <t>PL 30/04/2025</t>
  </si>
  <si>
    <t>PL 30/05/2025</t>
  </si>
  <si>
    <t>PL 30/06/2025</t>
  </si>
  <si>
    <t>PL 31/07/2025</t>
  </si>
  <si>
    <t>PL 29/08/2025</t>
  </si>
  <si>
    <t>PL 30/09/2025</t>
  </si>
  <si>
    <t>PL 31/10/2025</t>
  </si>
  <si>
    <t>PL 28/11/2025</t>
  </si>
  <si>
    <t>PL 31/12/2025</t>
  </si>
  <si>
    <t>PL 30/01/2026</t>
  </si>
  <si>
    <t>PL 27/02/2026</t>
  </si>
  <si>
    <t>PL 31/03/2026</t>
  </si>
  <si>
    <t>PL 30/04/2026</t>
  </si>
  <si>
    <t>PL 29/05/2026</t>
  </si>
  <si>
    <t>PL 30/06/2026</t>
  </si>
  <si>
    <t>PL 31/07/2026</t>
  </si>
  <si>
    <t>PL 31/08/2026</t>
  </si>
  <si>
    <t>PL 30/09/2026</t>
  </si>
  <si>
    <t>PL 14/10/2026</t>
  </si>
  <si>
    <t>XP</t>
  </si>
  <si>
    <t>Abrao Miguel Arabe Neto</t>
  </si>
  <si>
    <t>PF</t>
  </si>
  <si>
    <t>Wealth</t>
  </si>
  <si>
    <t>Abrao Miguel Arabe Neto - XP</t>
  </si>
  <si>
    <t>SP</t>
  </si>
  <si>
    <t>Thiago Silva</t>
  </si>
  <si>
    <t>MERCADO</t>
  </si>
  <si>
    <t>Moderado Renda Construção</t>
  </si>
  <si>
    <t>ARROJADO</t>
  </si>
  <si>
    <t>Tabela 3</t>
  </si>
  <si>
    <t>NÃO</t>
  </si>
  <si>
    <t>abraoarabe@hotmail.com</t>
  </si>
  <si>
    <t>Grupo Botuverá</t>
  </si>
  <si>
    <t>Adriano Bissoni</t>
  </si>
  <si>
    <t>Tesouraria</t>
  </si>
  <si>
    <t>Adriano Bissoni - XP</t>
  </si>
  <si>
    <t>MT</t>
  </si>
  <si>
    <t>Ultraconservador</t>
  </si>
  <si>
    <t>MODERADO</t>
  </si>
  <si>
    <t>Tesouraria (0,35)</t>
  </si>
  <si>
    <t>SIM</t>
  </si>
  <si>
    <t>Política Investimentos - Grupo Botuverá</t>
  </si>
  <si>
    <t>Não</t>
  </si>
  <si>
    <t>adriano@botuvera.com</t>
  </si>
  <si>
    <t>BTG</t>
  </si>
  <si>
    <t>Fabricio Franco Naves</t>
  </si>
  <si>
    <t>Família Naves</t>
  </si>
  <si>
    <t>Alice Daia Naves</t>
  </si>
  <si>
    <t>Alice Daia Naves - BTG</t>
  </si>
  <si>
    <t>MG</t>
  </si>
  <si>
    <t>CONSERVADOR</t>
  </si>
  <si>
    <t>Sem cobrança</t>
  </si>
  <si>
    <t>alicedn15@yahoo.com</t>
  </si>
  <si>
    <t>Família D Alessandro</t>
  </si>
  <si>
    <t>Ana Lucia Duarte D Alessandro</t>
  </si>
  <si>
    <t>Ana Lucia Duarte D Alessandro - XP</t>
  </si>
  <si>
    <t>2123318</t>
  </si>
  <si>
    <t>DF</t>
  </si>
  <si>
    <t>Julio Serodio</t>
  </si>
  <si>
    <t>analuzdd@hotmail.com</t>
  </si>
  <si>
    <t>SAFRA</t>
  </si>
  <si>
    <t>Andre Duarte D Alessandro</t>
  </si>
  <si>
    <t>Andre Duarte D Alessandro - SAFRA</t>
  </si>
  <si>
    <t>6703116</t>
  </si>
  <si>
    <t>DALESSANDROANDRE@GMAIL.COM</t>
  </si>
  <si>
    <t>Andre Duarte D Alessandro - XP</t>
  </si>
  <si>
    <t>XP GLOBAL</t>
  </si>
  <si>
    <t>Andre Duarte D Alessandro - XP US</t>
  </si>
  <si>
    <t>3XP50891</t>
  </si>
  <si>
    <t>Iolivan Jose de Brito</t>
  </si>
  <si>
    <t>Brito Gestao e Coordenacao de Clinicas LTDA</t>
  </si>
  <si>
    <t>PJ</t>
  </si>
  <si>
    <t>Brito Gestao e Coordenacao de Clinicas LTDA - XP</t>
  </si>
  <si>
    <t>Conservador Renda Construção</t>
  </si>
  <si>
    <t>iolivan@nefronshd.com.br</t>
  </si>
  <si>
    <t xml:space="preserve">  -   </t>
  </si>
  <si>
    <t xml:space="preserve"> R$ -   </t>
  </si>
  <si>
    <t>CHARLES SCHWAB</t>
  </si>
  <si>
    <t>Bruna da Silva Kusumoto</t>
  </si>
  <si>
    <t>Família Kusomoto</t>
  </si>
  <si>
    <t>ABR Investments LTD</t>
  </si>
  <si>
    <t>Bruna da Silva Kusumoto - CS</t>
  </si>
  <si>
    <t>NR</t>
  </si>
  <si>
    <t>Conservador</t>
  </si>
  <si>
    <t>Cliente só tem conta Offshore _ Charles Schwab_3570-4002 - ABR INVESTMENTS LTD</t>
  </si>
  <si>
    <t>brunakusumoto@uol.com.br</t>
  </si>
  <si>
    <t>Caio Cesar Lemos Fonseca</t>
  </si>
  <si>
    <t>Caio Cesar Lemos Fonseca - XP</t>
  </si>
  <si>
    <t>RJ</t>
  </si>
  <si>
    <t>Tabela 1</t>
  </si>
  <si>
    <t xml:space="preserve">Deve começar a viver de renda em breve (2027) Começar a estruturar uma carteira perfil Moderado / Renda </t>
  </si>
  <si>
    <t>ccaiolemosf@gmail.com</t>
  </si>
  <si>
    <t>Canaa Agronegocios LTDA</t>
  </si>
  <si>
    <t>Família Carneiro</t>
  </si>
  <si>
    <t>MFO</t>
  </si>
  <si>
    <t>Canaa Agronegocios LTDA - BTG</t>
  </si>
  <si>
    <t>MA</t>
  </si>
  <si>
    <t xml:space="preserve">Cliente pretende investir em ativos imobiliários no curto prazo, manter liquidez alta. 
</t>
  </si>
  <si>
    <t>elianecmr65@gmail.com</t>
  </si>
  <si>
    <t>Cooperativa Agro Pecuaria de Carmo do Par</t>
  </si>
  <si>
    <t>CARPEC - XP</t>
  </si>
  <si>
    <t>Tesouraria (0,40%)</t>
  </si>
  <si>
    <t>financeiro.gerencial@carpec.com.br</t>
  </si>
  <si>
    <t>Celso Griesang - Condomínio Rural</t>
  </si>
  <si>
    <t>Família Griesang</t>
  </si>
  <si>
    <t>Celso Griesang</t>
  </si>
  <si>
    <t>Celso Griesang - Condomínio Rural - CS</t>
  </si>
  <si>
    <t>Tabela 2</t>
  </si>
  <si>
    <t>"Seguir carteira específica Consolidar contas:XP 6445064 CS 5307-6915 CELSO GRIESANG &amp;"</t>
  </si>
  <si>
    <t>Offshore</t>
  </si>
  <si>
    <t>financeiro@semenstestropical.com.br</t>
  </si>
  <si>
    <t>Celso Griesang (Condomínio Rural)</t>
  </si>
  <si>
    <t>Celso Griesang - Condomínio Rural - XP</t>
  </si>
  <si>
    <t>6445064</t>
  </si>
  <si>
    <t>financeiro@sementestropical.com.br</t>
  </si>
  <si>
    <t xml:space="preserve">Celso Griesang - XP </t>
  </si>
  <si>
    <t>7161258</t>
  </si>
  <si>
    <t>Moderado Renda Usufruto</t>
  </si>
  <si>
    <t>"Seguir carteira específica XP 7161258"</t>
  </si>
  <si>
    <t>Cintia Prado Vargas Denser</t>
  </si>
  <si>
    <t>Cintia Prado Vargas Denser - CS</t>
  </si>
  <si>
    <t>Cliente tem conta NR Light no BTG e conta PF na Charles Schwab</t>
  </si>
  <si>
    <t>pradovargas@gmail.com</t>
  </si>
  <si>
    <t>Cintia Prado Vargas Denser (CNR Light)</t>
  </si>
  <si>
    <t>Cintia Prado Vargas Denser (CNR Light) - BTG</t>
  </si>
  <si>
    <t/>
  </si>
  <si>
    <t>Daniel de Moraes Lelis</t>
  </si>
  <si>
    <t>Família Lelis</t>
  </si>
  <si>
    <t>Daniel de Moraes Lelis - BTG</t>
  </si>
  <si>
    <t>Tabela Luiz</t>
  </si>
  <si>
    <t>Fazer resgate de R$ 50k todo dia 10 - Sempre deixar R$ 100 em liquidez e escalornar o restante. Fará 12 resgates de R$ 50 k ao longo dos próximos 12 meses</t>
  </si>
  <si>
    <t>daniellelisgames@gmail.com</t>
  </si>
  <si>
    <t>Daniel Marteleto Godinho</t>
  </si>
  <si>
    <t>Daniel Marteleto Godinho &amp;</t>
  </si>
  <si>
    <t>Daniel Marteleto Godinho - CS</t>
  </si>
  <si>
    <t>SC</t>
  </si>
  <si>
    <t>Cliente só tem conta Offshore _ Charles Schwab</t>
  </si>
  <si>
    <t>martgodinho@hotmail.com</t>
  </si>
  <si>
    <t>Daniela Ribeiro</t>
  </si>
  <si>
    <t>Daniela Ribeiro Queiroz dos Santos</t>
  </si>
  <si>
    <t>Daniela Ribeiro Queiroz dos Santos - XP</t>
  </si>
  <si>
    <t>danirqs@hotmail.com</t>
  </si>
  <si>
    <t>Danielle Soletti Sartori Bissoni</t>
  </si>
  <si>
    <t>Danielle Soletti Sartori Bissoni - XP</t>
  </si>
  <si>
    <t xml:space="preserve">Cliente pretende comprar uma casa nos próximos 3 anos. Mantenha a Liquidez até 120 dias Max. </t>
  </si>
  <si>
    <t>ADRIANO@BOTUVERA.COM</t>
  </si>
  <si>
    <t>Deise Cristina Bissoni Sachetti</t>
  </si>
  <si>
    <t>Deise Cristina Bissoni Sachetti - XP</t>
  </si>
  <si>
    <t>DEISEBISSONI@BOTUVERA.COM</t>
  </si>
  <si>
    <t>Diogo Duarte D Alessandro</t>
  </si>
  <si>
    <t>Diogo Duarte D Alessandro - XP</t>
  </si>
  <si>
    <t>2045140</t>
  </si>
  <si>
    <t>diogodd@gmail.com</t>
  </si>
  <si>
    <t>Dreamers BRA LLC</t>
  </si>
  <si>
    <t>Dreamers BRA LLC - CS</t>
  </si>
  <si>
    <t>cmj@figvellcapital.com</t>
  </si>
  <si>
    <t xml:space="preserve"> -   </t>
  </si>
  <si>
    <t>Dreamers LTDA</t>
  </si>
  <si>
    <t>Dreamers LTDA - BTG</t>
  </si>
  <si>
    <t>23314990</t>
  </si>
  <si>
    <t>tf@figvellcapital.com / Cmj@raurea.com</t>
  </si>
  <si>
    <t>Eliane Carneiro de Melo Resende</t>
  </si>
  <si>
    <t>Eliane Carneiro de Melo Resende - XP</t>
  </si>
  <si>
    <t>Conservador Renda Usufruto</t>
  </si>
  <si>
    <t>ELIANECMR65@GMAIL.COM</t>
  </si>
  <si>
    <t>Erico Trebeschi</t>
  </si>
  <si>
    <t>Erico Trebeschi - XP</t>
  </si>
  <si>
    <t>20045904</t>
  </si>
  <si>
    <t>erico@trebeschi.com.br</t>
  </si>
  <si>
    <t>Fábio e Mariana</t>
  </si>
  <si>
    <t>Mariana Guimaraes de Battista e/ou Fabio Megid Pinto</t>
  </si>
  <si>
    <t>Fábio e Mariana - BTG</t>
  </si>
  <si>
    <t>Arrojado Renda Construção</t>
  </si>
  <si>
    <t xml:space="preserve">Fábio é Marido da Mariana Guimarães. As contas devem ser conduzidas de forma integrada - portato a Asset Allocation deve se basear no consolidado. Processo de contrução de uma carteira de renda - usar novos aportes e vencimentos com este intuito. </t>
  </si>
  <si>
    <t>Brasil</t>
  </si>
  <si>
    <t>mgbaptista@gmail.com</t>
  </si>
  <si>
    <t> 1.177.994,77</t>
  </si>
  <si>
    <t>Green Arcardia LTD</t>
  </si>
  <si>
    <t>Fábio Megid Pinto - CS</t>
  </si>
  <si>
    <t>fmegid@gmail.com</t>
  </si>
  <si>
    <t>Fabio Megid Pinto</t>
  </si>
  <si>
    <t>Fábio Megid Pinto - XP</t>
  </si>
  <si>
    <t>FMEGID@GMAIL.COM</t>
  </si>
  <si>
    <t>Fabrício Franco Naves - BTG</t>
  </si>
  <si>
    <t>4498022</t>
  </si>
  <si>
    <t>Tem crédito e quer ir amortizando, então, sempre que tiver recurso na conta, usar metade para amortizar o crédito. Deixar 120k em liquidez d+0</t>
  </si>
  <si>
    <t>fabriciofnaves@yahoo.com.br</t>
  </si>
  <si>
    <t>Fabrício Franco Naves - XP</t>
  </si>
  <si>
    <t>FABRICIOFNAVES@YAHOO.COM.BR</t>
  </si>
  <si>
    <t>Hugo &amp; L Carneiro D Resende, &amp;</t>
  </si>
  <si>
    <t>Família Carneiro de Resende - CS</t>
  </si>
  <si>
    <t>83140110</t>
  </si>
  <si>
    <t>"Número da conta: 17208214 ; 11948279 ; 15706583 Deixar 20% da carteira em até D+1 Resgatar todo dia 01 2025 &gt; R$ 20k para cada um (Hugo, Lucas e Eliane) Todo dia 15 fazer remessa para os USA:  2026 &gt; R$ 200 mil  2027 &gt; R$ 400 mil  2028 &gt; R$ 500 mil R$ 50k mensais na previdência da conta da Eliane"</t>
  </si>
  <si>
    <t>grupocanaa2018@gmail.com</t>
  </si>
  <si>
    <t>Família Carneiro de Resende Eliane - XP</t>
  </si>
  <si>
    <t>Hugo Carneiro de Resende</t>
  </si>
  <si>
    <t>Família Carneiro de Resende Hugo - XP</t>
  </si>
  <si>
    <t>CURVA</t>
  </si>
  <si>
    <t>HUGODERESENDE@OUTLOOK.COM</t>
  </si>
  <si>
    <t>Lucas Carneiro de Resende</t>
  </si>
  <si>
    <t>Família Carneiro de Resende Lucas - XP</t>
  </si>
  <si>
    <t>11948279</t>
  </si>
  <si>
    <t>LUCASCR12345@GMAIL.COM</t>
  </si>
  <si>
    <t>Fernanda Almenara Cardoso Encinas</t>
  </si>
  <si>
    <t>F Almenara Cardoso Encinas</t>
  </si>
  <si>
    <t>Fernanda Almenara Cardoso Encinas - CS</t>
  </si>
  <si>
    <t>facencinas@gmail.com</t>
  </si>
  <si>
    <t>Fernanda Almenara Cardoso Encinas - XP</t>
  </si>
  <si>
    <t>2408885</t>
  </si>
  <si>
    <t>Construção de Patrimônio, foco longo prazo, perfil moderado.</t>
  </si>
  <si>
    <t>FACENCINAS@GMAIL.COM</t>
  </si>
  <si>
    <t>Família Lio Camargo</t>
  </si>
  <si>
    <t>Fernanda Lio Rocha Camargo</t>
  </si>
  <si>
    <t>Fernanda Lio Rocha Camargo - XP</t>
  </si>
  <si>
    <t>Moderado</t>
  </si>
  <si>
    <t xml:space="preserve">Todo dia 5 acontecerá o débito da previdência (atualmente em R$ 1.500). Deixar valor na conta. </t>
  </si>
  <si>
    <t>FERNANDALRCAMARGO@GMAIL.COM</t>
  </si>
  <si>
    <t>Fernando Ferreira da Silva Parro</t>
  </si>
  <si>
    <t>Fernando Ferreira da Silva Parro - XP</t>
  </si>
  <si>
    <t>FERNANDOFPARRO@GMAIL.COM</t>
  </si>
  <si>
    <t>Filipe Ribeiro Queiroz dos Santos</t>
  </si>
  <si>
    <t>Filipe Ribeiro Queiroz dos Santos - XP</t>
  </si>
  <si>
    <t xml:space="preserve">Fase de Construção de Patrimônio, horizonte de longo prazo </t>
  </si>
  <si>
    <t>FILIPERQS@GMAIL.COM</t>
  </si>
  <si>
    <t>Fronteira Agronegocios LTDA</t>
  </si>
  <si>
    <t>Fronteira Agronegocios LTDA - XP</t>
  </si>
  <si>
    <t>Colchão da operação Rural - Deixar a liquidez escalonada sempre</t>
  </si>
  <si>
    <t>financeiro@fronteiraagronegocios.com.br</t>
  </si>
  <si>
    <t>Guilherme Goncalves Feijo de Carvalho</t>
  </si>
  <si>
    <t>Guilherme Goncalves Feijo de Carvalho - XP</t>
  </si>
  <si>
    <t>GUIGFC@GMAIL.COM</t>
  </si>
  <si>
    <t>76519394</t>
  </si>
  <si>
    <t>Hugo Carneiro de Resende - XP</t>
  </si>
  <si>
    <t>Número da conta: 7777265 Copiar esposa no envio de relatórios anaflaviaduartemendes@gmail.com Manter reserva de aprox R$ 20k Trend Dolar FIF Cambial RL para viagens internacionais</t>
  </si>
  <si>
    <t>Iolivan Jose de Brito - BTG</t>
  </si>
  <si>
    <t>Iolivan Jose de Brito - XP</t>
  </si>
  <si>
    <t>IOLIVAN@NEFRONSHD.COM.BR</t>
  </si>
  <si>
    <t>Iolivan Jose de Brito &amp;</t>
  </si>
  <si>
    <t>Iolivan Jose de Brito &amp; - CS</t>
  </si>
  <si>
    <t>iolivan@nefronshd.com</t>
  </si>
  <si>
    <t>Irineu Afonso Bragagnolo</t>
  </si>
  <si>
    <t>Irineu Afonso Bragagnolo - XP</t>
  </si>
  <si>
    <t>Isabela Kassis Mendonca</t>
  </si>
  <si>
    <t>Isabela Kassis Mendonça - XP</t>
  </si>
  <si>
    <t>ISABELAKASSIS@GMAIL.COM</t>
  </si>
  <si>
    <t>JACKSON TAVORA</t>
  </si>
  <si>
    <t>JACKSON TAVORA - XP</t>
  </si>
  <si>
    <t>Distrato em processo</t>
  </si>
  <si>
    <t>AVORA@TERRA.COM.BR</t>
  </si>
  <si>
    <t>Joana Darque Formage Schmidt</t>
  </si>
  <si>
    <t>Twill Investments Limited</t>
  </si>
  <si>
    <t>Joana Darque Formage Schmidt - CS</t>
  </si>
  <si>
    <t>Cliente precisa de resgate todo mêsaté o dia 8 - R$ 22k (conta para resgate ITAU 07614 - 6). Está em período de obra - Favor deixar R$ 50k em D+0. ﻿Tem crédito na XP 11466830. Clinte possui crédito (R$716.400,09  para 02/02/2029) Manter a parte de RV 100% em FII/FiAgro"</t>
  </si>
  <si>
    <t>Joana Darque Formage Schmidt - XP</t>
  </si>
  <si>
    <t>schmidt.formage@gmail.com</t>
  </si>
  <si>
    <t>ÁGORA</t>
  </si>
  <si>
    <t>Jose Luiz Lopes Teixeira Filho</t>
  </si>
  <si>
    <t>Família Teixeira</t>
  </si>
  <si>
    <t xml:space="preserve">José Luiz Lopes Teixeira Filho - ÁGORA </t>
  </si>
  <si>
    <t>13759983</t>
  </si>
  <si>
    <t>"Resgatar mensalmente R$ 30.000,00 a partir de 2026/2027</t>
  </si>
  <si>
    <t>JLUIZTX2015@GMAIL.COM</t>
  </si>
  <si>
    <t>José Luiz Lopes Teixeira Filho - SAFRA</t>
  </si>
  <si>
    <t>6703094</t>
  </si>
  <si>
    <t>José Luiz Lopes Teixeira Filho - XP</t>
  </si>
  <si>
    <t>Luiz Roberto Carrara Lelis</t>
  </si>
  <si>
    <t>Lelis Empreendimentos e Loteamentos Imobiliarios LTDA</t>
  </si>
  <si>
    <t>Lelis Empreendimentos e Loteamentos Imobiliarios LTDA - BTG</t>
  </si>
  <si>
    <t>luiz.roberto@supplog.com</t>
  </si>
  <si>
    <t>Lucas Carneiro de Resende - XP</t>
  </si>
  <si>
    <t>Lucas Rona Soares</t>
  </si>
  <si>
    <t>Lucas Rona Soares - BTG</t>
  </si>
  <si>
    <t>Conta na Charles Schawab 7945-1840 LUCAS RONA SOARES O ativo IRB deve ser mantido na carteira"</t>
  </si>
  <si>
    <t>LUCAS_RONA@HOTMAIL.COM</t>
  </si>
  <si>
    <t> 210.339,39</t>
  </si>
  <si>
    <t>Lucas Rona Soares - CS</t>
  </si>
  <si>
    <t>lucas_rona@hotmail.com</t>
  </si>
  <si>
    <t>Lucas Rona Soares - XP</t>
  </si>
  <si>
    <t>Lucienne Lio Rocha Camargo</t>
  </si>
  <si>
    <t>Lucienne Lio Rocha Camargo - XP</t>
  </si>
  <si>
    <t>Sempre que enviar a ordem, mandar email como descrição breve do racional.Manter reserva de emergência de R$ 150k em tesouro Selic Os próximos aportes devem ser direcionados para ativos geradores de Renda (Carteira Renda)</t>
  </si>
  <si>
    <t>luciennecamargo@gmail.com</t>
  </si>
  <si>
    <t>Luiz Carlos Tome</t>
  </si>
  <si>
    <t>Família Tomé</t>
  </si>
  <si>
    <t>Luiz Carlos Tome &amp;</t>
  </si>
  <si>
    <t>Luiz Carlos Tome - CS</t>
  </si>
  <si>
    <t>"Cliente com conta Offshore- 9234-3302 TOME'S CORP. Crédito colateral vencendo 30/042027"</t>
  </si>
  <si>
    <t>lctome@yahoo.com.br</t>
  </si>
  <si>
    <t>TOME'S CORP</t>
  </si>
  <si>
    <t>Luiz Carlos Tome - XP</t>
  </si>
  <si>
    <t>LCTOME@YAHOO.COM.BR</t>
  </si>
  <si>
    <t>Luiz Roberto Carrara Lelis - BTG</t>
  </si>
  <si>
    <t>Seguir carteira específica</t>
  </si>
  <si>
    <t>LFTJD LTD</t>
  </si>
  <si>
    <t>Luiz Roberto Carrara Lelis - CS</t>
  </si>
  <si>
    <t>Luiz Roberto Carrara Lelis &amp; Flávia Lelis</t>
  </si>
  <si>
    <t>67227652</t>
  </si>
  <si>
    <t>Luiz Roberto Carrara Lelis - XP</t>
  </si>
  <si>
    <t>Luiz Roberto Carrara Lelis - XP2</t>
  </si>
  <si>
    <t>M Wealth</t>
  </si>
  <si>
    <t>M2WM MFO Servicos Adminstrativos LTDA</t>
  </si>
  <si>
    <t>M Wealth - BTG</t>
  </si>
  <si>
    <t>bruna.ro.alkimim@gmail.com</t>
  </si>
  <si>
    <t>M Wealth - XP</t>
  </si>
  <si>
    <t>10800085</t>
  </si>
  <si>
    <t>lbeato@mwealth.com.br</t>
  </si>
  <si>
    <t>Márcia Regina Mazalotti Teixeira</t>
  </si>
  <si>
    <t>Márcia Regina Mazalotti Teixeira - ÁGORA</t>
  </si>
  <si>
    <t>25968661</t>
  </si>
  <si>
    <t>marciartx@gmail.com</t>
  </si>
  <si>
    <t>Marcos Jose Correa Camargo</t>
  </si>
  <si>
    <t>Marcos José Correa Camargo - BTG</t>
  </si>
  <si>
    <t>Sempre que enviar a ordem, mandar email como descrição breve do racional. Cliente pretende resgatar mensalmente R$ 15k quando se aposentar em 2 ou 3 anosRenda fixa deve ter foco em renda e ter diversificação de vencimentos Aumentar exposição internacional via ETF - IVVB11 Comprar fundo de BITH11 limitado a 2% da carteira - comprar sempre que cair Neste caso específico, para não duplicar as posições com a carteira da Lucienne, vamos usar a Carteira Qualidade Todo mês enviar os extratos para o Contador Va preciso de um valor (R$520k) em Maio. Todos os novos aportes devem ir para o fundo de reserva.</t>
  </si>
  <si>
    <t>correa_correa09@hotmail.com</t>
  </si>
  <si>
    <t>Marcos José Correa Camargo - XP</t>
  </si>
  <si>
    <t>Sempre que enviar a ordem, mandar email como descrição breve do racional. Cliente pretende resgatar mensalmente R$ 15k quando se aposentar em 2 ou 3 anosRenda fixa deve ter foco em renda e ter diversificação de vencimentos Aumentar exposição internacional via ETF - IVVB11 Comprar fundo de BITH11 limitado a 2% da carteira - comprar sempre que cairNeste caso específico, para não duplicar as posições com a carteira da Lucienne, vamos usar a Carteira Qualidade Todo mês enviar os extratos para o Contador Va preciso de um valor (R$520k) em Maio. Todos os novos aportes devem ir para o fundo de reserva.</t>
  </si>
  <si>
    <t>CORREA_CORREA09@HOTMAIL.COM</t>
  </si>
  <si>
    <t>Maria Cecilia Dias de Mello Flores</t>
  </si>
  <si>
    <t>M Dias de Mello Flores</t>
  </si>
  <si>
    <t>Maria Cecilia Dias de Mello Flores - CS</t>
  </si>
  <si>
    <t>"Seguir carteira específica Transferir R$ 70k todo dia 15 do mês para o ITAU Parcelas do apartamento aplicar no Safra Di Master D+0 (esse fundo é para aplicar e resgatar apenas os valores da venda do imovel)"</t>
  </si>
  <si>
    <t>ceciliamelloflores@gmail.com</t>
  </si>
  <si>
    <t>Exponential Overseas Investmen</t>
  </si>
  <si>
    <t>M Cecilia Dias de Mello Flores</t>
  </si>
  <si>
    <t>Maria Cecilia Dias de Mello Flores - XP</t>
  </si>
  <si>
    <t>CECILIAMELLOFLORES@GMAIL.COM</t>
  </si>
  <si>
    <t>XP US</t>
  </si>
  <si>
    <t>Aureus Global LTD</t>
  </si>
  <si>
    <t>Maria Cecilia Dias de Mello Flores - XP US</t>
  </si>
  <si>
    <t>QXR347535</t>
  </si>
  <si>
    <t>Mariana Guimaraes de Batista</t>
  </si>
  <si>
    <t>Mariana Guimaraes de Batista - BTG</t>
  </si>
  <si>
    <t xml:space="preserve">Mariana é esposa do Fábio Megid. As contas devem ser conduzidas de forma integrada - portato a Asset Allocation deve se basear no consolidado. Processo de contrução de uma carteira de renda - usar novos aportes e vencimentos com este intuito. </t>
  </si>
  <si>
    <t>Mariana Guimaraes de Batista - XP</t>
  </si>
  <si>
    <t>MGBAPTISTA@GMAIL.COM</t>
  </si>
  <si>
    <t>Marlon Brando Bezerra de Almeida</t>
  </si>
  <si>
    <t>Marlon Brando Bezerra de Almeida - SAFRA</t>
  </si>
  <si>
    <t>Marlon Brando Bezerra de Almeida - XP</t>
  </si>
  <si>
    <t>MALMEIDA@PETROBRAS.COM.BR</t>
  </si>
  <si>
    <t>Matheo Faleiro Aiza</t>
  </si>
  <si>
    <t>Família Faleiro</t>
  </si>
  <si>
    <t>Matheo Faleiro Aiza - BTG</t>
  </si>
  <si>
    <t>tatyanafaleiro@gmail.com</t>
  </si>
  <si>
    <t>MAWAY LLC</t>
  </si>
  <si>
    <t>MAWAY LLC - CS</t>
  </si>
  <si>
    <t>Melissa Faleiro Aiza</t>
  </si>
  <si>
    <t>Melissa Faleiro Aiza - BTG</t>
  </si>
  <si>
    <t>Miriam Soberon Lopez</t>
  </si>
  <si>
    <t>Miriam Soberon Lopez - XP</t>
  </si>
  <si>
    <t>2063235</t>
  </si>
  <si>
    <t>myriam.soberon@gmail.com</t>
  </si>
  <si>
    <t>Monica Wendt</t>
  </si>
  <si>
    <t>Nelson e Monica</t>
  </si>
  <si>
    <t>Monica Wendt - XP</t>
  </si>
  <si>
    <t>RS</t>
  </si>
  <si>
    <t>Conta será usada somente para fazer câmbio</t>
  </si>
  <si>
    <t>MONICA@CLINICABALESTRO.COM.BR</t>
  </si>
  <si>
    <t>Nelson Julio Balestro Junior</t>
  </si>
  <si>
    <t>Nelson Julio Balestro Junior &amp;</t>
  </si>
  <si>
    <t>Nelson Julio Balestro Junior - CS</t>
  </si>
  <si>
    <t>nelsonjr@clinicabalestro.com.br</t>
  </si>
  <si>
    <t>MNSB LTD</t>
  </si>
  <si>
    <t>﻿Vai fazer câmbio com frequência - Precisa cadastrar para câmbio ﻿Todo recurso que for transferido ou cair na conta referente a vencimento das aplicações atuais, deve ser enviados ao exterior para a ﻿﻿conta da MNSB ﻿3620-0373"</t>
  </si>
  <si>
    <t>Nelson Julio Balestro Junior - XP</t>
  </si>
  <si>
    <t>Nicolau D Alessandro Filho</t>
  </si>
  <si>
    <t>Nicolau D Alessandro Filho - BTG</t>
  </si>
  <si>
    <t>483586</t>
  </si>
  <si>
    <t>dalessandronicolau5@gmail.com</t>
  </si>
  <si>
    <t>Nicolau D Alessandro Filho - SAFRA</t>
  </si>
  <si>
    <t>6703078</t>
  </si>
  <si>
    <t>Nicolau D Alessandro Filho - XP</t>
  </si>
  <si>
    <t>Pedro Henrique Silva Pimenta</t>
  </si>
  <si>
    <t>Pedro Henrique Silva Pimenta - BTG</t>
  </si>
  <si>
    <t>Phsppimenta@hotmail.com</t>
  </si>
  <si>
    <t>Vinicius e Priscilla</t>
  </si>
  <si>
    <t>Priscilla Diniz Correa</t>
  </si>
  <si>
    <t>Priscilla Diniz Correa - BTG</t>
  </si>
  <si>
    <t>"Vai deixar reserva de emergência no C6, Precisa ter 30K de Liquidez no BTG Conta Internacional: Charles Schwab: 7822-4399 PRISCILLA DINIZ CORREA"</t>
  </si>
  <si>
    <t>Brasil e Offshore</t>
  </si>
  <si>
    <t>contato@viafresa.com.br</t>
  </si>
  <si>
    <t>Priscilla Diniz Correa - CS</t>
  </si>
  <si>
    <t>viniciusquintas@hotmail.com</t>
  </si>
  <si>
    <t>Priscilla Diniz Correa - XP</t>
  </si>
  <si>
    <t>CONTATO@VIAFRESA.COM.BR</t>
  </si>
  <si>
    <t>Rodrigo Alexandre de Deus Domingues</t>
  </si>
  <si>
    <t>R&amp;L Participacoes LTDA</t>
  </si>
  <si>
    <t>R&amp;L Participacoes LTDA - XP</t>
  </si>
  <si>
    <t>Rachele Ferreira Rosmo</t>
  </si>
  <si>
    <t xml:space="preserve">Rachele Ferreira Rosmo - CS </t>
  </si>
  <si>
    <t>Conta operada pelo Giampiero Rosmo</t>
  </si>
  <si>
    <t>rachelerosmo@hotmail.com</t>
  </si>
  <si>
    <t>Rachele Ferreira Rosmo - XP</t>
  </si>
  <si>
    <t>Rafael Marieiro Naves</t>
  </si>
  <si>
    <t>Gafanha Capital LTD</t>
  </si>
  <si>
    <t>Rafael Marieiro Naves - CS</t>
  </si>
  <si>
    <t>Cliente com conta offshore Gafanha Capital</t>
  </si>
  <si>
    <t>rafaelmnaves@gmail.com</t>
  </si>
  <si>
    <t>Raphael Alves Ferreira Tome</t>
  </si>
  <si>
    <t>Raphael Alves Ferreira Tome - CS</t>
  </si>
  <si>
    <t xml:space="preserve">Conta XP 292615 Conta Charles Schwab 7180-2417 TOME'S CORP ﻿Clinte possui crédito na XP, a reserva para o pagamento do crédito está sendo feita via fundo Jive Bossanova (D+360) - Valor para 2027 de R$R$ 530.016,45 e R$R$ 72.443,52 | Valor para 2028 de R$ 299.978,27.  Sempre que for enviado um valor para a conta, alocar uma parcela no JIVE - 20% do que for enviado. Reserva de liquidez D+0 ou D+1  de R$ 200k.  A TOME'S CORP tem duas contas na Schawb. A do Raphael é a ﻿7180-2417 - esta que deve ser consolidada com a conta da XP. </t>
  </si>
  <si>
    <t>raphael.tome@yahoo.com.br</t>
  </si>
  <si>
    <t xml:space="preserve">Raphael Alves Ferreira Tome - CS </t>
  </si>
  <si>
    <t>Conta XP 292615 Conta Charles Schwab 7180-2417 TOME'S CORP ﻿Clinte possui crédito na XP, a reserva para o pagamento do crédito está sendo feita via fundo Jive Bossanova (D+360) - Valor para 2027 de R$R$ 530.016,45 e R$R$ 72.443,52 | Valor para 2028 de R$ 299.978,27.  Sempre que for enviado um valor para a conta, alocar uma parcela no JIVE - 20% do que for enviado. Reserva de liquidez D+0 ou D+1  de R$ 200k.  A TOME'S CORP tem duas contas na Schawb. A do Raphael é a ﻿7180-2417 - esta que deve ser consolidada com a conta da XP. </t>
  </si>
  <si>
    <t>Raphael Alves Ferreira Tome - XP</t>
  </si>
  <si>
    <t>RAPHAEL.TOME@YAHOO.COM.BR</t>
  </si>
  <si>
    <t>Raquel Griesang</t>
  </si>
  <si>
    <t>Raquel Griesang - XP</t>
  </si>
  <si>
    <t>Cliente mora fora do país</t>
  </si>
  <si>
    <t>CELSO@SEMENTESTROPICAL.COM.BR</t>
  </si>
  <si>
    <t>R Domingues</t>
  </si>
  <si>
    <t>Rodrigo Alexandre de Deus Domingues - CS</t>
  </si>
  <si>
    <t>"Todos próximos aportes em D+7 (XP Corporate Light) Até compra da casa. Após compra da casa, construir carteira de Renda Cliente contribui para a previdência da filha no final do mês (dia 25, saldo de R$5.000). Este saldo precisa estar em conta para débito automático. O saldo para pagamento do crédito deve estar disponível antes da data de vencimento. Cliente possui crédito com prazo para 2026 (R$ 82.792,59 | R$ 72.443,52 | R$ 410.302,36. Valor para 2027 (R$ 155.236,12)"</t>
  </si>
  <si>
    <t>rodrigo_escs@yahoo.com.br</t>
  </si>
  <si>
    <t xml:space="preserve">Rodrigo Alexandre de Deus Domingues - XP </t>
  </si>
  <si>
    <t>RODRIGO_ESCS@YAHOO.COM.BR</t>
  </si>
  <si>
    <t>Rodrigo Cardoso Uchoa</t>
  </si>
  <si>
    <t>RCURDB International LTD</t>
  </si>
  <si>
    <t xml:space="preserve">Rodrigo Cardoso Uchoa - CS </t>
  </si>
  <si>
    <t>Arrojado Renda Usufruto</t>
  </si>
  <si>
    <t>Tabela Uchoa</t>
  </si>
  <si>
    <t xml:space="preserve">Seguir carteira específica Todo dia 16 reaplicar o saldo na conta Monitorar o preço do ativo HASH11- em caso de alta, analizarmos a venda total ou parcial </t>
  </si>
  <si>
    <t>rcuchoa@gmail.com</t>
  </si>
  <si>
    <t>Rodrigo Cardoso Uchoa - XP</t>
  </si>
  <si>
    <t>RCUCHOA@GMAIL.COM</t>
  </si>
  <si>
    <t>Rodrigo Franzoi de Oliveira</t>
  </si>
  <si>
    <t xml:space="preserve">Rodrigo Franzoi de Oliveira - XP </t>
  </si>
  <si>
    <t>RODRIGOFRANZOI@HOTMAIL.COM</t>
  </si>
  <si>
    <t>Romulo Romano Salles</t>
  </si>
  <si>
    <t>Família Romano Salles</t>
  </si>
  <si>
    <t>Romulo Romano Salles - BTG</t>
  </si>
  <si>
    <t>"Cliente Charles Schwab 6434-3370 SRS BUSINESS LTD Todo o recurso deve ser enviado para esta conta Câmbio deve estar sempre atualizado e com limite aprovado</t>
  </si>
  <si>
    <t>romulosalles@hotmail.com</t>
  </si>
  <si>
    <t>SRS Business LTD</t>
  </si>
  <si>
    <t>Romulo Romano Salles - CS</t>
  </si>
  <si>
    <t>Romulo Romano Salles - XP</t>
  </si>
  <si>
    <t>ROMULOSALLES@HOTMAIL.COM</t>
  </si>
  <si>
    <t>Rose Meri Bissoni</t>
  </si>
  <si>
    <t xml:space="preserve">Rose Meri Bissoni - XP </t>
  </si>
  <si>
    <t xml:space="preserve">Contato com a procuradora Aline Bissoni. Cliente deve usar o recurso em breve para comprar um imóvel, por isso devemos manter a carteira abaixo de D+90. </t>
  </si>
  <si>
    <t>ROSE_BISSONI@HOTMAIL.COM</t>
  </si>
  <si>
    <t>Rosimeire Faustino da Silva Kusumoto</t>
  </si>
  <si>
    <t xml:space="preserve">Rosimeire Faustino da Silva Kusumoto - CS </t>
  </si>
  <si>
    <t>Cliente só tem conta Offshore _ Charles Schwab_8502-1853 - ABR INVESTMENTS LTD</t>
  </si>
  <si>
    <t>RQRS Comercio de Alimentos LTDA</t>
  </si>
  <si>
    <t>RQRS Comercio de Alimentos LTDA - XP</t>
  </si>
  <si>
    <t>19657497</t>
  </si>
  <si>
    <t>anagabrielaroriz@gmail.com</t>
  </si>
  <si>
    <t>RVS Participacoes LTDA</t>
  </si>
  <si>
    <t>RVS Participacoes LTDA - BTG</t>
  </si>
  <si>
    <t>Savio Luis Oliveira Ramos</t>
  </si>
  <si>
    <t>Savio Luis Oliveira Ramos - XP</t>
  </si>
  <si>
    <t>2067728</t>
  </si>
  <si>
    <t>savioramos@hotmail.com</t>
  </si>
  <si>
    <t>Tamara Cristina Formage Schmidt</t>
  </si>
  <si>
    <t>T Cristina Formage Schmidt  &amp;</t>
  </si>
  <si>
    <t xml:space="preserve">Tamara Cristina Formage Schmidt - CS </t>
  </si>
  <si>
    <t>Tamara é responsável pela conta mãe Joana Formage XP - 11466830 Conta na Charles Schwab : ﻿﻿6166-3347 TWILL INVESTMENTS LIMITED. Cliente precisa de resgate todo mês até o dia 8 - R$ 10k  (conta para resgate ITAU 07183 - 2) Cliente em preríodo de obra - precisa de liquidez eventualmente. Deixar sempre R$ 50k em D+0.  Parcela de Crédito R$ 307.535,72  Venc 15/02/2029</t>
  </si>
  <si>
    <t>t.formage.schmidt@gmail.com</t>
  </si>
  <si>
    <t>Tamara Cristina Formage Schmidt - XP</t>
  </si>
  <si>
    <t>Tatiana Lara Formage Schmidt</t>
  </si>
  <si>
    <t xml:space="preserve">Tatiana Lara Formage Schmidt - XP </t>
  </si>
  <si>
    <t>BA</t>
  </si>
  <si>
    <t>Carteira de renda deve vir dos IPCA+ e FII + Transferir R$ 9k todo dia 16</t>
  </si>
  <si>
    <t>TATY_LARA@HOTMAIL.COM</t>
  </si>
  <si>
    <t>Tatyana Joffily Leuman Faleiro</t>
  </si>
  <si>
    <t xml:space="preserve">Tatyana Joffily Leuman Faleiro - BTG </t>
  </si>
  <si>
    <t>Cliente mora fora do país, abrirá a empresa Offshore com a 4Tax</t>
  </si>
  <si>
    <t>tatyanafaleiro.elf@gmail.com</t>
  </si>
  <si>
    <t> 5.188.652,90</t>
  </si>
  <si>
    <t>Teresinha Gomes da Silva</t>
  </si>
  <si>
    <t>Teresinha Gomes da Silva - XP</t>
  </si>
  <si>
    <t>Seguir carteira conservadora</t>
  </si>
  <si>
    <t>TERESINHA@LIFELAGOS.COM.BR</t>
  </si>
  <si>
    <t>7272031</t>
  </si>
  <si>
    <t xml:space="preserve">Teresinha Gomes da Silva - XP </t>
  </si>
  <si>
    <t>3XP46552</t>
  </si>
  <si>
    <t>Thiago Oliveira Correa</t>
  </si>
  <si>
    <t xml:space="preserve">Thiago Oliveira Correa - CS </t>
  </si>
  <si>
    <t xml:space="preserve">Cliente com conta no exterior com maior participação. Devemos compor a carteira Brasil. </t>
  </si>
  <si>
    <t>thiagocorrea79@gmail.com</t>
  </si>
  <si>
    <t>Thiago Oliveira Correa - XP</t>
  </si>
  <si>
    <t>THIAGOCORREA79@GMAIL.COM</t>
  </si>
  <si>
    <t>TOMÁS CORTES BARTHOLO</t>
  </si>
  <si>
    <t xml:space="preserve">TOMAS CORTES BARTHOLO </t>
  </si>
  <si>
    <t>TOMÁS CORTES BARTHOLO- XP</t>
  </si>
  <si>
    <t>Saiu da Base</t>
  </si>
  <si>
    <t>Transportes Botuvera LTDA</t>
  </si>
  <si>
    <t xml:space="preserve">Transportes Botuvera LTDA - XP </t>
  </si>
  <si>
    <t>9445242</t>
  </si>
  <si>
    <t>Construção de Patrimônio</t>
  </si>
  <si>
    <t>deisebissoni@botuvera.com</t>
  </si>
  <si>
    <t>Trissia de Moraes Lelis</t>
  </si>
  <si>
    <t xml:space="preserve">Trissia de Moraes Lelis - XP </t>
  </si>
  <si>
    <t>TRISSIAL@GMAIL.COM</t>
  </si>
  <si>
    <t>Tropical Agricola LTDA</t>
  </si>
  <si>
    <t>Tropical Agricola LTDA - XP</t>
  </si>
  <si>
    <t>Vanessa Andrade Romano Salles</t>
  </si>
  <si>
    <t xml:space="preserve">Vanessa Andrade Romano Salles - XP </t>
  </si>
  <si>
    <t xml:space="preserve">Conta do Romulo Salles </t>
  </si>
  <si>
    <t>NESSAANDRADE@HOTMAIL.COM</t>
  </si>
  <si>
    <t>VIAFRESA Servicos e Locacoes LTDA</t>
  </si>
  <si>
    <t>VIAFRESA Servicos e Locacoes LTDA - XP</t>
  </si>
  <si>
    <t>Tesouraria (0,40)</t>
  </si>
  <si>
    <t>Vicente Bissoni Neto</t>
  </si>
  <si>
    <t xml:space="preserve">Vicente Bissoni Neto - XP </t>
  </si>
  <si>
    <t>vicentebissonineto@gmail.com</t>
  </si>
  <si>
    <t>Victor Griesang</t>
  </si>
  <si>
    <t>Victor Griesang - XP</t>
  </si>
  <si>
    <t>19522034</t>
  </si>
  <si>
    <t>SEM PERFIL</t>
  </si>
  <si>
    <t>VICTOR.GRIESANG@SEMENTESTROPICAL.COM.BR</t>
  </si>
  <si>
    <t>Virgilio Bullo Rocha</t>
  </si>
  <si>
    <t xml:space="preserve">Virgilio Bullo Rocha - XP </t>
  </si>
  <si>
    <t>3257275</t>
  </si>
  <si>
    <t xml:space="preserve">Cliente em fase de construção patrimonial. </t>
  </si>
  <si>
    <t>rochavirgilio55@gmail.com</t>
  </si>
  <si>
    <t>CLIENTE</t>
  </si>
  <si>
    <t>CÓDIGO</t>
  </si>
  <si>
    <t>LIMITE</t>
  </si>
  <si>
    <t>EXPIRAÇÃO CÂMBIO</t>
  </si>
  <si>
    <t>ABRAO MIGUEL ARABE NETO</t>
  </si>
  <si>
    <t>2729546</t>
  </si>
  <si>
    <t>X</t>
  </si>
  <si>
    <t>ADRIANO BISSONI</t>
  </si>
  <si>
    <t>5166121</t>
  </si>
  <si>
    <t>BRITO GESTAO E COORDENACAO DE CLINICAS LTDA</t>
  </si>
  <si>
    <t>19301650</t>
  </si>
  <si>
    <t>CAIO CESAR LEMOS FONSECA</t>
  </si>
  <si>
    <t>3082235</t>
  </si>
  <si>
    <t>CELSO GRIESANG</t>
  </si>
  <si>
    <t>CELSO GRIESANG (CONDOMÍNIO RURAL)</t>
  </si>
  <si>
    <t>DANIELA RIBEIRO QUEIROZ DOS SANTOS</t>
  </si>
  <si>
    <t>3246094</t>
  </si>
  <si>
    <t>DANIELLE SOLETTI SARTORI BISSONI</t>
  </si>
  <si>
    <t>19003827</t>
  </si>
  <si>
    <t>DEISE CRISTINA BISSONI SACHETTI</t>
  </si>
  <si>
    <t>11370136</t>
  </si>
  <si>
    <t>ELIANE CARNEIRO DE MELO RESENDE</t>
  </si>
  <si>
    <t>17736177</t>
  </si>
  <si>
    <t>17208214</t>
  </si>
  <si>
    <t>FABIO MEGID PINTO</t>
  </si>
  <si>
    <t>FABRICIO FRANCO NAVES</t>
  </si>
  <si>
    <t>3721574</t>
  </si>
  <si>
    <t>FERNANDA ALMENARA CARDOSO ENCINAS</t>
  </si>
  <si>
    <t>FERNANDA LIO ROCHA CAMARGO</t>
  </si>
  <si>
    <t>4760422</t>
  </si>
  <si>
    <t>FERNANDO FERREIRA DA SILVA PARRO</t>
  </si>
  <si>
    <t>FILIPE RIBEIRO QUEIROZ DOS SANTOS</t>
  </si>
  <si>
    <t>FRONTEIRA AGRONEGOCIOS LTDA</t>
  </si>
  <si>
    <t>HUGO CARNEIRO DE RESENDE</t>
  </si>
  <si>
    <t>IOLIVAN JOSE DE BRITO</t>
  </si>
  <si>
    <t>19251578</t>
  </si>
  <si>
    <t>IRINEU AFONSO BRAGAGNOLO</t>
  </si>
  <si>
    <t>ISABELA KASSIS MENDONCA</t>
  </si>
  <si>
    <t>JOANA DARQUE FORMAGE SCHMIDT</t>
  </si>
  <si>
    <t>11466830</t>
  </si>
  <si>
    <t>JOSE LUIZ LOPES TEIXEIRA FILHO</t>
  </si>
  <si>
    <t>LUCAS CARNEIRO DE RESENDE</t>
  </si>
  <si>
    <t>LUCAS RONA SOARES</t>
  </si>
  <si>
    <t>LUCIENNE LIO ROCHA CAMARGO</t>
  </si>
  <si>
    <t>LUIZ CARLOS TOME</t>
  </si>
  <si>
    <t>LUIZ ROBERTO CARRARA LELIS</t>
  </si>
  <si>
    <t>M2WM MFO SERVICOS ADMINISTRATIVOS LTDA</t>
  </si>
  <si>
    <t>MARCOS JOSE CORREA CAMARGO</t>
  </si>
  <si>
    <t>MARIA CECILIA DIAS DE MELLO FLORES</t>
  </si>
  <si>
    <t>18129345</t>
  </si>
  <si>
    <t>MARIANA GUIMARAES DE BATTISTA</t>
  </si>
  <si>
    <t>MARLON BRANDO BEZERRA DE ALMEIDA</t>
  </si>
  <si>
    <t>MONICA WENDT</t>
  </si>
  <si>
    <t>NELSON JULIO BALESTRO JUNIOR</t>
  </si>
  <si>
    <t>PRISCILLA DINIZ CORREA</t>
  </si>
  <si>
    <t>RACHELE FERREIRA ROSMO</t>
  </si>
  <si>
    <t>RAPHAEL ALVES FERREIRA TOME</t>
  </si>
  <si>
    <t>RAQUEL GRIESANG</t>
  </si>
  <si>
    <t>RODRIGO ALEXANDRE DE DEUS DOMINGUES</t>
  </si>
  <si>
    <t>RODRIGO CARDOSO UCHOA</t>
  </si>
  <si>
    <t>ROMULO ROMANO SALLES</t>
  </si>
  <si>
    <t>ROSE MERI BISSONI</t>
  </si>
  <si>
    <t>TAMARA CRISTINA FORMAGE SCHMIDT</t>
  </si>
  <si>
    <t>TATIANA LARA FORMAGE SCHMIDT</t>
  </si>
  <si>
    <t>TERESINHA GOMES DA SILVA</t>
  </si>
  <si>
    <t>THIAGO OLIVEIRA CORREA</t>
  </si>
  <si>
    <t>TRANSPORTES BOTUVERA LTDA</t>
  </si>
  <si>
    <t>TRISSIA DE MORAES LELIS</t>
  </si>
  <si>
    <t>VANESSA ANDRADE ROMANO SALLES</t>
  </si>
  <si>
    <t>VICENTE BISSONI NETO</t>
  </si>
  <si>
    <t>VIRGILIO BULLO ROCHA</t>
  </si>
  <si>
    <t>RODRIGO FRANZOI DE OLIVEIRA</t>
  </si>
  <si>
    <t>GUILHERME GONCALVES FEIJO DE CARVALHO</t>
  </si>
  <si>
    <t>COOPERATIVA AGRO PECUARIA DE CARMO DO PAR</t>
  </si>
  <si>
    <t>7153570</t>
  </si>
  <si>
    <t>VIAFRESA SERVICOS E LOCACOES LTDA</t>
  </si>
  <si>
    <t>17770891</t>
  </si>
  <si>
    <t>Bloqueado</t>
  </si>
  <si>
    <t>TROPICAL AGRICOLA LTDA</t>
  </si>
  <si>
    <t>VICTOR GRIESANG</t>
  </si>
  <si>
    <t>Clientes</t>
  </si>
  <si>
    <t>Sexo</t>
  </si>
  <si>
    <t>Nascimento</t>
  </si>
  <si>
    <t>Idade</t>
  </si>
  <si>
    <t>SULofissão</t>
  </si>
  <si>
    <t>Cidade</t>
  </si>
  <si>
    <t>PL</t>
  </si>
  <si>
    <t>ACACIO ZUNIGA LEITE</t>
  </si>
  <si>
    <t>M</t>
  </si>
  <si>
    <t>Funcionário Público</t>
  </si>
  <si>
    <t>Brasília - DF</t>
  </si>
  <si>
    <t>Total</t>
  </si>
  <si>
    <t>Porcentagem</t>
  </si>
  <si>
    <t>PL por gênero</t>
  </si>
  <si>
    <t>PL médio</t>
  </si>
  <si>
    <t>AGNES LOUIZE MOURA DE SANTANA</t>
  </si>
  <si>
    <t>F</t>
  </si>
  <si>
    <t>Administradora</t>
  </si>
  <si>
    <t>Masculino</t>
  </si>
  <si>
    <t>AGOSTINHO NUNES DO COUTO NETO</t>
  </si>
  <si>
    <t>Dentista</t>
  </si>
  <si>
    <t>Feminino</t>
  </si>
  <si>
    <t>ALBERTO RODRIGUES DE SOUSA JUNIOR</t>
  </si>
  <si>
    <t>-</t>
  </si>
  <si>
    <t>ALESSANDRO LOURENCO JANUARIO</t>
  </si>
  <si>
    <t>ALEXANDRE APARIZI</t>
  </si>
  <si>
    <t>São Paulo - SP</t>
  </si>
  <si>
    <t>PL por idade</t>
  </si>
  <si>
    <t>ALYSSON FAGUNDES BRAGA</t>
  </si>
  <si>
    <t>EmSULesário</t>
  </si>
  <si>
    <t>18-30</t>
  </si>
  <si>
    <t>ANDRE VINICIUS SILVA PINTO</t>
  </si>
  <si>
    <t>Advogado</t>
  </si>
  <si>
    <t>30-40</t>
  </si>
  <si>
    <t>ANDRÉA SATYRO SÁ RIBEIRO FRITZSCHE</t>
  </si>
  <si>
    <t>Arquiteta</t>
  </si>
  <si>
    <t>40-50</t>
  </si>
  <si>
    <t>ANDREIA DE ANDRADE TABORDA</t>
  </si>
  <si>
    <t>Funcionária Pública</t>
  </si>
  <si>
    <t>50-60</t>
  </si>
  <si>
    <t>ANNE LOBO FILHO</t>
  </si>
  <si>
    <t>Engenheira</t>
  </si>
  <si>
    <t>60-70</t>
  </si>
  <si>
    <t>ANSELMO DE SÁ RIBEIRO FILHO</t>
  </si>
  <si>
    <t>Aposentado</t>
  </si>
  <si>
    <t>Rio de Janeiro - RJ</t>
  </si>
  <si>
    <t>70-80</t>
  </si>
  <si>
    <t>ANTONIO DE QUEIROZ NOLETO</t>
  </si>
  <si>
    <t>80-90</t>
  </si>
  <si>
    <t xml:space="preserve"> </t>
  </si>
  <si>
    <t>AYRTON DE SOUZA FERREIRA JÚNIOR</t>
  </si>
  <si>
    <t>BARBARA OLIVEIRA SOUZA</t>
  </si>
  <si>
    <t>BRUNA ROSOLEN DE FARIA</t>
  </si>
  <si>
    <t>PL por SULofissão</t>
  </si>
  <si>
    <t>BRUNNO GOMES ROCHA</t>
  </si>
  <si>
    <t>Médico</t>
  </si>
  <si>
    <t>BRUNO MACHADO TELES WALTER</t>
  </si>
  <si>
    <t>Engenheiro</t>
  </si>
  <si>
    <t>BRUNO CESAR PESQUERO PONCE JAIME</t>
  </si>
  <si>
    <t>CAMILLA EL HAJE LOBO BORGES</t>
  </si>
  <si>
    <t>Médica</t>
  </si>
  <si>
    <t>CARLOS ALBERTO FERREIRA RODRIGUEZ</t>
  </si>
  <si>
    <t>Administrador</t>
  </si>
  <si>
    <t>CARLOS WELLINGTON CESAR DE OLIVEIRA</t>
  </si>
  <si>
    <t>Adminstrador</t>
  </si>
  <si>
    <t>CHEILA RODRIGUES WOBIDO</t>
  </si>
  <si>
    <t>CLÁUDIA APARECIDA CARNEIRO</t>
  </si>
  <si>
    <t>Psicóloga</t>
  </si>
  <si>
    <t>CLEYVERTON GARCIA LIMA</t>
  </si>
  <si>
    <t>Autônomo</t>
  </si>
  <si>
    <t>CRISTINA FREIRE LIMA CARVALHO</t>
  </si>
  <si>
    <t>Outros</t>
  </si>
  <si>
    <t>DANIELA REVOLLO RIBEIRO DA SILVA</t>
  </si>
  <si>
    <t>Danilo Di Rezende</t>
  </si>
  <si>
    <t>DEBORA MARIA RODRIGUES CRUZ</t>
  </si>
  <si>
    <t>ELISABETH MENDES GUIMARÃES</t>
  </si>
  <si>
    <t>Aposentada</t>
  </si>
  <si>
    <t>EUGÊNIO SILVA DO OLIVEIRA JÚNIOR</t>
  </si>
  <si>
    <t>EURIBERTO DE ARAUJO SANTANA</t>
  </si>
  <si>
    <t>FABIANO DE ANDRADE FARIA</t>
  </si>
  <si>
    <t>FABRICIO TRINDADE DE SOUSA</t>
  </si>
  <si>
    <t>GABRIEL MACHADO LEITE</t>
  </si>
  <si>
    <t>GLEIDE SATYRO SALES</t>
  </si>
  <si>
    <t>GUILHERME FIGUEIREDO FERREIRA</t>
  </si>
  <si>
    <t>Goiânia - GO</t>
  </si>
  <si>
    <t>GUILHERME LANCINI BELLO</t>
  </si>
  <si>
    <t>GUILHERME OTAVIO MORAIS DE CARVALHO</t>
  </si>
  <si>
    <t>Guilherme Porangaba Barbosa</t>
  </si>
  <si>
    <t>GUSTAVO ATHAIDE HALMENSCHLAGER</t>
  </si>
  <si>
    <t>Marabá - PA</t>
  </si>
  <si>
    <t>HELMGTON JOSÉ BRITO DE SOUZA</t>
  </si>
  <si>
    <t>HENRIQUE REINERT LOPES DIAS</t>
  </si>
  <si>
    <t>HUGO FRANCO RODRIGUES</t>
  </si>
  <si>
    <t>IRACEMA MATIAS MORRIS</t>
  </si>
  <si>
    <t>Iuri Salles Cozac</t>
  </si>
  <si>
    <t>Agricultor</t>
  </si>
  <si>
    <t>JANAÍNA TENÓRIO TRANCOSO TAVARES DA SILVA</t>
  </si>
  <si>
    <t>Bióloga</t>
  </si>
  <si>
    <t>JOÃO LEOPOLDO ROMÃO SEREDNICKI</t>
  </si>
  <si>
    <t>JOÃO PAULO SETUBAL CAMPOS MARTINS</t>
  </si>
  <si>
    <t>JOSE HUMBERTO DE SOUZA BORGES</t>
  </si>
  <si>
    <t>JOSÉ ROBSON BEZERRA SERENO</t>
  </si>
  <si>
    <t>Veterinário</t>
  </si>
  <si>
    <t>JOSÉ WASHINGTON DE CARVALHO NOVAES</t>
  </si>
  <si>
    <t>JULIANA DE PAULA SILVA RAMALHO OU SAULO</t>
  </si>
  <si>
    <t>EmSULesária</t>
  </si>
  <si>
    <t>JULIO CEZAR PORTES</t>
  </si>
  <si>
    <t>LEONARDO FERNANDES DE OLIVEIRA</t>
  </si>
  <si>
    <t>LEONARDO FRANCO RODRIGUES</t>
  </si>
  <si>
    <t>LUANA BAILÃO</t>
  </si>
  <si>
    <t>LUCIANA PACHECO DE BRITO</t>
  </si>
  <si>
    <t>LUIZ CARLOS RUSKY</t>
  </si>
  <si>
    <t>LUIZ EDUARDO DA SILVA TOSTES</t>
  </si>
  <si>
    <t>MANUELA BAILÃO</t>
  </si>
  <si>
    <t>Educação Física</t>
  </si>
  <si>
    <t>MARCELO REINECKEN DE ARAÚJO</t>
  </si>
  <si>
    <t>MÁRCIA CARVALHO GAZETA</t>
  </si>
  <si>
    <t>Advogada</t>
  </si>
  <si>
    <t>MARIA BEATRIZ ROLDÃO E ALVARES</t>
  </si>
  <si>
    <t>MARIA CLAUDIOMAR FERNANDES BEZERRA</t>
  </si>
  <si>
    <t>MARIA DAS GRAÇAS COSTA</t>
  </si>
  <si>
    <t>SULofessora</t>
  </si>
  <si>
    <t>MARIA REGINA COSTA ALVAREZ</t>
  </si>
  <si>
    <t>Jornalista</t>
  </si>
  <si>
    <t>MARLENE LEAL FONSECA DOS SANTOS</t>
  </si>
  <si>
    <t>Pensionista</t>
  </si>
  <si>
    <t>MARLI MELO SANTANA RODRIGUES</t>
  </si>
  <si>
    <t>MARTA MARIA SULADO DE SOUZA COE</t>
  </si>
  <si>
    <t>MAURICIO DAHER ANDRADE GOMES</t>
  </si>
  <si>
    <t>MAURÍCIO DE FIGUEIREDO CORREA DA VEIGA</t>
  </si>
  <si>
    <t>MAURO SCHENEKENBERG GUEDES</t>
  </si>
  <si>
    <t>Monica Torres Silva</t>
  </si>
  <si>
    <t>Autônoma</t>
  </si>
  <si>
    <t>MURILLO MENDES MANENTE</t>
  </si>
  <si>
    <t>NAIA CAMELO VILAS BOAS</t>
  </si>
  <si>
    <t>NATÁLIA REZENDE DE ALMEIDA SANTOS</t>
  </si>
  <si>
    <t>O UNIVERSITÁRIO RESTAURANTE</t>
  </si>
  <si>
    <t>ODIL GARRIDO CAMPOS DE ANDRADE</t>
  </si>
  <si>
    <t>Luziânia - GO</t>
  </si>
  <si>
    <t>OLÍVIO OLIVEIRA PENTEADO</t>
  </si>
  <si>
    <t>Cristalina - GO</t>
  </si>
  <si>
    <t>Otávio Alves Forte</t>
  </si>
  <si>
    <t>OTAVIO BENTO SOUZA SILVA</t>
  </si>
  <si>
    <t>OTOPLUS OTORRINOLARINGOLOGIA S S LTDA</t>
  </si>
  <si>
    <t>PATRICK FRANCOIS DURANS AMORIM</t>
  </si>
  <si>
    <t>PAULO FERNANDO ULIAN</t>
  </si>
  <si>
    <t>PAULO HENRIQUE DE MORAES MENDES</t>
  </si>
  <si>
    <t>Nutricionista</t>
  </si>
  <si>
    <t>PERCIVAL LOPES DA SILVA JUNIOR</t>
  </si>
  <si>
    <t>PHILIPE FERREIRA DA SILVA LIMA</t>
  </si>
  <si>
    <t>RAFAELLA SULADERA</t>
  </si>
  <si>
    <t>Rafael de Araujo Damas</t>
  </si>
  <si>
    <t>RAFAEL GOMES DIAS</t>
  </si>
  <si>
    <t>RAÍSSA CASTILHO/JULIANO LUIZ FERREIRA</t>
  </si>
  <si>
    <t>RAQUEL FAGUNDES BRAGA FERREIRA</t>
  </si>
  <si>
    <t>RENAN PIERATTI</t>
  </si>
  <si>
    <t>RICARDO DE OLIVEIRA RAMOS</t>
  </si>
  <si>
    <t>RICARDO RUSSO</t>
  </si>
  <si>
    <t>RITA DE CASSIA ALVES DA SILVA</t>
  </si>
  <si>
    <t>RODRIGO FELIPE MARQUES</t>
  </si>
  <si>
    <t>RODRIGO NUNES FRANCO</t>
  </si>
  <si>
    <t>RONALDO MAFIA CUENCA</t>
  </si>
  <si>
    <t>Rosangela Rodrigues de Carvalho</t>
  </si>
  <si>
    <t>RUBEM SOARES DE OLIVEIRA LIMA</t>
  </si>
  <si>
    <t>RUBIANNE INACIO SULOTASIO DI BORGES FIGUEIREDO</t>
  </si>
  <si>
    <t>Sabrina Martins Xavier</t>
  </si>
  <si>
    <t>Analista de Sistemas</t>
  </si>
  <si>
    <t>SABRINA MENDES LAGO</t>
  </si>
  <si>
    <t>SANDRA MARIA MEDEIROS COSTA</t>
  </si>
  <si>
    <t>Publicitária</t>
  </si>
  <si>
    <t>Sérgio Lincoln de Matos Arruda</t>
  </si>
  <si>
    <t>SOLANGE ALVES DE MORAES MENDES</t>
  </si>
  <si>
    <t>TATIANA LIMA CARVALHO</t>
  </si>
  <si>
    <t>Estudante</t>
  </si>
  <si>
    <t>TATIANA MARIA CARVALHO DE PAULA</t>
  </si>
  <si>
    <t>THAIS DE OLIVEIRA SILVA</t>
  </si>
  <si>
    <t>Assessora Legislativa</t>
  </si>
  <si>
    <t>TIAGO DE CASTELLO BRANCO</t>
  </si>
  <si>
    <t>VILMAR JOSÉ FORTUNA (Celso)</t>
  </si>
  <si>
    <t>Militar</t>
  </si>
  <si>
    <t>VITOR HENRIQUE LAGES FERREIRA</t>
  </si>
  <si>
    <t>VIVIANA PERIBANEZ GONZALEZ DE ARAÚJO</t>
  </si>
  <si>
    <t>WAGNER VAZ CARDOZO</t>
  </si>
  <si>
    <t>William Enio Guedes Fabrício</t>
  </si>
  <si>
    <t>Policial</t>
  </si>
  <si>
    <t>Faltam</t>
  </si>
  <si>
    <t>PL JANEIRO 2020</t>
  </si>
  <si>
    <t>PL FEVEREIRO 2020</t>
  </si>
  <si>
    <t>PL MARÇO 2020</t>
  </si>
  <si>
    <t>Nº DA CONTA</t>
  </si>
  <si>
    <t>Escritório</t>
  </si>
  <si>
    <t>Assessor</t>
  </si>
  <si>
    <t>Status</t>
  </si>
  <si>
    <t>Operando</t>
  </si>
  <si>
    <t>Início da Gestão</t>
  </si>
  <si>
    <t>Perfil de Investimento</t>
  </si>
  <si>
    <t>Taxa de Gestão</t>
  </si>
  <si>
    <t>Localização</t>
  </si>
  <si>
    <t>31/01/2021</t>
  </si>
  <si>
    <t>28/02/2021</t>
  </si>
  <si>
    <t>31/03/2021</t>
  </si>
  <si>
    <t>30/04/2021</t>
  </si>
  <si>
    <t>27/04/2021</t>
  </si>
  <si>
    <t>31/05/2021</t>
  </si>
  <si>
    <t>Clarissa Costa de Barros</t>
  </si>
  <si>
    <t>Conquest</t>
  </si>
  <si>
    <t>Ativo</t>
  </si>
  <si>
    <t>Ações Plus</t>
  </si>
  <si>
    <t>Sudoeste</t>
  </si>
  <si>
    <t>Natal Ferreira das Dores</t>
  </si>
  <si>
    <t>Bluemetrix</t>
  </si>
  <si>
    <t>Victor Caldeira</t>
  </si>
  <si>
    <t>Gama</t>
  </si>
  <si>
    <t>Código BMTX Universal</t>
  </si>
  <si>
    <t>Gil/Victor Caldeira</t>
  </si>
  <si>
    <t>17679</t>
  </si>
  <si>
    <t>David Mendes</t>
  </si>
  <si>
    <t>18530</t>
  </si>
  <si>
    <t>Alexandre Fontenelle</t>
  </si>
  <si>
    <t>17489</t>
  </si>
  <si>
    <t>Guilherme Sales</t>
  </si>
  <si>
    <t>18256</t>
  </si>
  <si>
    <t>Pedro Ferreira</t>
  </si>
  <si>
    <t>18266</t>
  </si>
  <si>
    <t>Fernando Amaro</t>
  </si>
  <si>
    <t>14574</t>
  </si>
  <si>
    <t>Alexandre Coutinho/Victor Caldeira</t>
  </si>
  <si>
    <t>12736</t>
  </si>
  <si>
    <t>Yasmin Muniz</t>
  </si>
  <si>
    <t>12624</t>
  </si>
  <si>
    <t>Lucio Moscareli</t>
  </si>
  <si>
    <t>1441</t>
  </si>
  <si>
    <t>18986</t>
  </si>
  <si>
    <t>Tiago Alvim</t>
  </si>
  <si>
    <t>16072</t>
  </si>
  <si>
    <t>Lucas Lôbo Ataide</t>
  </si>
  <si>
    <t>13598</t>
  </si>
  <si>
    <t>Arthur Figueiró</t>
  </si>
  <si>
    <t>15496</t>
  </si>
  <si>
    <t>Norton Fritzsche</t>
  </si>
  <si>
    <t>18993</t>
  </si>
  <si>
    <t>André Araújo</t>
  </si>
  <si>
    <t>12305</t>
  </si>
  <si>
    <t>Antonio Carlos</t>
  </si>
  <si>
    <t>14284</t>
  </si>
  <si>
    <t>Hugo Motta</t>
  </si>
  <si>
    <t>17831</t>
  </si>
  <si>
    <t>Bruno Jaime</t>
  </si>
  <si>
    <t>18467</t>
  </si>
  <si>
    <t>Maria Luiza</t>
  </si>
  <si>
    <t>12549</t>
  </si>
  <si>
    <t>Lorenzo Rulli</t>
  </si>
  <si>
    <t>16855</t>
  </si>
  <si>
    <t>Rodger</t>
  </si>
  <si>
    <t>17573</t>
  </si>
  <si>
    <t>Daniel Cambraia</t>
  </si>
  <si>
    <t>16459</t>
  </si>
  <si>
    <t>Alexandre Xavier</t>
  </si>
  <si>
    <t>17896</t>
  </si>
  <si>
    <t>Vitor Mafra</t>
  </si>
  <si>
    <t>13444</t>
  </si>
  <si>
    <t>Rafael Vilela</t>
  </si>
  <si>
    <t>18009</t>
  </si>
  <si>
    <t>Pedro Uno</t>
  </si>
  <si>
    <t>14320</t>
  </si>
  <si>
    <t>Neyla Abrantes</t>
  </si>
  <si>
    <t>19634</t>
  </si>
  <si>
    <t>Rogério Magalhães</t>
  </si>
  <si>
    <t>15049</t>
  </si>
  <si>
    <t>João Victor Beze</t>
  </si>
  <si>
    <t>17243</t>
  </si>
  <si>
    <t>Marcelo Tavares</t>
  </si>
  <si>
    <t>11732</t>
  </si>
  <si>
    <t>Fernando Menicucci/Victor Caldeira</t>
  </si>
  <si>
    <t>1633</t>
  </si>
  <si>
    <t>Thiago Brum</t>
  </si>
  <si>
    <t>15544</t>
  </si>
  <si>
    <t>Rejane Machado</t>
  </si>
  <si>
    <t>19157</t>
  </si>
  <si>
    <t>Voga</t>
  </si>
  <si>
    <t>13489</t>
  </si>
  <si>
    <t>Arthur Puccinelli</t>
  </si>
  <si>
    <t>14294</t>
  </si>
  <si>
    <t>Paula Lemos</t>
  </si>
  <si>
    <t>14699</t>
  </si>
  <si>
    <t>Ana Vorcaro</t>
  </si>
  <si>
    <t>11252</t>
  </si>
  <si>
    <t>Gabriel Raydan</t>
  </si>
  <si>
    <t>1298</t>
  </si>
  <si>
    <t>Calebe</t>
  </si>
  <si>
    <t>14434</t>
  </si>
  <si>
    <t>Cássio Mello</t>
  </si>
  <si>
    <t>13363</t>
  </si>
  <si>
    <t>André Luiz</t>
  </si>
  <si>
    <t>1891</t>
  </si>
  <si>
    <t>Renan Silva</t>
  </si>
  <si>
    <t>18236</t>
  </si>
  <si>
    <t>Luciano Vilanova</t>
  </si>
  <si>
    <t>15147</t>
  </si>
  <si>
    <t>Marcos Valadão</t>
  </si>
  <si>
    <t>12846</t>
  </si>
  <si>
    <t>14739</t>
  </si>
  <si>
    <t>Marcelo Pedrosa</t>
  </si>
  <si>
    <t>13896</t>
  </si>
  <si>
    <t>Thiago Maluf</t>
  </si>
  <si>
    <t>16758</t>
  </si>
  <si>
    <t>Bruno Krohn</t>
  </si>
  <si>
    <t>11113</t>
  </si>
  <si>
    <t>Amanda Fonseca</t>
  </si>
  <si>
    <t>17022</t>
  </si>
  <si>
    <t>Gabriel Borges</t>
  </si>
  <si>
    <t>14244</t>
  </si>
  <si>
    <t>Roberly</t>
  </si>
  <si>
    <t>19352</t>
  </si>
  <si>
    <t>Norton Jr.</t>
  </si>
  <si>
    <t>18836</t>
  </si>
  <si>
    <t>Sarah Ferreira</t>
  </si>
  <si>
    <t>16427</t>
  </si>
  <si>
    <t>Jéssica Ribeiro</t>
  </si>
  <si>
    <t>12639</t>
  </si>
  <si>
    <t xml:space="preserve">Arthur Figueiró </t>
  </si>
  <si>
    <t>1449</t>
  </si>
  <si>
    <t>Isabella Almeida</t>
  </si>
  <si>
    <t>1275</t>
  </si>
  <si>
    <t>Diogo Segabinazzi</t>
  </si>
  <si>
    <t>1153</t>
  </si>
  <si>
    <t>Gabriel Prudente</t>
  </si>
  <si>
    <t>16130</t>
  </si>
  <si>
    <t>Silvio Holanda</t>
  </si>
  <si>
    <t>15530</t>
  </si>
  <si>
    <t>Raphael Alvarenga</t>
  </si>
  <si>
    <t>13484</t>
  </si>
  <si>
    <t>Caio de Castro</t>
  </si>
  <si>
    <t>17109</t>
  </si>
  <si>
    <t xml:space="preserve">Thiago Maluf </t>
  </si>
  <si>
    <t>16100</t>
  </si>
  <si>
    <t>Antonis Rodopoulos</t>
  </si>
  <si>
    <t>18061</t>
  </si>
  <si>
    <t>Felipe Rios</t>
  </si>
  <si>
    <t>18890</t>
  </si>
  <si>
    <t>Rogério Coelho</t>
  </si>
  <si>
    <t>14091</t>
  </si>
  <si>
    <t>Guilherme Marquez</t>
  </si>
  <si>
    <t>18992</t>
  </si>
  <si>
    <t>Rafael</t>
  </si>
  <si>
    <t>2971</t>
  </si>
  <si>
    <t>Lucas Zambrin</t>
  </si>
  <si>
    <t>28411</t>
  </si>
  <si>
    <t>Rodrigo Milanez</t>
  </si>
  <si>
    <t>250</t>
  </si>
  <si>
    <t>Juliana Farias</t>
  </si>
  <si>
    <t>22066</t>
  </si>
  <si>
    <t>Matrice</t>
  </si>
  <si>
    <t>22400</t>
  </si>
  <si>
    <t>Flávio Miguel</t>
  </si>
  <si>
    <t>25581</t>
  </si>
  <si>
    <t>Israel</t>
  </si>
  <si>
    <t>33218</t>
  </si>
  <si>
    <t>João</t>
  </si>
  <si>
    <t>39467</t>
  </si>
  <si>
    <t>Breno</t>
  </si>
  <si>
    <t>34388</t>
  </si>
  <si>
    <t>Rafael Menezes</t>
  </si>
  <si>
    <t>Felipe Estevam</t>
  </si>
  <si>
    <t>Valdeson Japiassu</t>
  </si>
  <si>
    <t>Gustavo Amorim</t>
  </si>
  <si>
    <t>Andrea Lopes</t>
  </si>
  <si>
    <t>Eduardo Leopoldino</t>
  </si>
  <si>
    <t>Gil/Caio de Castro</t>
  </si>
  <si>
    <t>Gil/Eduardo Leopoldino</t>
  </si>
  <si>
    <t>Victor Caldeira/Eduardo Leopoldino</t>
  </si>
  <si>
    <t>Victor Caldeira/Gustavo Amorim</t>
  </si>
  <si>
    <t>Gil/Gustavo Amorim</t>
  </si>
  <si>
    <t>Gil/Luciano Vilanova</t>
  </si>
  <si>
    <t>Victor Caldeira/Luciano Vilanova</t>
  </si>
  <si>
    <t>Victor Caldeira/Gabriel Prudente</t>
  </si>
  <si>
    <t>Thiago Canabrava</t>
  </si>
  <si>
    <t>Vivian</t>
  </si>
  <si>
    <t>Leandro Sousa</t>
  </si>
  <si>
    <t>Felipe Cravos</t>
  </si>
  <si>
    <t>Leandro e Leyla</t>
  </si>
  <si>
    <t>Alice Lobo</t>
  </si>
  <si>
    <t>Rodolfo Gomes</t>
  </si>
  <si>
    <t xml:space="preserve">Pedro Paulo Alves  </t>
  </si>
  <si>
    <t>Cecilia Arcoverde</t>
  </si>
  <si>
    <t>Leandro</t>
  </si>
  <si>
    <t>Leandro Silva</t>
  </si>
  <si>
    <t>Tatiane Cavalcante</t>
  </si>
  <si>
    <t>André Castro</t>
  </si>
  <si>
    <t>Regular</t>
  </si>
  <si>
    <t>Cecilia</t>
  </si>
  <si>
    <t>Rafaele Alves</t>
  </si>
  <si>
    <t>Luca Bueno</t>
  </si>
  <si>
    <t>Lucas Zambrim</t>
  </si>
  <si>
    <t>Valdesson Japiassu</t>
  </si>
  <si>
    <t>Flavio Miguel</t>
  </si>
  <si>
    <t>Karla</t>
  </si>
  <si>
    <t>Data da Solicitação</t>
  </si>
  <si>
    <t>Tipo de Saída</t>
  </si>
  <si>
    <t>Valor</t>
  </si>
  <si>
    <t>Carteira</t>
  </si>
  <si>
    <t>825558</t>
  </si>
  <si>
    <t>Guide</t>
  </si>
  <si>
    <t>Distrato</t>
  </si>
  <si>
    <t>Ayrton de Souza Ferreira Júnior</t>
  </si>
  <si>
    <t>Equities</t>
  </si>
  <si>
    <t>3383740</t>
  </si>
  <si>
    <t>Juliana de Paula Silva Ramalho ou Saulo</t>
  </si>
  <si>
    <t>Moderada 20</t>
  </si>
  <si>
    <t>2961934</t>
  </si>
  <si>
    <t>Vilmar José Fortuna (Celso)</t>
  </si>
  <si>
    <t>4241586</t>
  </si>
  <si>
    <t>Resgate Parcial</t>
  </si>
  <si>
    <t>Renan Pieratti</t>
  </si>
  <si>
    <t>2534866</t>
  </si>
  <si>
    <t>Paulo Henrique de Moraes Mendes</t>
  </si>
  <si>
    <t>Moderada</t>
  </si>
  <si>
    <t>3520517</t>
  </si>
  <si>
    <t>2701746</t>
  </si>
  <si>
    <t>Patrick Francois Durans Amorim</t>
  </si>
  <si>
    <t>431690</t>
  </si>
  <si>
    <t>Imc Construcoes Ltda</t>
  </si>
  <si>
    <t>Arrojada 50</t>
  </si>
  <si>
    <t>4345500</t>
  </si>
  <si>
    <t>Guilherme Figueiredo Ferreira</t>
  </si>
  <si>
    <t>5773924</t>
  </si>
  <si>
    <t>Wagner Vaz Cardozo</t>
  </si>
  <si>
    <t>5792082</t>
  </si>
  <si>
    <t>Iracema Matias Morris</t>
  </si>
  <si>
    <t>Conservadora</t>
  </si>
  <si>
    <t>2645505</t>
  </si>
  <si>
    <t>323684</t>
  </si>
  <si>
    <t>Cleyverton Garcia Lima</t>
  </si>
  <si>
    <t>3713246</t>
  </si>
  <si>
    <t>Laís do Prado Costa</t>
  </si>
  <si>
    <t>475794</t>
  </si>
  <si>
    <t>Fabiano de Andrade Faria</t>
  </si>
  <si>
    <t>Resgate Total</t>
  </si>
  <si>
    <t>3203106</t>
  </si>
  <si>
    <t>Joao Paulo Setubal Campos Martins</t>
  </si>
  <si>
    <t>5776702</t>
  </si>
  <si>
    <t>Janaina Tenorio Trancoso Tavares Da Silva</t>
  </si>
  <si>
    <t>2591134</t>
  </si>
  <si>
    <t>Otoplus Otorrinolaringologia S S Ltda</t>
  </si>
  <si>
    <t>3257117</t>
  </si>
  <si>
    <t>Cláudia Aparecida Carneiro</t>
  </si>
  <si>
    <t>2310651</t>
  </si>
  <si>
    <t>Lanna Cristina Gomes Leite</t>
  </si>
  <si>
    <t>4332042</t>
  </si>
  <si>
    <t>Vitor Henrique Lages Ferreira</t>
  </si>
  <si>
    <t>2066065</t>
  </si>
  <si>
    <t>Genial</t>
  </si>
  <si>
    <t>Rubem Soares de Oliveira Lima</t>
  </si>
  <si>
    <t>3615656</t>
  </si>
  <si>
    <t>Ricardo Abreu Emediato</t>
  </si>
  <si>
    <t>2730754</t>
  </si>
  <si>
    <t>Naia Camelo Vilas Boas</t>
  </si>
  <si>
    <t>4351136</t>
  </si>
  <si>
    <t>Sabrina Mendes Lago</t>
  </si>
  <si>
    <t>4502541</t>
  </si>
  <si>
    <t>Pollyanna de Oliveira Rocha</t>
  </si>
  <si>
    <t>4387335</t>
  </si>
  <si>
    <t>Diego Martins Silva do Amaral</t>
  </si>
  <si>
    <t>4461608</t>
  </si>
  <si>
    <t>Anna Clara Monteiro da Rosa Maia</t>
  </si>
  <si>
    <t xml:space="preserve">Genial </t>
  </si>
  <si>
    <t>340481</t>
  </si>
  <si>
    <t>Ricardo de Oliveira Ramos</t>
  </si>
  <si>
    <t>2738224</t>
  </si>
  <si>
    <t>Marcelo Reinecken de Araújo</t>
  </si>
  <si>
    <t>2847489</t>
  </si>
  <si>
    <t>Tiago Costa Chaves</t>
  </si>
  <si>
    <t>2721127</t>
  </si>
  <si>
    <t>Lissa Moreira Marques</t>
  </si>
  <si>
    <t>331865</t>
  </si>
  <si>
    <t>2894145</t>
  </si>
  <si>
    <t>Henrique Reinert Lopes Dias</t>
  </si>
  <si>
    <t>4487607</t>
  </si>
  <si>
    <t>Gabriel Jorge SULadera</t>
  </si>
  <si>
    <t>4455683</t>
  </si>
  <si>
    <t>Rafaella SULadera</t>
  </si>
  <si>
    <t>5808809</t>
  </si>
  <si>
    <t>Hugo Franco Rodrigues</t>
  </si>
  <si>
    <t>5745998</t>
  </si>
  <si>
    <t>Viviana Peribanez Gonzalez de Araújo</t>
  </si>
  <si>
    <t>5752960</t>
  </si>
  <si>
    <t>4375396</t>
  </si>
  <si>
    <t>Julio Cezar Portes</t>
  </si>
  <si>
    <t>5809120</t>
  </si>
  <si>
    <t>Leonardo Franco Rodrigues</t>
  </si>
  <si>
    <t>2865175</t>
  </si>
  <si>
    <t>804771</t>
  </si>
  <si>
    <t>Mauricio de Figueiredo Correa da Veiga</t>
  </si>
  <si>
    <t>3384291</t>
  </si>
  <si>
    <t>Não encontrei cliente na planilha de ct</t>
  </si>
  <si>
    <t>2445589</t>
  </si>
  <si>
    <t>Bianca Faria e Rocha</t>
  </si>
  <si>
    <t>Arrojada</t>
  </si>
  <si>
    <t>2352697</t>
  </si>
  <si>
    <t>Arthur Lanna Appelt</t>
  </si>
  <si>
    <t>Equities 80</t>
  </si>
  <si>
    <t>1586968</t>
  </si>
  <si>
    <t>Ricardo Russo</t>
  </si>
  <si>
    <t>4248009</t>
  </si>
  <si>
    <t>Rafael Gomes Dias</t>
  </si>
  <si>
    <t>4247347</t>
  </si>
  <si>
    <t>Euriberto de Araujo Santana</t>
  </si>
  <si>
    <t>3384259</t>
  </si>
  <si>
    <t>Philipe Ferreira da Silva Lima</t>
  </si>
  <si>
    <t>2702114</t>
  </si>
  <si>
    <t>Bernardo Fortuna Magalhaes</t>
  </si>
  <si>
    <t>4327504</t>
  </si>
  <si>
    <t>4402972</t>
  </si>
  <si>
    <t>Marcos Augusto do Nascimento Vidal</t>
  </si>
  <si>
    <t>4651873</t>
  </si>
  <si>
    <t>Rodrigo Veiga De Oliveira</t>
  </si>
  <si>
    <t>2466854</t>
  </si>
  <si>
    <t>4355972</t>
  </si>
  <si>
    <t>Jose Humberto de Souza Borges</t>
  </si>
  <si>
    <t>3445098</t>
  </si>
  <si>
    <t>Paulo Renato Simmons de Paula</t>
  </si>
  <si>
    <t>1922798</t>
  </si>
  <si>
    <t>Olívio Oliveira Penteado</t>
  </si>
  <si>
    <t>4349786</t>
  </si>
  <si>
    <t>Camilla El Haje Lobo Borges</t>
  </si>
  <si>
    <t>3939462</t>
  </si>
  <si>
    <t>Igor de Souza Saraiva</t>
  </si>
  <si>
    <t>2405046</t>
  </si>
  <si>
    <t>Moderada 30</t>
  </si>
  <si>
    <t>846458</t>
  </si>
  <si>
    <t>O Universitário Restaurante</t>
  </si>
  <si>
    <t>2672622</t>
  </si>
  <si>
    <t>Maria das Graças Costa</t>
  </si>
  <si>
    <t>826678</t>
  </si>
  <si>
    <t>Tatiana Maria Carvalho de Paula</t>
  </si>
  <si>
    <t>4478934</t>
  </si>
  <si>
    <t>Marcos Leandro Matias Morris</t>
  </si>
  <si>
    <t>4460288</t>
  </si>
  <si>
    <t>Guiomar Rodrigues de Carvalho</t>
  </si>
  <si>
    <t>2956150</t>
  </si>
  <si>
    <t>Claudia Pereira Brandão</t>
  </si>
  <si>
    <t>3518710</t>
  </si>
  <si>
    <t>José Humberto de Souza Borges</t>
  </si>
  <si>
    <t>4528354</t>
  </si>
  <si>
    <t>Maria de Fátima Nunes Franco</t>
  </si>
  <si>
    <t>2658077</t>
  </si>
  <si>
    <t>Gabriel Machado Leite</t>
  </si>
  <si>
    <t>846385</t>
  </si>
  <si>
    <t>Anne Lobo Filho</t>
  </si>
  <si>
    <t>367916</t>
  </si>
  <si>
    <t>Dilson Manoel Catarino</t>
  </si>
  <si>
    <t>SUL</t>
  </si>
  <si>
    <t>323625</t>
  </si>
  <si>
    <t>Joao Rodrigo Santos Milanez</t>
  </si>
  <si>
    <t>Income</t>
  </si>
  <si>
    <t>804151</t>
  </si>
  <si>
    <t>Gabriel Lima Lopes e/ou Stephanie Benabou</t>
  </si>
  <si>
    <t>Arrojada/FIIs</t>
  </si>
  <si>
    <t>4920156</t>
  </si>
  <si>
    <t>Geancarlo Jandre</t>
  </si>
  <si>
    <t>2850040</t>
  </si>
  <si>
    <t>Juliana Balan Machado</t>
  </si>
  <si>
    <t>3774100</t>
  </si>
  <si>
    <t>Bruno Sartório Silva</t>
  </si>
  <si>
    <t>2698656</t>
  </si>
  <si>
    <t>Maria Regina Costa Alvarez</t>
  </si>
  <si>
    <t>5759182</t>
  </si>
  <si>
    <t>Barbara Oliveira Souza</t>
  </si>
  <si>
    <t>4400781</t>
  </si>
  <si>
    <t>Thais de Oliveira Silva</t>
  </si>
  <si>
    <t>4611223</t>
  </si>
  <si>
    <t>Igor Martins Silva</t>
  </si>
  <si>
    <t>4401235</t>
  </si>
  <si>
    <t>Cristina Vieira Araújo</t>
  </si>
  <si>
    <t>4465816</t>
  </si>
  <si>
    <t>Ellen Verri Lopes</t>
  </si>
  <si>
    <t>4608802</t>
  </si>
  <si>
    <t>Amanda Gabriele do Nascimento Vidal</t>
  </si>
  <si>
    <t>2965891</t>
  </si>
  <si>
    <t>Paulo Fernando Ulian</t>
  </si>
  <si>
    <t>Arrojada 40</t>
  </si>
  <si>
    <t>4627802</t>
  </si>
  <si>
    <t>Cristiane Borja Rodrigues da Silva</t>
  </si>
  <si>
    <t>4386181</t>
  </si>
  <si>
    <t>Kenyo Roriz Meireles</t>
  </si>
  <si>
    <t>2661302</t>
  </si>
  <si>
    <t>Clube de Investimentos Métrica</t>
  </si>
  <si>
    <t>3274844</t>
  </si>
  <si>
    <t>Joao Leopoldo Romao Serednicki</t>
  </si>
  <si>
    <t>2864258</t>
  </si>
  <si>
    <t>Kelvio dos Santos Pinto</t>
  </si>
  <si>
    <t>4550654</t>
  </si>
  <si>
    <t>Hugo de Pina Junior</t>
  </si>
  <si>
    <t>Gabiel Borges</t>
  </si>
  <si>
    <t>4836917</t>
  </si>
  <si>
    <t>Raphaela Costa Leite Bueno</t>
  </si>
  <si>
    <t>3412436</t>
  </si>
  <si>
    <t>Silval José Alves Filho</t>
  </si>
  <si>
    <t>3384356</t>
  </si>
  <si>
    <t>Natália Rezende de Almeida Santos</t>
  </si>
  <si>
    <t>4662174</t>
  </si>
  <si>
    <t>Retlaw Agricola e Pastoril S/S LTDA Agricola e Pastoril S/S LTDA</t>
  </si>
  <si>
    <t>4484307</t>
  </si>
  <si>
    <t>Sibelia Teixeira da Silva Dias</t>
  </si>
  <si>
    <t>332802</t>
  </si>
  <si>
    <t>Camilo Molino Guidoni</t>
  </si>
  <si>
    <t>2218857</t>
  </si>
  <si>
    <t>Fernando Victor Amaro</t>
  </si>
  <si>
    <t>4442638</t>
  </si>
  <si>
    <t>Maria Fernanda Feitosa de Camargo Boin e/ou Plinio Angelo Boin</t>
  </si>
  <si>
    <t>4468963</t>
  </si>
  <si>
    <t>Raquel Marques Luz</t>
  </si>
  <si>
    <t>2694253</t>
  </si>
  <si>
    <t>Xtratégia Tecnologia da Informação LTDA ME</t>
  </si>
  <si>
    <t>5773304</t>
  </si>
  <si>
    <t>4655754</t>
  </si>
  <si>
    <t>Rauni Lamaro Lima</t>
  </si>
  <si>
    <t>4784067</t>
  </si>
  <si>
    <t>Tulio Duarte Faria</t>
  </si>
  <si>
    <t>4729728</t>
  </si>
  <si>
    <t>Vera Ferreira Caixeta</t>
  </si>
  <si>
    <t>4783402</t>
  </si>
  <si>
    <t>Interlagos Construtora e Incorporadora LTDA</t>
  </si>
  <si>
    <t>4572882</t>
  </si>
  <si>
    <t>Carlos Roberto Cestari</t>
  </si>
  <si>
    <t>4696470</t>
  </si>
  <si>
    <t>Gabriel Basile Pantazis</t>
  </si>
  <si>
    <t>479226</t>
  </si>
  <si>
    <t>Wagner Alberto Matheus Barradas</t>
  </si>
  <si>
    <t>4481625</t>
  </si>
  <si>
    <t>Adriano Gonçalves Barbosa de Castro</t>
  </si>
  <si>
    <t>341356</t>
  </si>
  <si>
    <t>Andreia de Andrade Taborda</t>
  </si>
  <si>
    <t>2902059</t>
  </si>
  <si>
    <t>Anselmo de Sa Ribeiro Filho</t>
  </si>
  <si>
    <t>4280220</t>
  </si>
  <si>
    <t>Brunno Gomes Rocha</t>
  </si>
  <si>
    <t>378853</t>
  </si>
  <si>
    <t>Cleber Carvalho Maciel</t>
  </si>
  <si>
    <t>Não começou</t>
  </si>
  <si>
    <t>5842853</t>
  </si>
  <si>
    <t>Antonio de Queiroz Noleto</t>
  </si>
  <si>
    <t>4732393</t>
  </si>
  <si>
    <t>Felipe Kutlak Pádua</t>
  </si>
  <si>
    <t>528568</t>
  </si>
  <si>
    <t>Paulo Henrique Mamede Bernardes</t>
  </si>
  <si>
    <t>4859807</t>
  </si>
  <si>
    <t>Lucas Alves de Brito Baeta</t>
  </si>
  <si>
    <t>BH</t>
  </si>
  <si>
    <t>4765516</t>
  </si>
  <si>
    <t>Camila Veloso Araujo Frelat</t>
  </si>
  <si>
    <t>492516</t>
  </si>
  <si>
    <t>Rafael Agostinho Maioli</t>
  </si>
  <si>
    <t>4343397</t>
  </si>
  <si>
    <t>Murillo Mendes Manente</t>
  </si>
  <si>
    <t>4217316</t>
  </si>
  <si>
    <t>Alessandro Lourenco Januario</t>
  </si>
  <si>
    <t>328970</t>
  </si>
  <si>
    <t>Joao Paulo Fernandes Guerreiro</t>
  </si>
  <si>
    <t>4674830</t>
  </si>
  <si>
    <t>Controller Servicos Contabeis Digital LTDA</t>
  </si>
  <si>
    <t>4674881</t>
  </si>
  <si>
    <t>Controller Assessoria Contabil S/S</t>
  </si>
  <si>
    <t>486192</t>
  </si>
  <si>
    <t>Pedro Guilherme Ramos Goya</t>
  </si>
  <si>
    <t>4618682</t>
  </si>
  <si>
    <t>250289</t>
  </si>
  <si>
    <t>José Carlos de Souza Neto</t>
  </si>
  <si>
    <t>4488255</t>
  </si>
  <si>
    <t>Marco Antonio Guerreiro</t>
  </si>
  <si>
    <t>464776</t>
  </si>
  <si>
    <t>Bruno Tedesco Rosa</t>
  </si>
  <si>
    <t>4304013</t>
  </si>
  <si>
    <t>Simone de Luca Liu</t>
  </si>
  <si>
    <t>GO</t>
  </si>
  <si>
    <t>349853</t>
  </si>
  <si>
    <t>Jose Roberto Boselli Junior</t>
  </si>
  <si>
    <t>2591878</t>
  </si>
  <si>
    <t>Antonio Carlos Petrus</t>
  </si>
  <si>
    <t>4722266</t>
  </si>
  <si>
    <t>Luiz Fernando Borges Mozzaquatro e/ou Elisa Assunção Mozzaqua</t>
  </si>
  <si>
    <t>4397276</t>
  </si>
  <si>
    <t>Janice Madi Hannuch</t>
  </si>
  <si>
    <t>347451</t>
  </si>
  <si>
    <t>Rejane Elizabeth Maria Jaqueto</t>
  </si>
  <si>
    <t>322505</t>
  </si>
  <si>
    <t>Rodolfo Bittencourt Andrade</t>
  </si>
  <si>
    <t>1832250</t>
  </si>
  <si>
    <t>Andre Vinicius Silva Pinto</t>
  </si>
  <si>
    <t>789373</t>
  </si>
  <si>
    <t>Marcus Aurelio Liogi</t>
  </si>
  <si>
    <t>320910</t>
  </si>
  <si>
    <t>Cristhiane Bertan Ribeiro Liogi</t>
  </si>
  <si>
    <t>317927</t>
  </si>
  <si>
    <t>Caio Hannuch Nascif</t>
  </si>
  <si>
    <t>5167097</t>
  </si>
  <si>
    <t>Armando Silveira Martins</t>
  </si>
  <si>
    <t>5828311</t>
  </si>
  <si>
    <t>Gustavo Athaide Halmenschlager</t>
  </si>
  <si>
    <t>4510498</t>
  </si>
  <si>
    <t>Marcelo de Paiva Caetano</t>
  </si>
  <si>
    <t>4696943</t>
  </si>
  <si>
    <t>Diocesmar Felipe de Faria</t>
  </si>
  <si>
    <t>4384867</t>
  </si>
  <si>
    <t>Alberto Rodrigues de Sousa Junior</t>
  </si>
  <si>
    <t>865134</t>
  </si>
  <si>
    <t>Heloisa Trevisan Hata</t>
  </si>
  <si>
    <t>4461414</t>
  </si>
  <si>
    <t>Multpaper Distribuidora de Papeis LTDA</t>
  </si>
  <si>
    <t>4422652</t>
  </si>
  <si>
    <t>Durval Sobreiro Junior</t>
  </si>
  <si>
    <t>4568576</t>
  </si>
  <si>
    <t>Gabriel Nunes de Miranda</t>
  </si>
  <si>
    <t>515215</t>
  </si>
  <si>
    <t>Oscar Moura Vorcaro</t>
  </si>
  <si>
    <t>Arrojada 70</t>
  </si>
  <si>
    <t>4656935</t>
  </si>
  <si>
    <t>Ana Luisa Cunha Campos Dieguez</t>
  </si>
  <si>
    <t>4438673</t>
  </si>
  <si>
    <t>Fabricio Trindade de Sousa</t>
  </si>
  <si>
    <t>4242922</t>
  </si>
  <si>
    <t>Ilham Lebbos Ruzon</t>
  </si>
  <si>
    <t>321150</t>
  </si>
  <si>
    <t>Ivone Gomes Milanez</t>
  </si>
  <si>
    <t>4398585</t>
  </si>
  <si>
    <t>Hepta Tecnologia e Informatica Ltda</t>
  </si>
  <si>
    <t>395136</t>
  </si>
  <si>
    <t>Erico Araujo Rocha</t>
  </si>
  <si>
    <t>480281</t>
  </si>
  <si>
    <t>Ivanete de Souza Melo Santos</t>
  </si>
  <si>
    <t>4017894</t>
  </si>
  <si>
    <t>Mayara Alves Monteiro</t>
  </si>
  <si>
    <t>480283</t>
  </si>
  <si>
    <t>Wellington Mendonca dos Santos</t>
  </si>
  <si>
    <t>362841</t>
  </si>
  <si>
    <t>Bruno Sacani Sobrinho</t>
  </si>
  <si>
    <t>4680045</t>
  </si>
  <si>
    <t>Marcelo de Oliveira Maia</t>
  </si>
  <si>
    <t>319563</t>
  </si>
  <si>
    <t>Felipe Rossi Ramos</t>
  </si>
  <si>
    <t>5709377</t>
  </si>
  <si>
    <t>Pedro Paulo Sampaio Barros</t>
  </si>
  <si>
    <t>Caio de Catro</t>
  </si>
  <si>
    <t>348997</t>
  </si>
  <si>
    <t>Adriele de Paula Jardim Lazaro</t>
  </si>
  <si>
    <t>356272</t>
  </si>
  <si>
    <t>Marina Yendo Inada</t>
  </si>
  <si>
    <t>860566</t>
  </si>
  <si>
    <t>Marco Aurelio de Freitas Rodrigues</t>
  </si>
  <si>
    <t>4617147</t>
  </si>
  <si>
    <t>Raphael Barreto de Souza Mendonça</t>
  </si>
  <si>
    <t>4672277</t>
  </si>
  <si>
    <t>Ivonilde Ferreira Kamikabeya</t>
  </si>
  <si>
    <t>343227</t>
  </si>
  <si>
    <t>Lara Falavigna Guilherme Nacruth</t>
  </si>
  <si>
    <t>4447856</t>
  </si>
  <si>
    <t>Alessandra Lepesqueur Brochado</t>
  </si>
  <si>
    <t>3712007</t>
  </si>
  <si>
    <t>Guilherme Barreto Silva</t>
  </si>
  <si>
    <t>4466421</t>
  </si>
  <si>
    <t>Glauco Leonardo Evangelista Guimaraes</t>
  </si>
  <si>
    <t>2651260</t>
  </si>
  <si>
    <t>Frederico Fernandes de Souza Mulina Pereira</t>
  </si>
  <si>
    <t>2218849</t>
  </si>
  <si>
    <t>Ciria Coelho Ribeiro</t>
  </si>
  <si>
    <t>4756217</t>
  </si>
  <si>
    <t>Gilmar Araujo Neves</t>
  </si>
  <si>
    <t>4522420</t>
  </si>
  <si>
    <t>Carlos Everton Santos Santana</t>
  </si>
  <si>
    <t>4805165</t>
  </si>
  <si>
    <t>Carlos Alberto Cardozo</t>
  </si>
  <si>
    <t>4409995</t>
  </si>
  <si>
    <t>Bertha Lins Pellegrino</t>
  </si>
  <si>
    <t>363716</t>
  </si>
  <si>
    <t>Clovis Tadeu Rodrigues</t>
  </si>
  <si>
    <t>384071</t>
  </si>
  <si>
    <t>Eduardo Henrique Gomes Martinez</t>
  </si>
  <si>
    <t>4554462</t>
  </si>
  <si>
    <t>Leonardo Peleja Vizeu Lima</t>
  </si>
  <si>
    <t>330028</t>
  </si>
  <si>
    <t>Assako Utsumi Okada</t>
  </si>
  <si>
    <t>4712860</t>
  </si>
  <si>
    <t>Marcelle Passarinho Maia</t>
  </si>
  <si>
    <t>4644940</t>
  </si>
  <si>
    <t>Márcia Coelho</t>
  </si>
  <si>
    <t>5678151</t>
  </si>
  <si>
    <t>Vertice Design Eireli</t>
  </si>
  <si>
    <t>4362832</t>
  </si>
  <si>
    <t>Ricardo Gomes de Queiroz</t>
  </si>
  <si>
    <t>4645750</t>
  </si>
  <si>
    <t>Fabio Henrique Golas e/ou Aline de Paula Jardim</t>
  </si>
  <si>
    <t>Vértice Design Eireli</t>
  </si>
  <si>
    <t>5182986</t>
  </si>
  <si>
    <t>Daniel Esteves Fonseca Franco</t>
  </si>
  <si>
    <t>4569204</t>
  </si>
  <si>
    <t>Ricardo Yamasaki Santiago</t>
  </si>
  <si>
    <t>4486837</t>
  </si>
  <si>
    <t>Rodrigo Barros Mendonça</t>
  </si>
  <si>
    <t>4441540</t>
  </si>
  <si>
    <t>Renato Sendin</t>
  </si>
  <si>
    <t>5635853</t>
  </si>
  <si>
    <t>Daniela de Martins Souza</t>
  </si>
  <si>
    <t>4719236</t>
  </si>
  <si>
    <t>Nathalia Alcantara de Albuquerque</t>
  </si>
  <si>
    <t>4675489</t>
  </si>
  <si>
    <t>Wagner Moraes da Silva</t>
  </si>
  <si>
    <t>458601</t>
  </si>
  <si>
    <t>Rafael Natale Fiorelli</t>
  </si>
  <si>
    <t>321312</t>
  </si>
  <si>
    <t>Fernando Paschoal Lopes</t>
  </si>
  <si>
    <t>5762906</t>
  </si>
  <si>
    <t>Rodrigo Nunes Franco</t>
  </si>
  <si>
    <t>5763015</t>
  </si>
  <si>
    <t>Imobiliária</t>
  </si>
  <si>
    <t>4701151</t>
  </si>
  <si>
    <t>Andre Luis Fernandes Gouveia</t>
  </si>
  <si>
    <t>4084071</t>
  </si>
  <si>
    <t>Adriana Laus de Aquino</t>
  </si>
  <si>
    <t>5146477</t>
  </si>
  <si>
    <t>Silvia Carla Galli Leyser</t>
  </si>
  <si>
    <t>4440692</t>
  </si>
  <si>
    <t>Denise Maria Ventura de Alcântara</t>
  </si>
  <si>
    <t>4493392</t>
  </si>
  <si>
    <t>Rejane Maria Dantas Maia</t>
  </si>
  <si>
    <t>4425136</t>
  </si>
  <si>
    <t>Raquel Valadares Von Glehn Ribeiro</t>
  </si>
  <si>
    <t>Gil/Caldeira</t>
  </si>
  <si>
    <t>772942</t>
  </si>
  <si>
    <t>Inez Guimarães Altafin Cavechia e/ou Sergio Raimundini Cavechia</t>
  </si>
  <si>
    <t>882640</t>
  </si>
  <si>
    <t>Ronaldo Mafia Cuenca</t>
  </si>
  <si>
    <t>383873</t>
  </si>
  <si>
    <t>Roseli Aparecida Giocondo</t>
  </si>
  <si>
    <t>343804</t>
  </si>
  <si>
    <t>Ana Lucia Falavigna Guilherme</t>
  </si>
  <si>
    <t>2699859</t>
  </si>
  <si>
    <t>Débora Inhaquite Bolfoni da Cunha</t>
  </si>
  <si>
    <t>4728915</t>
  </si>
  <si>
    <t>Eduardo Amorim de Lemos</t>
  </si>
  <si>
    <t>4706119</t>
  </si>
  <si>
    <t>5650271</t>
  </si>
  <si>
    <t>Ariosvaldo Ferreira Nunes</t>
  </si>
  <si>
    <t>4837403</t>
  </si>
  <si>
    <t>Rossana de Miranda Almeida</t>
  </si>
  <si>
    <t>4491063</t>
  </si>
  <si>
    <t>Renata Freitas Chamarelli</t>
  </si>
  <si>
    <t>4668132</t>
  </si>
  <si>
    <t>Eduardo Maia Magalhães</t>
  </si>
  <si>
    <t>4742962</t>
  </si>
  <si>
    <t>Caio Cesar Boschi</t>
  </si>
  <si>
    <t>4243120</t>
  </si>
  <si>
    <t>Viviane Christine Monteiro Peres</t>
  </si>
  <si>
    <t>5752123</t>
  </si>
  <si>
    <t>Luis José Maranhão Neto</t>
  </si>
  <si>
    <t>4653733</t>
  </si>
  <si>
    <t>Adriana Ferrari Pimentel</t>
  </si>
  <si>
    <t>4920389</t>
  </si>
  <si>
    <t>José Guilherme Maia</t>
  </si>
  <si>
    <t>4577878</t>
  </si>
  <si>
    <t>Guilherme Conte Diniz</t>
  </si>
  <si>
    <t>396107</t>
  </si>
  <si>
    <t>Raphael Steckelberg</t>
  </si>
  <si>
    <t>4424587</t>
  </si>
  <si>
    <t>Washington José Lima Candido</t>
  </si>
  <si>
    <t>320731</t>
  </si>
  <si>
    <t>Irae Ferreira Lopes</t>
  </si>
  <si>
    <t>5757724</t>
  </si>
  <si>
    <t>Auto Posto Vale do Reno LTDA</t>
  </si>
  <si>
    <t>4639067</t>
  </si>
  <si>
    <t>798500</t>
  </si>
  <si>
    <t>Denise Yendo Inada</t>
  </si>
  <si>
    <t>4697985</t>
  </si>
  <si>
    <t>Laurindo Aelsom Teixeira Costa</t>
  </si>
  <si>
    <t>891801</t>
  </si>
  <si>
    <t>Renda Fixa</t>
  </si>
  <si>
    <t>MRZ Construçoes Civis LTDA EPP</t>
  </si>
  <si>
    <t>4412801</t>
  </si>
  <si>
    <t>Luiz Fernando Coelho da Cunha Filho</t>
  </si>
  <si>
    <t>4416789</t>
  </si>
  <si>
    <t>João Beze Sobrinho</t>
  </si>
  <si>
    <t>431754</t>
  </si>
  <si>
    <t>DAP - Diagnostico Em Anatomia Patologica e Biologia Molecula</t>
  </si>
  <si>
    <t>Corporate</t>
  </si>
  <si>
    <t>2697792</t>
  </si>
  <si>
    <t>Aldo Aguirre Aristimunho</t>
  </si>
  <si>
    <t>4474939</t>
  </si>
  <si>
    <t>Carlos Fernando Matias Morris</t>
  </si>
  <si>
    <t>6245088</t>
  </si>
  <si>
    <t>Beatriz Pires Ramos</t>
  </si>
  <si>
    <t>5774998</t>
  </si>
  <si>
    <t>Jorge Gomes De Araujo</t>
  </si>
  <si>
    <t>2699490</t>
  </si>
  <si>
    <t>Giseli Giocondo</t>
  </si>
  <si>
    <t>4769682</t>
  </si>
  <si>
    <t>4495588</t>
  </si>
  <si>
    <t>Maria Caroline Fernandes Simon Jaqueto</t>
  </si>
  <si>
    <t>5620188</t>
  </si>
  <si>
    <t>Silvia Ruth Penaloza Diez</t>
  </si>
  <si>
    <t>4461684</t>
  </si>
  <si>
    <t>Jorge Gomes de Araujo</t>
  </si>
  <si>
    <t>4534168</t>
  </si>
  <si>
    <t>Douglas de Andrade Vileforte da Silva</t>
  </si>
  <si>
    <t>5789898</t>
  </si>
  <si>
    <t>Cheila Rodrigues Wobido</t>
  </si>
  <si>
    <t>807649</t>
  </si>
  <si>
    <t>3187291</t>
  </si>
  <si>
    <t>3263443</t>
  </si>
  <si>
    <t>Alexandre de Sousa Carvalho Gouveia</t>
  </si>
  <si>
    <t>5842438</t>
  </si>
  <si>
    <t>Sol Comércio de Combustiveis Ltda</t>
  </si>
  <si>
    <t>433129</t>
  </si>
  <si>
    <t>4218282</t>
  </si>
  <si>
    <t>5842390</t>
  </si>
  <si>
    <t>Lider Combustiveis Ltda</t>
  </si>
  <si>
    <t>359301</t>
  </si>
  <si>
    <t>João Pedro Finger Couto</t>
  </si>
  <si>
    <t>4403283</t>
  </si>
  <si>
    <t>Eduardo Soares do Couto Filho</t>
  </si>
  <si>
    <t>Lucio Moscarelli</t>
  </si>
  <si>
    <t>4898136</t>
  </si>
  <si>
    <t>0803/2021</t>
  </si>
  <si>
    <t>355180</t>
  </si>
  <si>
    <t>Raphael Pereira Hablitzel</t>
  </si>
  <si>
    <t>3608409</t>
  </si>
  <si>
    <t>Vera Regina Mazzini Braga Coimbra</t>
  </si>
  <si>
    <t>5599106</t>
  </si>
  <si>
    <t>Gustavo Dauster Vivacqua e Silva</t>
  </si>
  <si>
    <t>4557613</t>
  </si>
  <si>
    <t>Clisia Mara Carreira</t>
  </si>
  <si>
    <t>4645513</t>
  </si>
  <si>
    <t>Leonardo Leal Leite</t>
  </si>
  <si>
    <t>4951699</t>
  </si>
  <si>
    <t>Sandra Maria de Albuquerque Costa</t>
  </si>
  <si>
    <t>4961741</t>
  </si>
  <si>
    <t>Lucas Lpbp Ataide</t>
  </si>
  <si>
    <t>4858869</t>
  </si>
  <si>
    <t>GHD Empreendimentos Imobiliarios LTDA</t>
  </si>
  <si>
    <t>4663677</t>
  </si>
  <si>
    <t>Maitri Empreendimentos LTDA</t>
  </si>
  <si>
    <t>4457777</t>
  </si>
  <si>
    <t>Odil Garrido Campos de Andrade</t>
  </si>
  <si>
    <t>5772979</t>
  </si>
  <si>
    <t>Rogerio Bueno Elias</t>
  </si>
  <si>
    <t>4330899</t>
  </si>
  <si>
    <t>Guilherme Otavio Morais de Carvalho</t>
  </si>
  <si>
    <t>5799044</t>
  </si>
  <si>
    <t>Acacio Zuniga Leite</t>
  </si>
  <si>
    <t>4215372</t>
  </si>
  <si>
    <t>Alexandre Aparizi</t>
  </si>
  <si>
    <t>4733764</t>
  </si>
  <si>
    <t>Zenilda Clea de Paula</t>
  </si>
  <si>
    <t>4860067</t>
  </si>
  <si>
    <t>Roberto Alexandre Neves Fernandes Filho</t>
  </si>
  <si>
    <t>38592</t>
  </si>
  <si>
    <t>Gabriel de Oliveira</t>
  </si>
  <si>
    <t>5582661</t>
  </si>
  <si>
    <t>Sergio Luz de Souza</t>
  </si>
  <si>
    <t>5947460</t>
  </si>
  <si>
    <t>Débora Maçaneiro Vieira</t>
  </si>
  <si>
    <t>3318900</t>
  </si>
  <si>
    <t xml:space="preserve">Patricia da Conceicao Alves Mendes
</t>
  </si>
  <si>
    <t>4404701</t>
  </si>
  <si>
    <t>Bruna Rosolen de Faria</t>
  </si>
  <si>
    <t>4833105</t>
  </si>
  <si>
    <t>Graziela Monaco Biavati</t>
  </si>
  <si>
    <t>3919372</t>
  </si>
  <si>
    <t>Guilherme Nogueira Bassi</t>
  </si>
  <si>
    <t>343685</t>
  </si>
  <si>
    <t>5092169</t>
  </si>
  <si>
    <t xml:space="preserve">Gustavo Branco
</t>
  </si>
  <si>
    <t xml:space="preserve">Armando Silveira Martins
</t>
  </si>
  <si>
    <t>4871016</t>
  </si>
  <si>
    <t>Jorge Augusto Laburu</t>
  </si>
  <si>
    <t>2588890</t>
  </si>
  <si>
    <t>Bruno Silva de Medeiros</t>
  </si>
  <si>
    <t>4399473</t>
  </si>
  <si>
    <t>Agnes Louize Moura de Santana</t>
  </si>
  <si>
    <t>2293219</t>
  </si>
  <si>
    <t>Ricardo Marinho dos Santos</t>
  </si>
  <si>
    <t>369455</t>
  </si>
  <si>
    <t>Michell Pratt Sorgi Jabur</t>
  </si>
  <si>
    <t>Luciana Navarro de Oliveira Santos</t>
  </si>
  <si>
    <t>322548</t>
  </si>
  <si>
    <t>Joao Soitiro Yokoyama e/ou Talma Rachel Agner Yokoyama</t>
  </si>
  <si>
    <t>5661723</t>
  </si>
  <si>
    <t>Marcelo Botton Piccin</t>
  </si>
  <si>
    <t xml:space="preserve">Geancarlo Jandre
</t>
  </si>
  <si>
    <t>5655163</t>
  </si>
  <si>
    <t>Matheus Herthel Souza Belo</t>
  </si>
  <si>
    <t>5759476</t>
  </si>
  <si>
    <t>Jose Rodolfo Martines Balbino</t>
  </si>
  <si>
    <t>4901933</t>
  </si>
  <si>
    <t>Marcelo Franco Paes Leme</t>
  </si>
  <si>
    <t>3533638</t>
  </si>
  <si>
    <t>Barbara Mitchele Martins Leão</t>
  </si>
  <si>
    <t>R$25.000,00</t>
  </si>
  <si>
    <t>334813</t>
  </si>
  <si>
    <t>Flavio Cesar Imazu Santana</t>
  </si>
  <si>
    <t>2612786</t>
  </si>
  <si>
    <t>Taigoara Finardi Martins</t>
  </si>
  <si>
    <t>R$200.000,00</t>
  </si>
  <si>
    <t>R$100.000,00</t>
  </si>
  <si>
    <t>4761482</t>
  </si>
  <si>
    <t>R$59.000,00</t>
  </si>
  <si>
    <t>Flavia Bordin Silva</t>
  </si>
  <si>
    <t>1884055</t>
  </si>
  <si>
    <t>Raíssa Castilho Martins Ferreira</t>
  </si>
  <si>
    <t>R$600.000,00</t>
  </si>
  <si>
    <t>R$10.000,00</t>
  </si>
  <si>
    <t>1822017</t>
  </si>
  <si>
    <t>Luciana Pacheco de Brito</t>
  </si>
  <si>
    <t>4455201</t>
  </si>
  <si>
    <t>Marcio Lopes Siqueira</t>
  </si>
  <si>
    <t>2245369</t>
  </si>
  <si>
    <t>Washington Leonardo Guanaes Bonini</t>
  </si>
  <si>
    <t>3022313</t>
  </si>
  <si>
    <t>Atilio Rulli</t>
  </si>
  <si>
    <t>749509</t>
  </si>
  <si>
    <t>Jose Jorge da Rosa Neto</t>
  </si>
  <si>
    <t>4711937</t>
  </si>
  <si>
    <t>Andre Luiz Souza da Silveira</t>
  </si>
  <si>
    <t xml:space="preserve">Caio Cesar Boschi
</t>
  </si>
  <si>
    <t>Matthew Paz Carvalho</t>
  </si>
  <si>
    <t>385035</t>
  </si>
  <si>
    <t>5975647</t>
  </si>
  <si>
    <t>Hernane da Silva Ribeiro</t>
  </si>
  <si>
    <t>Glauber Oliveira Silva</t>
  </si>
  <si>
    <t xml:space="preserve">Débora Maçaneiro Vieira
</t>
  </si>
  <si>
    <t xml:space="preserve">Moderada
</t>
  </si>
  <si>
    <t>7048589</t>
  </si>
  <si>
    <t xml:space="preserve"> 7119368</t>
  </si>
  <si>
    <t>Camilla Ernesto Pereira</t>
  </si>
  <si>
    <t>R$ 13.459,83</t>
  </si>
  <si>
    <t>7783008</t>
  </si>
  <si>
    <t>Luciana Machado Viotti de Barros</t>
  </si>
  <si>
    <t>Caio Castro</t>
  </si>
  <si>
    <t>4926548</t>
  </si>
  <si>
    <t>Achilles Cappellesso Junior</t>
  </si>
  <si>
    <t>754715</t>
  </si>
  <si>
    <t>Marcos Aurelio Pelarim</t>
  </si>
  <si>
    <t>858723</t>
  </si>
  <si>
    <t>4534702</t>
  </si>
  <si>
    <t>Renan Pereira de Oliveira Tinoco</t>
  </si>
  <si>
    <t>Rafael Pellicano de Figueiredo</t>
  </si>
  <si>
    <t>5604880</t>
  </si>
  <si>
    <t>Marcelo Reinecken Araujo</t>
  </si>
  <si>
    <t>2406947</t>
  </si>
  <si>
    <t>Alexandre Rodrigues da Silva</t>
  </si>
  <si>
    <t>477851</t>
  </si>
  <si>
    <t>Alexandre Matias Morris</t>
  </si>
  <si>
    <t>4658800</t>
  </si>
  <si>
    <t>Nelson Dequech</t>
  </si>
  <si>
    <t>NDD Participações S/S LTDA</t>
  </si>
  <si>
    <t>Marcos Aurelio Pelarim e Carvalho Grade</t>
  </si>
  <si>
    <t>4512288</t>
  </si>
  <si>
    <t>Roberto Kussmaul</t>
  </si>
  <si>
    <t>2427806</t>
  </si>
  <si>
    <t>Ilton Luis Guimarães de Siqueira</t>
  </si>
  <si>
    <t>2735065</t>
  </si>
  <si>
    <t>Daniel Silva Boia</t>
  </si>
  <si>
    <t>Pedro Henrique</t>
  </si>
  <si>
    <t>5080319</t>
  </si>
  <si>
    <t>Roberto Soares Sacramento</t>
  </si>
  <si>
    <t>Willians Rapchan Benito</t>
  </si>
  <si>
    <t>Emmanuelle Alkmim de Castro Branco</t>
  </si>
  <si>
    <t>4418403</t>
  </si>
  <si>
    <t>Flavia de Sousa Marquez Morais</t>
  </si>
  <si>
    <t>4841689</t>
  </si>
  <si>
    <t>Vitor Perige Almeida Diniz</t>
  </si>
  <si>
    <t>317935</t>
  </si>
  <si>
    <t>Joao Alberto Hannuch Nascif</t>
  </si>
  <si>
    <t>5821805</t>
  </si>
  <si>
    <t>Iracema Matias</t>
  </si>
  <si>
    <t>3303143</t>
  </si>
  <si>
    <t>Julian Valone Gorini</t>
  </si>
  <si>
    <t>4742129</t>
  </si>
  <si>
    <t>Monica Rocha Azevedo Figueiro</t>
  </si>
  <si>
    <t xml:space="preserve">4782053 </t>
  </si>
  <si>
    <t>5891248</t>
  </si>
  <si>
    <t>Claudia Naves Inneco</t>
  </si>
  <si>
    <t>2160689</t>
  </si>
  <si>
    <t>Fabio Ricas de Araujo</t>
  </si>
  <si>
    <t>4906342</t>
  </si>
  <si>
    <t>Yana Coelho Pires</t>
  </si>
  <si>
    <t>5179287</t>
  </si>
  <si>
    <t>Eliana Marcia Vieira Lopes</t>
  </si>
  <si>
    <t>DILSON MANOEL CATARINO</t>
  </si>
  <si>
    <t>4990009</t>
  </si>
  <si>
    <t>Lucca de Paiva Azevedo</t>
  </si>
  <si>
    <t>ROSELI APARECIDA GIOCONDO</t>
  </si>
  <si>
    <t>4743547</t>
  </si>
  <si>
    <t>Bruno Albanese Cezarini Tavares</t>
  </si>
  <si>
    <t>321916</t>
  </si>
  <si>
    <t>MARCEL JAQUETO</t>
  </si>
  <si>
    <t>337120</t>
  </si>
  <si>
    <t>Frederico de Avila Miguel</t>
  </si>
  <si>
    <t>4398183</t>
  </si>
  <si>
    <t>Fatima Alves da Costa Talaveira</t>
  </si>
  <si>
    <t>JOSE ROBERTO BOSELLI JUNIOR</t>
  </si>
  <si>
    <t>6293945</t>
  </si>
  <si>
    <t>R$ 57,28</t>
  </si>
  <si>
    <t>Karina Amorim dos Santos</t>
  </si>
  <si>
    <t>3556718</t>
  </si>
  <si>
    <t>Prev. Moderada</t>
  </si>
  <si>
    <t>3432427</t>
  </si>
  <si>
    <t>Celso Eduardo Lopes de Oliveira</t>
  </si>
  <si>
    <t>2834519</t>
  </si>
  <si>
    <t>Mateus da Silva Candido</t>
  </si>
  <si>
    <t>4341602</t>
  </si>
  <si>
    <t>RODOLFO CESAR AZEVEDO PALMA</t>
  </si>
  <si>
    <t>4740849</t>
  </si>
  <si>
    <t>Renato Antonio Coutinho Bernardes</t>
  </si>
  <si>
    <t>7435703</t>
  </si>
  <si>
    <t>Alexis Beraldo de Morais</t>
  </si>
  <si>
    <t>2851864</t>
  </si>
  <si>
    <t>Larisse Campos Meireles</t>
  </si>
  <si>
    <t>5682953</t>
  </si>
  <si>
    <t>Marcio Camargo Cunha Filho</t>
  </si>
  <si>
    <t>Multi Macro</t>
  </si>
  <si>
    <t>Marcelo Reincken de Araújo</t>
  </si>
  <si>
    <t>4442405</t>
  </si>
  <si>
    <t>Afonso Franklin Meireles de Araujo</t>
  </si>
  <si>
    <t>7667659</t>
  </si>
  <si>
    <t>Liliara Cristiane Freo</t>
  </si>
  <si>
    <t>REJANE ELIZABETH MARIA JAQUETO</t>
  </si>
  <si>
    <t>5998094</t>
  </si>
  <si>
    <t>Guilherme Avelar de Souza</t>
  </si>
  <si>
    <t>4068685</t>
  </si>
  <si>
    <t>Cesar Augusto da Silva</t>
  </si>
  <si>
    <t>ADRIELE DE PAULA JARDIM LAZARO</t>
  </si>
  <si>
    <t>4528990</t>
  </si>
  <si>
    <t>R$ 2.200,00</t>
  </si>
  <si>
    <t>Conceicao Jesus de Almeida Barrozo</t>
  </si>
  <si>
    <t>3175579</t>
  </si>
  <si>
    <t>Jose Robson Bezerra Sereno</t>
  </si>
  <si>
    <t>5907461</t>
  </si>
  <si>
    <t>Gabriel Santos do Amaral Pires</t>
  </si>
  <si>
    <t>MAITRI EMPREENDIMENTOS LTDA</t>
  </si>
  <si>
    <t>329488</t>
  </si>
  <si>
    <t>RICARDO ALVES MATHEUS</t>
  </si>
  <si>
    <t>4652772</t>
  </si>
  <si>
    <t>LUCILAYNE DOS SANTOS MONTEIRO</t>
  </si>
  <si>
    <t>5928177</t>
  </si>
  <si>
    <t>Contabilidade São José LTDA</t>
  </si>
  <si>
    <t>889386</t>
  </si>
  <si>
    <t>5577058</t>
  </si>
  <si>
    <t>Suzana Guimarães Passos Barbosa</t>
  </si>
  <si>
    <t>4809599</t>
  </si>
  <si>
    <t>Ubirajara Fonseca de Vasconcelos Filho</t>
  </si>
  <si>
    <t>Carlos Edebrando Martini</t>
  </si>
  <si>
    <t>3373338</t>
  </si>
  <si>
    <t>Giga TV Eireli</t>
  </si>
  <si>
    <t>4847953</t>
  </si>
  <si>
    <t>IMC Construções</t>
  </si>
  <si>
    <t>Moderada 50</t>
  </si>
  <si>
    <t>Elessandro Alves Pereira</t>
  </si>
  <si>
    <t>Tera Telecom Eireli</t>
  </si>
  <si>
    <t>511539</t>
  </si>
  <si>
    <t>Marcelo Tavares Faria</t>
  </si>
  <si>
    <t>Felipe Galvao Melo</t>
  </si>
  <si>
    <t>Alexandre Strauch Pereira Coutinho</t>
  </si>
  <si>
    <t>Silvania Pereira da Costa</t>
  </si>
  <si>
    <t>Antonio Carlos Resende e Silva</t>
  </si>
  <si>
    <t>William Sorgi Jabur</t>
  </si>
  <si>
    <t>Neander Cambraia</t>
  </si>
  <si>
    <t>Nemora Paim dos Santos</t>
  </si>
  <si>
    <t>Cristina Vieira Araujo</t>
  </si>
  <si>
    <t>Christiane Bertan Ribeiro</t>
  </si>
  <si>
    <t>Maria de Lourdes Pereira de Almeida</t>
  </si>
  <si>
    <t>Reinaldo Albernaz Rogrigues	475798	Bluemetrix</t>
  </si>
  <si>
    <t>César Augusto da Silva</t>
  </si>
  <si>
    <t>Caroline Bastos de Souza</t>
  </si>
  <si>
    <t>Marcelo de Araujo</t>
  </si>
  <si>
    <t>DENISE YENDO INADA</t>
  </si>
  <si>
    <t>Marcos Luiz dos Mares Guia Neto</t>
  </si>
  <si>
    <t>Danilo Di Rezende Bernardes</t>
  </si>
  <si>
    <t>5959474</t>
  </si>
  <si>
    <t>R$ 35.796,34</t>
  </si>
  <si>
    <t>Andre De Oliveira Pereira Pawlowski</t>
  </si>
  <si>
    <t>2746879</t>
  </si>
  <si>
    <t>José Olegario da Cruz Neto</t>
  </si>
  <si>
    <t>4478774</t>
  </si>
  <si>
    <t>Celso Flavio Baldotto Covre</t>
  </si>
  <si>
    <t>5537937</t>
  </si>
  <si>
    <t>Denise Freire Menicucci</t>
  </si>
  <si>
    <t>4551730</t>
  </si>
  <si>
    <t>João Rafael de Souza Puglia</t>
  </si>
  <si>
    <t>475798</t>
  </si>
  <si>
    <t>Reinaldo Albernaz Rogrigues</t>
  </si>
  <si>
    <t>2476582</t>
  </si>
  <si>
    <t>Gilson Apolinário Alencar</t>
  </si>
  <si>
    <t>6478648</t>
  </si>
  <si>
    <t>Claudio Marcos de Oliveira</t>
  </si>
  <si>
    <t>5692353</t>
  </si>
  <si>
    <t>R$ 94.814,49</t>
  </si>
  <si>
    <t>Celso Jose Cardoso Dilascio</t>
  </si>
  <si>
    <t>6879934</t>
  </si>
  <si>
    <t>Kenia Mendes Cruz</t>
  </si>
  <si>
    <t>Conservadora 5</t>
  </si>
  <si>
    <t>8450642</t>
  </si>
  <si>
    <t>Lucas Abdallah Correa</t>
  </si>
  <si>
    <t>4941758</t>
  </si>
  <si>
    <t>Vilson Ferreira Muniz</t>
  </si>
  <si>
    <t>7911381</t>
  </si>
  <si>
    <t>Cinthya Ribeiro Biagini de Sousa</t>
  </si>
  <si>
    <t>7998405</t>
  </si>
  <si>
    <t>Glaucia de Avila Oliveira</t>
  </si>
  <si>
    <t>0207/2021</t>
  </si>
  <si>
    <t>Arrojada 80</t>
  </si>
  <si>
    <t>6456590</t>
  </si>
  <si>
    <t>Daniely Marçal Silvino de Brito</t>
  </si>
  <si>
    <t>7970402</t>
  </si>
  <si>
    <t>Flávia Moreira Prudente Demes</t>
  </si>
  <si>
    <t>6403193</t>
  </si>
  <si>
    <t>Osmar Prudente</t>
  </si>
  <si>
    <t>5686058</t>
  </si>
  <si>
    <t>Marco Aurelio de Carvalho Demes</t>
  </si>
  <si>
    <t>4862815</t>
  </si>
  <si>
    <t>Felipe Galvao de Melo</t>
  </si>
  <si>
    <t>6604192</t>
  </si>
  <si>
    <t>Maria Lúcia Jaime</t>
  </si>
  <si>
    <t>5905556</t>
  </si>
  <si>
    <t>Leonardo Mendes Amorim</t>
  </si>
  <si>
    <t>3952119</t>
  </si>
  <si>
    <t>6986262</t>
  </si>
  <si>
    <t>6489178</t>
  </si>
  <si>
    <t>Diego Medeiros</t>
  </si>
  <si>
    <t>5378763</t>
  </si>
  <si>
    <t>Mateus Silva Carvalho</t>
  </si>
  <si>
    <t>3428496</t>
  </si>
  <si>
    <t>Nassim Taleb</t>
  </si>
  <si>
    <t>Conservadora/FIIs</t>
  </si>
  <si>
    <t>6480547</t>
  </si>
  <si>
    <t>Giani da Silva Rocha</t>
  </si>
  <si>
    <t>7975278</t>
  </si>
  <si>
    <t>Stael Moreira Prudente Barbosa</t>
  </si>
  <si>
    <t>5666607</t>
  </si>
  <si>
    <t>Manoela de Oliveira Carvalho Botezelli</t>
  </si>
  <si>
    <t>566332</t>
  </si>
  <si>
    <t>Mônica Torres Silva</t>
  </si>
  <si>
    <t>Lucilayne dos Santos Monteiro</t>
  </si>
  <si>
    <t>3247402</t>
  </si>
  <si>
    <t>Marília Moreira Guimarães</t>
  </si>
  <si>
    <t>4947220</t>
  </si>
  <si>
    <t>Claudia Velloso Portella</t>
  </si>
  <si>
    <t>6129550</t>
  </si>
  <si>
    <t>Fabiana Regiani</t>
  </si>
  <si>
    <t>4252693</t>
  </si>
  <si>
    <t>Leonildo Quaglio</t>
  </si>
  <si>
    <t xml:space="preserve">4760280 </t>
  </si>
  <si>
    <t>R$ 88.117,94</t>
  </si>
  <si>
    <t>Guttenberg Rodrigues Pereira Primo</t>
  </si>
  <si>
    <t>5892424</t>
  </si>
  <si>
    <t>Ricardo de Oliveira Santos Rapchan</t>
  </si>
  <si>
    <t>Liliara Cristina Freo</t>
  </si>
  <si>
    <t>2580097</t>
  </si>
  <si>
    <t>Marcelo Silva Barbosa</t>
  </si>
  <si>
    <t>Equities/FIIs</t>
  </si>
  <si>
    <t>3863949</t>
  </si>
  <si>
    <t>Clenio Eduardo Souza</t>
  </si>
  <si>
    <t>8165220</t>
  </si>
  <si>
    <t>5927535</t>
  </si>
  <si>
    <t>Leandro Gondim Silva</t>
  </si>
  <si>
    <t>Pedro Paulo</t>
  </si>
  <si>
    <t>4638237</t>
  </si>
  <si>
    <t>Cleumy Braga da Gama</t>
  </si>
  <si>
    <t>4743699</t>
  </si>
  <si>
    <t>Elizabeth Mendonca Bueno</t>
  </si>
  <si>
    <t>9009694</t>
  </si>
  <si>
    <t>Cintia Uchida Rodrigues</t>
  </si>
  <si>
    <t>Carla Cristinne Inoue Skalinski</t>
  </si>
  <si>
    <t>6866947</t>
  </si>
  <si>
    <t>6549214</t>
  </si>
  <si>
    <t>4899222</t>
  </si>
  <si>
    <t>Marco Aurélio Marques de Castro</t>
  </si>
  <si>
    <t>6104436</t>
  </si>
  <si>
    <t>Vera Lucia Falssi Marchese</t>
  </si>
  <si>
    <t>846350</t>
  </si>
  <si>
    <t>Arlete Ferreira Farias</t>
  </si>
  <si>
    <t>6980115</t>
  </si>
  <si>
    <t>Maria Jose Dias</t>
  </si>
  <si>
    <t>4367434</t>
  </si>
  <si>
    <t>Thiago Lucas Leite de Noronha</t>
  </si>
  <si>
    <t>6065361</t>
  </si>
  <si>
    <t>Tatiana de Oliveira Santos Rapchan</t>
  </si>
  <si>
    <t>5603037</t>
  </si>
  <si>
    <t>Paulo Sérgio Botelho</t>
  </si>
  <si>
    <t>7709062</t>
  </si>
  <si>
    <t>Paulo Roberto Alvares Soeiro</t>
  </si>
  <si>
    <t>Multrimacro</t>
  </si>
  <si>
    <t>4744608</t>
  </si>
  <si>
    <t>Isabela Vilas Boas Fontenelle de Mendonça Bernardes</t>
  </si>
  <si>
    <t>5659222</t>
  </si>
  <si>
    <t>Maurício Mury Poupel (nunca operou, vinculou apenas para criar a segunda conta)</t>
  </si>
  <si>
    <t>8227775</t>
  </si>
  <si>
    <t>Alexandre Alves e Souza</t>
  </si>
  <si>
    <t>5914962</t>
  </si>
  <si>
    <t>Manuela</t>
  </si>
  <si>
    <t>3241823</t>
  </si>
  <si>
    <t>Carollina Pedrosa Vieira Lima</t>
  </si>
  <si>
    <t>6852608</t>
  </si>
  <si>
    <t>Joao Henrique dos Santos Fernandes</t>
  </si>
  <si>
    <t>6582452</t>
  </si>
  <si>
    <t>Anna Maria de Almeida Carneiro</t>
  </si>
  <si>
    <t>Prev. Conservadora</t>
  </si>
  <si>
    <t>Marco Aurélio Marques de Castro</t>
  </si>
  <si>
    <t>4785856</t>
  </si>
  <si>
    <t>Ariene Maria Vimieiro Saabor</t>
  </si>
  <si>
    <t>2889018</t>
  </si>
  <si>
    <t>Daniel Sindeaux Braga</t>
  </si>
  <si>
    <t>6456469</t>
  </si>
  <si>
    <t xml:space="preserve">Arilma Marçal de Brito      </t>
  </si>
  <si>
    <t>2358079</t>
  </si>
  <si>
    <t>Julio Vicente de Alvarenga</t>
  </si>
  <si>
    <t>4947409</t>
  </si>
  <si>
    <t>Feliciano Campos Pedrosa</t>
  </si>
  <si>
    <t>6065019</t>
  </si>
  <si>
    <t>Maria Olivia Bethonico Correa</t>
  </si>
  <si>
    <t>4441469</t>
  </si>
  <si>
    <t>Ana Alice da Costa Silva</t>
  </si>
  <si>
    <t>2417083</t>
  </si>
  <si>
    <t xml:space="preserve">Lincoln Antonio Aires </t>
  </si>
  <si>
    <t xml:space="preserve">Júlio Vicente de Alvarenga </t>
  </si>
  <si>
    <t>9145079</t>
  </si>
  <si>
    <t>Suzy Roriz dos Santos</t>
  </si>
  <si>
    <t>4085020</t>
  </si>
  <si>
    <t>Anna Carolina Rocha Gama</t>
  </si>
  <si>
    <t>4831456</t>
  </si>
  <si>
    <t>Aline Lordes Saliba</t>
  </si>
  <si>
    <t>2551563</t>
  </si>
  <si>
    <t>Euler Nunes de Oliveira</t>
  </si>
  <si>
    <t>58954</t>
  </si>
  <si>
    <t>José Gomes Machado</t>
  </si>
  <si>
    <t>6096787</t>
  </si>
  <si>
    <t xml:space="preserve">Daisy Eni Morais dos Santos       	</t>
  </si>
  <si>
    <t>4681272</t>
  </si>
  <si>
    <t>Ronnei Jose Feitosa de Assis</t>
  </si>
  <si>
    <t>8688674</t>
  </si>
  <si>
    <t>Maria das Graças da Silva Pires</t>
  </si>
  <si>
    <t>Antera Construtora Eireli</t>
  </si>
  <si>
    <t xml:space="preserve">GO </t>
  </si>
  <si>
    <t xml:space="preserve">David Mendes </t>
  </si>
  <si>
    <t>4868468</t>
  </si>
  <si>
    <t>L&amp;V Administração e Participações Empreesariais LTDA</t>
  </si>
  <si>
    <t>5900712</t>
  </si>
  <si>
    <t>R$ 60.810,37</t>
  </si>
  <si>
    <t>Sandra Maria de Faria</t>
  </si>
  <si>
    <t>6320705</t>
  </si>
  <si>
    <t>Rodrigo Silva Rocha</t>
  </si>
  <si>
    <t>4145752</t>
  </si>
  <si>
    <t>Vitor Xavier de Oliveira Neto</t>
  </si>
  <si>
    <t>3436437</t>
  </si>
  <si>
    <t>R$ 128.507,47</t>
  </si>
  <si>
    <t>Paulo A. Ruffo</t>
  </si>
  <si>
    <t>Neyla</t>
  </si>
  <si>
    <t>4844736</t>
  </si>
  <si>
    <t xml:space="preserve">Gabriel de Abreu Silva   </t>
  </si>
  <si>
    <t xml:space="preserve">Maria Lúcia Jaime </t>
  </si>
  <si>
    <t>Sempre Tecnologia</t>
  </si>
  <si>
    <t>Sempre Autoridade</t>
  </si>
  <si>
    <t xml:space="preserve">2694253 </t>
  </si>
  <si>
    <t>5646446</t>
  </si>
  <si>
    <t>Paulo Sérgio dos Santos Pereira</t>
  </si>
  <si>
    <t>4425564</t>
  </si>
  <si>
    <t>Angela Teixeira Lima</t>
  </si>
  <si>
    <t>7082227</t>
  </si>
  <si>
    <t>Débora Macaneiro Vieira</t>
  </si>
  <si>
    <t>Christina Vieira Araújo</t>
  </si>
  <si>
    <t xml:space="preserve">2160689 </t>
  </si>
  <si>
    <t>004115381</t>
  </si>
  <si>
    <t>Matheus Henrique Machado</t>
  </si>
  <si>
    <t>004186541</t>
  </si>
  <si>
    <t>Daniela Khron</t>
  </si>
  <si>
    <t xml:space="preserve">Bianca Faria e Rocha </t>
  </si>
  <si>
    <t>4465050</t>
  </si>
  <si>
    <t>R$ 4.268.196,57</t>
  </si>
  <si>
    <t>Verni Kitzmann Wehrmann</t>
  </si>
  <si>
    <t>30/09/2020</t>
  </si>
  <si>
    <t>004216298</t>
  </si>
  <si>
    <t>Flordeliz Alckmin</t>
  </si>
  <si>
    <t xml:space="preserve">Tabela 2 </t>
  </si>
  <si>
    <t>Tesouraria 1</t>
  </si>
  <si>
    <t>Tesouraria Atual</t>
  </si>
  <si>
    <t>Segmentos</t>
  </si>
  <si>
    <t>Início</t>
  </si>
  <si>
    <t>Término</t>
  </si>
  <si>
    <t>Moeda</t>
  </si>
  <si>
    <t>ATIVORE</t>
  </si>
  <si>
    <t>Joana Darque Formage Schmidt - Ativore</t>
  </si>
  <si>
    <t>USD</t>
  </si>
  <si>
    <t>Luiz Roberto Carrara Lelis - Ativore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</si>
</sst>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d/m/yyyy"/>
    <numFmt numFmtId="165" formatCode="[$R$ -416]#,##0.00"/>
    <numFmt numFmtId="166" formatCode="_-[$$-409]* #,##0.00_ ;_-[$$-409]* \-#,##0.00\ ;_-[$$-409]* &quot;-&quot;??_ ;_-@_ "/>
    <numFmt numFmtId="167" formatCode="_-[$R$-416]\ * #,##0.00_-;\-[$R$-416]\ * #,##0.00_-;_-[$R$-416]\ * &quot;-&quot;??_-;_-@_-"/>
  </numFmts>
  <fonts count="23">
    <font>
      <sz val="10"/>
      <color rgb="FF000000"/>
      <name val="Arial"/>
      <scheme val="minor"/>
    </font>
    <font>
      <sz val="10"/>
      <color rgb="FF000000"/>
      <name val="Times New Roman"/>
    </font>
    <font>
      <sz val="10"/>
      <color theme="1"/>
      <name val="Times New Roman"/>
    </font>
    <font>
      <sz val="10"/>
      <color theme="1"/>
      <name val="Arial"/>
    </font>
    <font>
      <sz val="11"/>
      <color rgb="FF000000"/>
      <name val="Calibri"/>
    </font>
    <font>
      <sz val="10"/>
      <color rgb="FF222222"/>
      <name val="Arial"/>
    </font>
    <font>
      <sz val="10"/>
      <color rgb="FF000000"/>
      <name val="Arial"/>
    </font>
    <font>
      <b/>
      <sz val="10"/>
      <color rgb="FFFFFF00"/>
      <name val="Arial"/>
    </font>
    <font>
      <sz val="10"/>
      <color rgb="FF444444"/>
      <name val="Arial"/>
    </font>
    <font>
      <sz val="10"/>
      <color rgb="FFFF0000"/>
      <name val="Arial"/>
    </font>
    <font>
      <sz val="10"/>
      <color rgb="FF202124"/>
      <name val="Arial"/>
    </font>
    <font>
      <sz val="10"/>
      <color rgb="FF222222"/>
      <name val="Helvetica Neue"/>
    </font>
    <font>
      <b/>
      <sz val="10"/>
      <color theme="0"/>
      <name val="Times New Roman"/>
      <family val="1"/>
    </font>
    <font>
      <sz val="10"/>
      <color rgb="FF000000"/>
      <name val="Arial"/>
      <scheme val="minor"/>
    </font>
    <font>
      <sz val="10"/>
      <color rgb="FF000000"/>
      <name val="Times New Roman"/>
      <family val="1"/>
    </font>
    <font>
      <u/>
      <sz val="10"/>
      <color theme="10"/>
      <name val="Arial"/>
      <scheme val="minor"/>
    </font>
    <font>
      <sz val="11"/>
      <color rgb="FF000000"/>
      <name val="Calibri"/>
      <family val="2"/>
    </font>
    <font>
      <sz val="12"/>
      <color rgb="FF000000"/>
      <name val="Aptos Narrow"/>
      <family val="2"/>
    </font>
    <font>
      <sz val="11"/>
      <color theme="0"/>
      <name val="Aptos Narrow"/>
      <family val="2"/>
      <scheme val="minor"/>
    </font>
    <font>
      <sz val="11"/>
      <color rgb="FFFFFFFF"/>
      <name val="Aptos Narrow"/>
      <family val="2"/>
    </font>
    <font>
      <b/>
      <sz val="10"/>
      <color rgb="FF000000"/>
      <name val="Arial"/>
      <scheme val="minor"/>
    </font>
    <font>
      <sz val="10"/>
      <color rgb="FFFF0000"/>
      <name val="Arial"/>
      <scheme val="minor"/>
    </font>
    <font>
      <sz val="10"/>
      <color rgb="FF000000"/>
      <name val="Times New Roman"/>
      <charset val="1"/>
    </font>
  </fonts>
  <fills count="12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1F497D"/>
        <bgColor rgb="FF1F497D"/>
      </patternFill>
    </fill>
    <fill>
      <patternFill patternType="solid">
        <fgColor rgb="FF999999"/>
        <bgColor rgb="FF999999"/>
      </patternFill>
    </fill>
    <fill>
      <patternFill patternType="solid">
        <fgColor rgb="FFFAFAFA"/>
        <bgColor rgb="FFFAFAFA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3" fillId="0" borderId="0" applyFont="0" applyFill="0" applyBorder="0" applyAlignment="0" applyProtection="0"/>
    <xf numFmtId="0" fontId="15" fillId="0" borderId="0" applyNumberFormat="0" applyFill="0" applyBorder="0" applyAlignment="0" applyProtection="0"/>
    <xf numFmtId="9" fontId="13" fillId="0" borderId="0" applyFont="0" applyFill="0" applyBorder="0" applyAlignment="0" applyProtection="0"/>
  </cellStyleXfs>
  <cellXfs count="165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49" fontId="1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7" fillId="5" borderId="3" xfId="0" applyFont="1" applyFill="1" applyBorder="1" applyAlignment="1">
      <alignment horizontal="center" wrapText="1"/>
    </xf>
    <xf numFmtId="0" fontId="6" fillId="3" borderId="3" xfId="0" applyFont="1" applyFill="1" applyBorder="1" applyAlignment="1">
      <alignment horizontal="left"/>
    </xf>
    <xf numFmtId="0" fontId="3" fillId="0" borderId="1" xfId="0" applyFont="1" applyBorder="1" applyAlignment="1">
      <alignment horizontal="center"/>
    </xf>
    <xf numFmtId="164" fontId="8" fillId="3" borderId="1" xfId="0" applyNumberFormat="1" applyFont="1" applyFill="1" applyBorder="1" applyAlignment="1">
      <alignment horizontal="center"/>
    </xf>
    <xf numFmtId="165" fontId="3" fillId="0" borderId="1" xfId="0" applyNumberFormat="1" applyFont="1" applyBorder="1"/>
    <xf numFmtId="0" fontId="7" fillId="5" borderId="3" xfId="0" applyFont="1" applyFill="1" applyBorder="1" applyAlignment="1">
      <alignment horizontal="left" wrapText="1"/>
    </xf>
    <xf numFmtId="0" fontId="6" fillId="3" borderId="1" xfId="0" applyFont="1" applyFill="1" applyBorder="1" applyAlignment="1">
      <alignment horizontal="left"/>
    </xf>
    <xf numFmtId="0" fontId="3" fillId="0" borderId="1" xfId="0" applyFont="1" applyBorder="1"/>
    <xf numFmtId="10" fontId="3" fillId="0" borderId="1" xfId="0" applyNumberFormat="1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10" fontId="3" fillId="0" borderId="1" xfId="0" applyNumberFormat="1" applyFont="1" applyBorder="1"/>
    <xf numFmtId="10" fontId="3" fillId="0" borderId="0" xfId="0" applyNumberFormat="1" applyFont="1"/>
    <xf numFmtId="0" fontId="6" fillId="0" borderId="1" xfId="0" applyFont="1" applyBorder="1"/>
    <xf numFmtId="0" fontId="3" fillId="0" borderId="0" xfId="0" applyFont="1"/>
    <xf numFmtId="0" fontId="9" fillId="3" borderId="1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3" fillId="0" borderId="4" xfId="0" applyFont="1" applyBorder="1"/>
    <xf numFmtId="0" fontId="9" fillId="3" borderId="4" xfId="0" applyFont="1" applyFill="1" applyBorder="1" applyAlignment="1">
      <alignment horizontal="left"/>
    </xf>
    <xf numFmtId="0" fontId="6" fillId="3" borderId="6" xfId="0" applyFont="1" applyFill="1" applyBorder="1" applyAlignment="1">
      <alignment horizontal="left"/>
    </xf>
    <xf numFmtId="0" fontId="3" fillId="0" borderId="0" xfId="0" applyFont="1" applyAlignment="1">
      <alignment horizontal="center"/>
    </xf>
    <xf numFmtId="165" fontId="3" fillId="0" borderId="0" xfId="0" applyNumberFormat="1" applyFont="1"/>
    <xf numFmtId="14" fontId="3" fillId="0" borderId="0" xfId="0" applyNumberFormat="1" applyFont="1"/>
    <xf numFmtId="165" fontId="3" fillId="6" borderId="1" xfId="0" applyNumberFormat="1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65" fontId="6" fillId="0" borderId="1" xfId="0" applyNumberFormat="1" applyFont="1" applyBorder="1"/>
    <xf numFmtId="4" fontId="6" fillId="0" borderId="1" xfId="0" applyNumberFormat="1" applyFont="1" applyBorder="1"/>
    <xf numFmtId="49" fontId="3" fillId="0" borderId="1" xfId="0" applyNumberFormat="1" applyFont="1" applyBorder="1" applyAlignment="1">
      <alignment horizontal="center"/>
    </xf>
    <xf numFmtId="165" fontId="3" fillId="0" borderId="1" xfId="0" applyNumberFormat="1" applyFont="1" applyBorder="1" applyAlignment="1">
      <alignment horizontal="right"/>
    </xf>
    <xf numFmtId="49" fontId="5" fillId="3" borderId="1" xfId="0" applyNumberFormat="1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164" fontId="6" fillId="3" borderId="1" xfId="0" applyNumberFormat="1" applyFont="1" applyFill="1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14" fontId="6" fillId="3" borderId="1" xfId="0" applyNumberFormat="1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65" fontId="3" fillId="3" borderId="1" xfId="0" applyNumberFormat="1" applyFont="1" applyFill="1" applyBorder="1" applyAlignment="1">
      <alignment horizontal="right"/>
    </xf>
    <xf numFmtId="0" fontId="3" fillId="0" borderId="2" xfId="0" applyFont="1" applyBorder="1" applyAlignment="1">
      <alignment horizontal="center"/>
    </xf>
    <xf numFmtId="0" fontId="6" fillId="0" borderId="0" xfId="0" applyFont="1" applyAlignment="1">
      <alignment horizontal="center"/>
    </xf>
    <xf numFmtId="49" fontId="10" fillId="3" borderId="1" xfId="0" applyNumberFormat="1" applyFont="1" applyFill="1" applyBorder="1" applyAlignment="1">
      <alignment horizontal="center"/>
    </xf>
    <xf numFmtId="49" fontId="3" fillId="0" borderId="1" xfId="0" applyNumberFormat="1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right"/>
    </xf>
    <xf numFmtId="49" fontId="6" fillId="0" borderId="1" xfId="0" applyNumberFormat="1" applyFont="1" applyBorder="1" applyAlignment="1">
      <alignment horizontal="center"/>
    </xf>
    <xf numFmtId="0" fontId="6" fillId="3" borderId="0" xfId="0" applyFont="1" applyFill="1" applyAlignment="1">
      <alignment horizontal="center"/>
    </xf>
    <xf numFmtId="49" fontId="6" fillId="4" borderId="1" xfId="0" applyNumberFormat="1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  <xf numFmtId="49" fontId="6" fillId="3" borderId="1" xfId="0" applyNumberFormat="1" applyFont="1" applyFill="1" applyBorder="1" applyAlignment="1">
      <alignment horizontal="center"/>
    </xf>
    <xf numFmtId="49" fontId="5" fillId="4" borderId="1" xfId="0" applyNumberFormat="1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14" fontId="6" fillId="3" borderId="3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49" fontId="3" fillId="3" borderId="1" xfId="0" applyNumberFormat="1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164" fontId="6" fillId="3" borderId="3" xfId="0" applyNumberFormat="1" applyFont="1" applyFill="1" applyBorder="1" applyAlignment="1">
      <alignment horizontal="center"/>
    </xf>
    <xf numFmtId="49" fontId="3" fillId="0" borderId="3" xfId="0" applyNumberFormat="1" applyFont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165" fontId="3" fillId="3" borderId="3" xfId="0" applyNumberFormat="1" applyFont="1" applyFill="1" applyBorder="1" applyAlignment="1">
      <alignment horizontal="right"/>
    </xf>
    <xf numFmtId="14" fontId="3" fillId="3" borderId="3" xfId="0" applyNumberFormat="1" applyFont="1" applyFill="1" applyBorder="1" applyAlignment="1">
      <alignment horizontal="center"/>
    </xf>
    <xf numFmtId="49" fontId="3" fillId="0" borderId="3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/>
    </xf>
    <xf numFmtId="49" fontId="11" fillId="3" borderId="1" xfId="0" applyNumberFormat="1" applyFont="1" applyFill="1" applyBorder="1" applyAlignment="1">
      <alignment horizontal="center"/>
    </xf>
    <xf numFmtId="49" fontId="12" fillId="2" borderId="1" xfId="0" applyNumberFormat="1" applyFont="1" applyFill="1" applyBorder="1" applyAlignment="1">
      <alignment horizontal="center" vertical="center"/>
    </xf>
    <xf numFmtId="49" fontId="12" fillId="2" borderId="1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166" fontId="2" fillId="0" borderId="1" xfId="0" applyNumberFormat="1" applyFont="1" applyBorder="1" applyAlignment="1">
      <alignment horizontal="right" vertical="center"/>
    </xf>
    <xf numFmtId="44" fontId="2" fillId="0" borderId="1" xfId="1" applyFont="1" applyBorder="1" applyAlignment="1">
      <alignment horizontal="right" vertical="center"/>
    </xf>
    <xf numFmtId="167" fontId="2" fillId="0" borderId="1" xfId="0" applyNumberFormat="1" applyFont="1" applyBorder="1" applyAlignment="1">
      <alignment horizontal="right" vertical="center"/>
    </xf>
    <xf numFmtId="166" fontId="2" fillId="0" borderId="1" xfId="1" applyNumberFormat="1" applyFont="1" applyBorder="1" applyAlignment="1">
      <alignment horizontal="right" vertical="center"/>
    </xf>
    <xf numFmtId="0" fontId="1" fillId="8" borderId="1" xfId="0" applyFont="1" applyFill="1" applyBorder="1" applyAlignment="1">
      <alignment vertical="center"/>
    </xf>
    <xf numFmtId="0" fontId="14" fillId="0" borderId="1" xfId="0" applyFont="1" applyBorder="1" applyAlignment="1">
      <alignment horizontal="center" vertical="center"/>
    </xf>
    <xf numFmtId="0" fontId="6" fillId="3" borderId="0" xfId="0" applyFont="1" applyFill="1"/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7" fillId="5" borderId="1" xfId="0" applyFont="1" applyFill="1" applyBorder="1" applyAlignment="1">
      <alignment horizontal="center" wrapText="1"/>
    </xf>
    <xf numFmtId="49" fontId="7" fillId="5" borderId="1" xfId="0" applyNumberFormat="1" applyFont="1" applyFill="1" applyBorder="1" applyAlignment="1">
      <alignment horizontal="center" wrapText="1"/>
    </xf>
    <xf numFmtId="165" fontId="7" fillId="5" borderId="1" xfId="0" applyNumberFormat="1" applyFont="1" applyFill="1" applyBorder="1" applyAlignment="1">
      <alignment horizontal="right" wrapText="1"/>
    </xf>
    <xf numFmtId="14" fontId="7" fillId="5" borderId="1" xfId="0" applyNumberFormat="1" applyFont="1" applyFill="1" applyBorder="1" applyAlignment="1">
      <alignment horizontal="center" wrapText="1"/>
    </xf>
    <xf numFmtId="165" fontId="6" fillId="3" borderId="1" xfId="0" applyNumberFormat="1" applyFont="1" applyFill="1" applyBorder="1" applyAlignment="1">
      <alignment horizontal="right"/>
    </xf>
    <xf numFmtId="14" fontId="6" fillId="3" borderId="2" xfId="0" applyNumberFormat="1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49" fontId="3" fillId="3" borderId="0" xfId="0" applyNumberFormat="1" applyFont="1" applyFill="1" applyAlignment="1">
      <alignment horizontal="center"/>
    </xf>
    <xf numFmtId="165" fontId="6" fillId="3" borderId="0" xfId="0" applyNumberFormat="1" applyFont="1" applyFill="1" applyAlignment="1">
      <alignment horizontal="right"/>
    </xf>
    <xf numFmtId="49" fontId="6" fillId="3" borderId="0" xfId="0" applyNumberFormat="1" applyFont="1" applyFill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49" fontId="6" fillId="3" borderId="3" xfId="0" applyNumberFormat="1" applyFont="1" applyFill="1" applyBorder="1" applyAlignment="1">
      <alignment horizontal="center"/>
    </xf>
    <xf numFmtId="165" fontId="3" fillId="4" borderId="1" xfId="0" applyNumberFormat="1" applyFont="1" applyFill="1" applyBorder="1" applyAlignment="1">
      <alignment horizontal="right"/>
    </xf>
    <xf numFmtId="10" fontId="6" fillId="3" borderId="0" xfId="0" applyNumberFormat="1" applyFont="1" applyFill="1" applyAlignment="1">
      <alignment horizontal="center"/>
    </xf>
    <xf numFmtId="14" fontId="6" fillId="3" borderId="0" xfId="0" applyNumberFormat="1" applyFont="1" applyFill="1" applyAlignment="1">
      <alignment horizontal="center"/>
    </xf>
    <xf numFmtId="49" fontId="3" fillId="3" borderId="1" xfId="0" applyNumberFormat="1" applyFont="1" applyFill="1" applyBorder="1" applyAlignment="1">
      <alignment horizontal="center" vertical="center"/>
    </xf>
    <xf numFmtId="14" fontId="3" fillId="0" borderId="0" xfId="0" applyNumberFormat="1" applyFont="1" applyAlignment="1">
      <alignment horizontal="center"/>
    </xf>
    <xf numFmtId="165" fontId="3" fillId="7" borderId="1" xfId="0" applyNumberFormat="1" applyFont="1" applyFill="1" applyBorder="1" applyAlignment="1">
      <alignment horizontal="right"/>
    </xf>
    <xf numFmtId="0" fontId="3" fillId="0" borderId="5" xfId="0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165" fontId="6" fillId="3" borderId="3" xfId="0" applyNumberFormat="1" applyFont="1" applyFill="1" applyBorder="1" applyAlignment="1">
      <alignment horizontal="right"/>
    </xf>
    <xf numFmtId="0" fontId="6" fillId="0" borderId="3" xfId="0" applyFont="1" applyBorder="1" applyAlignment="1">
      <alignment horizontal="center"/>
    </xf>
    <xf numFmtId="165" fontId="3" fillId="4" borderId="3" xfId="0" applyNumberFormat="1" applyFont="1" applyFill="1" applyBorder="1" applyAlignment="1">
      <alignment horizontal="right"/>
    </xf>
    <xf numFmtId="165" fontId="6" fillId="4" borderId="1" xfId="0" applyNumberFormat="1" applyFont="1" applyFill="1" applyBorder="1" applyAlignment="1">
      <alignment horizontal="right"/>
    </xf>
    <xf numFmtId="14" fontId="6" fillId="4" borderId="1" xfId="0" applyNumberFormat="1" applyFont="1" applyFill="1" applyBorder="1" applyAlignment="1">
      <alignment horizontal="center"/>
    </xf>
    <xf numFmtId="167" fontId="2" fillId="0" borderId="1" xfId="1" applyNumberFormat="1" applyFont="1" applyBorder="1" applyAlignment="1">
      <alignment horizontal="right" vertical="center"/>
    </xf>
    <xf numFmtId="14" fontId="2" fillId="9" borderId="1" xfId="0" applyNumberFormat="1" applyFont="1" applyFill="1" applyBorder="1" applyAlignment="1">
      <alignment horizontal="center" vertical="center"/>
    </xf>
    <xf numFmtId="14" fontId="0" fillId="9" borderId="0" xfId="0" applyNumberFormat="1" applyFill="1"/>
    <xf numFmtId="0" fontId="15" fillId="3" borderId="1" xfId="2" applyFill="1" applyBorder="1" applyAlignment="1">
      <alignment horizontal="center" vertical="center"/>
    </xf>
    <xf numFmtId="0" fontId="1" fillId="9" borderId="1" xfId="0" applyFont="1" applyFill="1" applyBorder="1" applyAlignment="1">
      <alignment horizontal="left" vertical="center"/>
    </xf>
    <xf numFmtId="0" fontId="1" fillId="9" borderId="1" xfId="0" applyFont="1" applyFill="1" applyBorder="1" applyAlignment="1">
      <alignment vertical="center"/>
    </xf>
    <xf numFmtId="0" fontId="2" fillId="9" borderId="1" xfId="0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5" fillId="9" borderId="1" xfId="2" applyFill="1" applyBorder="1" applyAlignment="1">
      <alignment horizontal="center" vertical="center" wrapText="1"/>
    </xf>
    <xf numFmtId="44" fontId="2" fillId="9" borderId="1" xfId="1" applyFont="1" applyFill="1" applyBorder="1" applyAlignment="1">
      <alignment horizontal="right" vertical="center"/>
    </xf>
    <xf numFmtId="167" fontId="2" fillId="9" borderId="1" xfId="1" applyNumberFormat="1" applyFont="1" applyFill="1" applyBorder="1" applyAlignment="1">
      <alignment horizontal="right" vertical="center"/>
    </xf>
    <xf numFmtId="0" fontId="15" fillId="9" borderId="1" xfId="2" applyFill="1" applyBorder="1" applyAlignment="1">
      <alignment horizontal="center" vertical="center"/>
    </xf>
    <xf numFmtId="14" fontId="0" fillId="0" borderId="0" xfId="0" applyNumberFormat="1"/>
    <xf numFmtId="8" fontId="0" fillId="0" borderId="0" xfId="0" applyNumberFormat="1"/>
    <xf numFmtId="49" fontId="1" fillId="10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vertical="center"/>
    </xf>
    <xf numFmtId="0" fontId="0" fillId="10" borderId="0" xfId="0" applyFill="1"/>
    <xf numFmtId="14" fontId="0" fillId="10" borderId="0" xfId="0" applyNumberFormat="1" applyFill="1"/>
    <xf numFmtId="0" fontId="2" fillId="0" borderId="1" xfId="0" applyFont="1" applyBorder="1" applyAlignment="1">
      <alignment horizontal="left" vertical="center"/>
    </xf>
    <xf numFmtId="0" fontId="2" fillId="9" borderId="1" xfId="0" applyFont="1" applyFill="1" applyBorder="1" applyAlignment="1">
      <alignment horizontal="left" vertical="center"/>
    </xf>
    <xf numFmtId="166" fontId="2" fillId="9" borderId="1" xfId="1" applyNumberFormat="1" applyFont="1" applyFill="1" applyBorder="1" applyAlignment="1">
      <alignment horizontal="right" vertical="center"/>
    </xf>
    <xf numFmtId="0" fontId="1" fillId="10" borderId="1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14" fontId="2" fillId="10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left" vertical="center"/>
    </xf>
    <xf numFmtId="0" fontId="15" fillId="10" borderId="1" xfId="2" applyFill="1" applyBorder="1" applyAlignment="1">
      <alignment horizontal="center" vertical="center"/>
    </xf>
    <xf numFmtId="44" fontId="2" fillId="10" borderId="1" xfId="1" applyFont="1" applyFill="1" applyBorder="1" applyAlignment="1">
      <alignment horizontal="right" vertical="center"/>
    </xf>
    <xf numFmtId="167" fontId="2" fillId="10" borderId="1" xfId="1" applyNumberFormat="1" applyFont="1" applyFill="1" applyBorder="1" applyAlignment="1">
      <alignment horizontal="right" vertical="center"/>
    </xf>
    <xf numFmtId="167" fontId="2" fillId="10" borderId="1" xfId="0" applyNumberFormat="1" applyFont="1" applyFill="1" applyBorder="1" applyAlignment="1">
      <alignment horizontal="right" vertical="center"/>
    </xf>
    <xf numFmtId="0" fontId="15" fillId="3" borderId="1" xfId="2" applyFill="1" applyBorder="1" applyAlignment="1">
      <alignment horizontal="center" vertical="center" wrapText="1"/>
    </xf>
    <xf numFmtId="9" fontId="18" fillId="11" borderId="7" xfId="3" applyFont="1" applyFill="1" applyBorder="1" applyAlignment="1">
      <alignment horizontal="center"/>
    </xf>
    <xf numFmtId="0" fontId="19" fillId="11" borderId="8" xfId="0" applyFont="1" applyFill="1" applyBorder="1" applyAlignment="1">
      <alignment horizontal="center" vertical="center"/>
    </xf>
    <xf numFmtId="10" fontId="0" fillId="0" borderId="9" xfId="3" applyNumberFormat="1" applyFont="1" applyBorder="1"/>
    <xf numFmtId="44" fontId="0" fillId="0" borderId="10" xfId="1" applyFont="1" applyBorder="1"/>
    <xf numFmtId="44" fontId="0" fillId="0" borderId="11" xfId="1" applyFont="1" applyBorder="1"/>
    <xf numFmtId="10" fontId="0" fillId="0" borderId="12" xfId="3" applyNumberFormat="1" applyFont="1" applyBorder="1"/>
    <xf numFmtId="8" fontId="0" fillId="0" borderId="12" xfId="1" applyNumberFormat="1" applyFont="1" applyBorder="1"/>
    <xf numFmtId="0" fontId="20" fillId="0" borderId="0" xfId="0" applyFont="1"/>
    <xf numFmtId="8" fontId="0" fillId="0" borderId="0" xfId="1" applyNumberFormat="1" applyFont="1" applyBorder="1"/>
    <xf numFmtId="0" fontId="16" fillId="0" borderId="0" xfId="0" applyFont="1"/>
    <xf numFmtId="0" fontId="21" fillId="0" borderId="0" xfId="0" applyFont="1"/>
    <xf numFmtId="44" fontId="0" fillId="9" borderId="1" xfId="1" applyFont="1" applyFill="1" applyBorder="1"/>
    <xf numFmtId="49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17" fillId="0" borderId="1" xfId="0" applyFont="1" applyBorder="1"/>
    <xf numFmtId="0" fontId="22" fillId="0" borderId="1" xfId="0" applyFont="1" applyBorder="1"/>
    <xf numFmtId="44" fontId="2" fillId="0" borderId="0" xfId="1" applyFont="1" applyBorder="1" applyAlignment="1">
      <alignment horizontal="right" vertical="center"/>
    </xf>
    <xf numFmtId="8" fontId="2" fillId="0" borderId="1" xfId="1" applyNumberFormat="1" applyFont="1" applyBorder="1" applyAlignment="1">
      <alignment horizontal="right" vertical="center"/>
    </xf>
    <xf numFmtId="0" fontId="1" fillId="0" borderId="0" xfId="0" applyFont="1" applyAlignment="1">
      <alignment vertical="center"/>
    </xf>
    <xf numFmtId="0" fontId="22" fillId="0" borderId="0" xfId="0" applyFont="1"/>
    <xf numFmtId="9" fontId="20" fillId="0" borderId="0" xfId="3" applyFont="1" applyAlignment="1">
      <alignment horizontal="center"/>
    </xf>
    <xf numFmtId="10" fontId="20" fillId="0" borderId="0" xfId="3" applyNumberFormat="1" applyFont="1" applyBorder="1" applyAlignment="1">
      <alignment horizontal="center"/>
    </xf>
  </cellXfs>
  <cellStyles count="4">
    <cellStyle name="Hyperlink" xfId="2" xr:uid="{00000000-000B-0000-0000-000008000000}"/>
    <cellStyle name="Moeda" xfId="1" builtinId="4"/>
    <cellStyle name="Normal" xfId="0" builtinId="0"/>
    <cellStyle name="Porcentagem" xfId="3" builtinId="5"/>
  </cellStyles>
  <dxfs count="6">
    <dxf>
      <font>
        <b/>
      </font>
      <fill>
        <patternFill patternType="solid">
          <fgColor rgb="FF9900FF"/>
          <bgColor rgb="FF9900FF"/>
        </patternFill>
      </fill>
    </dxf>
    <dxf>
      <font>
        <b/>
      </font>
      <fill>
        <patternFill patternType="solid">
          <fgColor rgb="FF274E13"/>
          <bgColor rgb="FF274E13"/>
        </patternFill>
      </fill>
    </dxf>
    <dxf>
      <font>
        <color rgb="FFFFFFFF"/>
      </font>
      <fill>
        <patternFill patternType="solid">
          <fgColor rgb="FF1F497D"/>
          <bgColor rgb="FF1F497D"/>
        </patternFill>
      </fill>
    </dxf>
    <dxf>
      <font>
        <color rgb="FFFFFFFF"/>
      </font>
      <fill>
        <patternFill patternType="solid">
          <fgColor rgb="FF1F497D"/>
          <bgColor rgb="FF1F497D"/>
        </patternFill>
      </fill>
    </dxf>
    <dxf>
      <font>
        <b/>
      </font>
      <fill>
        <patternFill patternType="solid">
          <fgColor rgb="FF9900FF"/>
          <bgColor rgb="FF9900FF"/>
        </patternFill>
      </fill>
    </dxf>
    <dxf>
      <font>
        <b/>
      </font>
      <fill>
        <patternFill patternType="solid">
          <fgColor rgb="FF274E13"/>
          <bgColor rgb="FF274E1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17</xdr:col>
      <xdr:colOff>438150</xdr:colOff>
      <xdr:row>2</xdr:row>
      <xdr:rowOff>142875</xdr:rowOff>
    </xdr:from>
    <xdr:to>
      <xdr:col>21</xdr:col>
      <xdr:colOff>800100</xdr:colOff>
      <xdr:row>22</xdr:row>
      <xdr:rowOff>133350</xdr:rowOff>
    </xdr:to>
    <xdr:sp macro="" textlink="">
      <xdr:nvSpPr>
        <xdr:cNvPr id="2051" name="Text Box 3" hidden="1">
          <a:extLst>
            <a:ext uri="{FF2B5EF4-FFF2-40B4-BE49-F238E27FC236}">
              <a16:creationId xmlns:a16="http://schemas.microsoft.com/office/drawing/2014/main" id="{8CA3EDAC-80FF-F09C-39E0-5F6480B93A16}"/>
            </a:ext>
          </a:extLst>
        </xdr:cNvPr>
        <xdr:cNvSpPr txBox="1">
          <a:spLocks noChangeArrowheads="1"/>
        </xdr:cNvSpPr>
      </xdr:nvSpPr>
      <xdr:spPr bwMode="auto">
        <a:xfrm>
          <a:off x="29289375" y="495300"/>
          <a:ext cx="4486275" cy="35433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ção 1" id="{859B904D-2096-41A5-8AC5-4DEDF88844ED}">
    <nsvFilter filterId="{00000000-0001-0000-0100-000000000000}" ref="A1:AV142" tableId="0"/>
  </namedSheetView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Abreviaturas" id="{4EA203B2-DCEF-4C17-AE7A-ACE738A293E7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1" dT="2023-12-18T18:15:30.00" personId="{4EA203B2-DCEF-4C17-AE7A-ACE738A293E7}" id="{41111DDA-496E-4F6C-BD73-A1D0DEC6DCC5}" done="1">
    <text>ARR - Arrojada
BDR - BDR
CON - Conservadora 
CORP - Corporate 
CRIP - Cripto
DIV - Dividendos 
EQT - Equities 
FII - Imobiliária
INC - Income
MOD - Moderada
PREV - Previdenciária
SMLL - Small Caps
FUND - Fundos</text>
  </threadedComment>
</ThreadedComments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raphael.tome@yahoo.com.br" TargetMode="External"/><Relationship Id="rId21" Type="http://schemas.openxmlformats.org/officeDocument/2006/relationships/hyperlink" Target="mailto:RAPHAEL.TOME@YAHOO.COM.BR" TargetMode="External"/><Relationship Id="rId42" Type="http://schemas.openxmlformats.org/officeDocument/2006/relationships/hyperlink" Target="mailto:IOLIVAN@NEFRONSHD.COM.BR" TargetMode="External"/><Relationship Id="rId63" Type="http://schemas.openxmlformats.org/officeDocument/2006/relationships/hyperlink" Target="mailto:rachelerosmo@hotmail.com" TargetMode="External"/><Relationship Id="rId84" Type="http://schemas.openxmlformats.org/officeDocument/2006/relationships/hyperlink" Target="mailto:financeiro@sementestropical.com.br" TargetMode="External"/><Relationship Id="rId138" Type="http://schemas.openxmlformats.org/officeDocument/2006/relationships/comments" Target="../comments1.xml"/><Relationship Id="rId16" Type="http://schemas.openxmlformats.org/officeDocument/2006/relationships/hyperlink" Target="mailto:Phsppimenta@hotmail.com" TargetMode="External"/><Relationship Id="rId107" Type="http://schemas.openxmlformats.org/officeDocument/2006/relationships/hyperlink" Target="mailto:luiz.roberto@supplog.com" TargetMode="External"/><Relationship Id="rId11" Type="http://schemas.openxmlformats.org/officeDocument/2006/relationships/hyperlink" Target="mailto:correa_correa09@hotmail.com" TargetMode="External"/><Relationship Id="rId32" Type="http://schemas.openxmlformats.org/officeDocument/2006/relationships/hyperlink" Target="mailto:ELIANECMR65@GMAIL.COM" TargetMode="External"/><Relationship Id="rId37" Type="http://schemas.openxmlformats.org/officeDocument/2006/relationships/hyperlink" Target="mailto:FERNANDOFPARRO@GMAIL.COM" TargetMode="External"/><Relationship Id="rId53" Type="http://schemas.openxmlformats.org/officeDocument/2006/relationships/hyperlink" Target="mailto:luiz.roberto@supplog.com" TargetMode="External"/><Relationship Id="rId58" Type="http://schemas.openxmlformats.org/officeDocument/2006/relationships/hyperlink" Target="mailto:MGBAPTISTA@GMAIL.COM" TargetMode="External"/><Relationship Id="rId74" Type="http://schemas.openxmlformats.org/officeDocument/2006/relationships/hyperlink" Target="mailto:deisebissoni@botuvera.com" TargetMode="External"/><Relationship Id="rId79" Type="http://schemas.openxmlformats.org/officeDocument/2006/relationships/hyperlink" Target="mailto:RODRIGOFRANZOI@HOTMAIL.COM" TargetMode="External"/><Relationship Id="rId102" Type="http://schemas.openxmlformats.org/officeDocument/2006/relationships/hyperlink" Target="mailto:facencinas@gmail.com" TargetMode="External"/><Relationship Id="rId123" Type="http://schemas.openxmlformats.org/officeDocument/2006/relationships/hyperlink" Target="mailto:thiagocorrea79@gmail.com" TargetMode="External"/><Relationship Id="rId128" Type="http://schemas.openxmlformats.org/officeDocument/2006/relationships/hyperlink" Target="mailto:savioramos@hotmail.com" TargetMode="External"/><Relationship Id="rId5" Type="http://schemas.openxmlformats.org/officeDocument/2006/relationships/hyperlink" Target="mailto:fabriciofnaves@yahoo.com.br" TargetMode="External"/><Relationship Id="rId90" Type="http://schemas.openxmlformats.org/officeDocument/2006/relationships/hyperlink" Target="mailto:DALESSANDROANDRE@GMAIL.COM" TargetMode="External"/><Relationship Id="rId95" Type="http://schemas.openxmlformats.org/officeDocument/2006/relationships/hyperlink" Target="mailto:financeiro@semenstestropical.com.br" TargetMode="External"/><Relationship Id="rId22" Type="http://schemas.openxmlformats.org/officeDocument/2006/relationships/hyperlink" Target="mailto:abraoarabe@hotmail.com" TargetMode="External"/><Relationship Id="rId27" Type="http://schemas.openxmlformats.org/officeDocument/2006/relationships/hyperlink" Target="mailto:financeiro@sementestropical.com.br" TargetMode="External"/><Relationship Id="rId43" Type="http://schemas.openxmlformats.org/officeDocument/2006/relationships/hyperlink" Target="mailto:DEISEBISSONI@BOTUVERA.COM" TargetMode="External"/><Relationship Id="rId48" Type="http://schemas.openxmlformats.org/officeDocument/2006/relationships/hyperlink" Target="mailto:LUCASCR12345@GMAIL.COM" TargetMode="External"/><Relationship Id="rId64" Type="http://schemas.openxmlformats.org/officeDocument/2006/relationships/hyperlink" Target="mailto:RAPHAEL.TOME@YAHOO.COM.BR" TargetMode="External"/><Relationship Id="rId69" Type="http://schemas.openxmlformats.org/officeDocument/2006/relationships/hyperlink" Target="mailto:ROSE_BISSONI@HOTMAIL.COM" TargetMode="External"/><Relationship Id="rId113" Type="http://schemas.openxmlformats.org/officeDocument/2006/relationships/hyperlink" Target="mailto:viniciusquintas@hotmail.com" TargetMode="External"/><Relationship Id="rId118" Type="http://schemas.openxmlformats.org/officeDocument/2006/relationships/hyperlink" Target="mailto:rodrigo_escs@yahoo.com.br" TargetMode="External"/><Relationship Id="rId134" Type="http://schemas.openxmlformats.org/officeDocument/2006/relationships/hyperlink" Target="mailto:erico@trebeschi.com.br" TargetMode="External"/><Relationship Id="rId139" Type="http://schemas.microsoft.com/office/2017/10/relationships/threadedComment" Target="../threadedComments/threadedComment1.xml"/><Relationship Id="rId80" Type="http://schemas.openxmlformats.org/officeDocument/2006/relationships/hyperlink" Target="mailto:GUIGFC@GMAIL.COM" TargetMode="External"/><Relationship Id="rId85" Type="http://schemas.openxmlformats.org/officeDocument/2006/relationships/hyperlink" Target="mailto:VICTOR.GRIESANG@SEMENTESTROPICAL.COM.BR" TargetMode="External"/><Relationship Id="rId12" Type="http://schemas.openxmlformats.org/officeDocument/2006/relationships/hyperlink" Target="mailto:mgbaptista@gmail.com" TargetMode="External"/><Relationship Id="rId17" Type="http://schemas.openxmlformats.org/officeDocument/2006/relationships/hyperlink" Target="mailto:contato@viafresa.com.br" TargetMode="External"/><Relationship Id="rId33" Type="http://schemas.openxmlformats.org/officeDocument/2006/relationships/hyperlink" Target="mailto:FMEGID@GMAIL.COM" TargetMode="External"/><Relationship Id="rId38" Type="http://schemas.openxmlformats.org/officeDocument/2006/relationships/hyperlink" Target="mailto:FILIPERQS@GMAIL.COM" TargetMode="External"/><Relationship Id="rId59" Type="http://schemas.openxmlformats.org/officeDocument/2006/relationships/hyperlink" Target="mailto:MALMEIDA@PETROBRAS.COM.BR" TargetMode="External"/><Relationship Id="rId103" Type="http://schemas.openxmlformats.org/officeDocument/2006/relationships/hyperlink" Target="mailto:iolivan@nefronshd.com" TargetMode="External"/><Relationship Id="rId108" Type="http://schemas.openxmlformats.org/officeDocument/2006/relationships/hyperlink" Target="mailto:ceciliamelloflores@gmail.com" TargetMode="External"/><Relationship Id="rId124" Type="http://schemas.openxmlformats.org/officeDocument/2006/relationships/hyperlink" Target="mailto:TERESINHA@LIFELAGOS.COM.BR" TargetMode="External"/><Relationship Id="rId129" Type="http://schemas.openxmlformats.org/officeDocument/2006/relationships/hyperlink" Target="mailto:luiz.roberto@supplog.com" TargetMode="External"/><Relationship Id="rId54" Type="http://schemas.openxmlformats.org/officeDocument/2006/relationships/hyperlink" Target="mailto:luiz.roberto@supplog.com" TargetMode="External"/><Relationship Id="rId70" Type="http://schemas.openxmlformats.org/officeDocument/2006/relationships/hyperlink" Target="mailto:t.formage.schmidt@gmail.com" TargetMode="External"/><Relationship Id="rId75" Type="http://schemas.openxmlformats.org/officeDocument/2006/relationships/hyperlink" Target="mailto:TRISSIAL@GMAIL.COM" TargetMode="External"/><Relationship Id="rId91" Type="http://schemas.openxmlformats.org/officeDocument/2006/relationships/hyperlink" Target="mailto:dalessandronicolau5@gmail.com" TargetMode="External"/><Relationship Id="rId96" Type="http://schemas.openxmlformats.org/officeDocument/2006/relationships/hyperlink" Target="mailto:pradovargas@gmail.com" TargetMode="External"/><Relationship Id="rId140" Type="http://schemas.microsoft.com/office/2019/04/relationships/namedSheetView" Target="../namedSheetViews/namedSheetView1.xml"/><Relationship Id="rId1" Type="http://schemas.openxmlformats.org/officeDocument/2006/relationships/hyperlink" Target="mailto:alicedn15@yahoo.com" TargetMode="External"/><Relationship Id="rId6" Type="http://schemas.openxmlformats.org/officeDocument/2006/relationships/hyperlink" Target="mailto:iolivan@nefronshd.com.br" TargetMode="External"/><Relationship Id="rId23" Type="http://schemas.openxmlformats.org/officeDocument/2006/relationships/hyperlink" Target="mailto:adriano@botuvera.com" TargetMode="External"/><Relationship Id="rId28" Type="http://schemas.openxmlformats.org/officeDocument/2006/relationships/hyperlink" Target="mailto:danirqs@hotmail.com" TargetMode="External"/><Relationship Id="rId49" Type="http://schemas.openxmlformats.org/officeDocument/2006/relationships/hyperlink" Target="mailto:LUCASCR12345@GMAIL.COM" TargetMode="External"/><Relationship Id="rId114" Type="http://schemas.openxmlformats.org/officeDocument/2006/relationships/hyperlink" Target="mailto:rachelerosmo@hotmail.com" TargetMode="External"/><Relationship Id="rId119" Type="http://schemas.openxmlformats.org/officeDocument/2006/relationships/hyperlink" Target="mailto:rcuchoa@gmail.com" TargetMode="External"/><Relationship Id="rId44" Type="http://schemas.openxmlformats.org/officeDocument/2006/relationships/hyperlink" Target="mailto:ISABELAKASSIS@GMAIL.COM" TargetMode="External"/><Relationship Id="rId60" Type="http://schemas.openxmlformats.org/officeDocument/2006/relationships/hyperlink" Target="mailto:MONICA@CLINICABALESTRO.COM.BR" TargetMode="External"/><Relationship Id="rId65" Type="http://schemas.openxmlformats.org/officeDocument/2006/relationships/hyperlink" Target="mailto:CELSO@SEMENTESTROPICAL.COM.BR" TargetMode="External"/><Relationship Id="rId81" Type="http://schemas.openxmlformats.org/officeDocument/2006/relationships/hyperlink" Target="mailto:financeiro.gerencial@carpec.com.br" TargetMode="External"/><Relationship Id="rId86" Type="http://schemas.openxmlformats.org/officeDocument/2006/relationships/hyperlink" Target="mailto:anagabrielaroriz@gmail.com" TargetMode="External"/><Relationship Id="rId130" Type="http://schemas.openxmlformats.org/officeDocument/2006/relationships/hyperlink" Target="mailto:GUIGFC@GMAIL.COM" TargetMode="External"/><Relationship Id="rId135" Type="http://schemas.openxmlformats.org/officeDocument/2006/relationships/hyperlink" Target="mailto:DALESSANDROANDRE@GMAIL.COM" TargetMode="External"/><Relationship Id="rId13" Type="http://schemas.openxmlformats.org/officeDocument/2006/relationships/hyperlink" Target="mailto:mgbaptista@gmail.com" TargetMode="External"/><Relationship Id="rId18" Type="http://schemas.openxmlformats.org/officeDocument/2006/relationships/hyperlink" Target="mailto:romulosalles@hotmail.com" TargetMode="External"/><Relationship Id="rId39" Type="http://schemas.openxmlformats.org/officeDocument/2006/relationships/hyperlink" Target="mailto:financeiro@fronteiraagronegocios.com.br" TargetMode="External"/><Relationship Id="rId109" Type="http://schemas.openxmlformats.org/officeDocument/2006/relationships/hyperlink" Target="mailto:ceciliamelloflores@gmail.com" TargetMode="External"/><Relationship Id="rId34" Type="http://schemas.openxmlformats.org/officeDocument/2006/relationships/hyperlink" Target="mailto:FABRICIOFNAVES@YAHOO.COM.BR" TargetMode="External"/><Relationship Id="rId50" Type="http://schemas.openxmlformats.org/officeDocument/2006/relationships/hyperlink" Target="mailto:LUCAS_RONA@HOTMAIL.COM" TargetMode="External"/><Relationship Id="rId55" Type="http://schemas.openxmlformats.org/officeDocument/2006/relationships/hyperlink" Target="mailto:lbeato@mwealth.com.br" TargetMode="External"/><Relationship Id="rId76" Type="http://schemas.openxmlformats.org/officeDocument/2006/relationships/hyperlink" Target="mailto:NESSAANDRADE@HOTMAIL.COM" TargetMode="External"/><Relationship Id="rId97" Type="http://schemas.openxmlformats.org/officeDocument/2006/relationships/hyperlink" Target="mailto:martgodinho@hotmail.com" TargetMode="External"/><Relationship Id="rId104" Type="http://schemas.openxmlformats.org/officeDocument/2006/relationships/hyperlink" Target="mailto:lucas_rona@hotmail.com" TargetMode="External"/><Relationship Id="rId120" Type="http://schemas.openxmlformats.org/officeDocument/2006/relationships/hyperlink" Target="mailto:romulosalles@hotmail.com" TargetMode="External"/><Relationship Id="rId125" Type="http://schemas.openxmlformats.org/officeDocument/2006/relationships/hyperlink" Target="mailto:dalessandronicolau5@gmail.com" TargetMode="External"/><Relationship Id="rId7" Type="http://schemas.openxmlformats.org/officeDocument/2006/relationships/hyperlink" Target="mailto:luiz.roberto@supplog.com" TargetMode="External"/><Relationship Id="rId71" Type="http://schemas.openxmlformats.org/officeDocument/2006/relationships/hyperlink" Target="mailto:TATY_LARA@HOTMAIL.COM" TargetMode="External"/><Relationship Id="rId92" Type="http://schemas.openxmlformats.org/officeDocument/2006/relationships/hyperlink" Target="mailto:DALESSANDROANDRE@GMAIL.COM" TargetMode="External"/><Relationship Id="rId2" Type="http://schemas.openxmlformats.org/officeDocument/2006/relationships/hyperlink" Target="mailto:elianecmr65@gmail.com" TargetMode="External"/><Relationship Id="rId29" Type="http://schemas.openxmlformats.org/officeDocument/2006/relationships/hyperlink" Target="mailto:ADRIANO@BOTUVERA.COM" TargetMode="External"/><Relationship Id="rId24" Type="http://schemas.openxmlformats.org/officeDocument/2006/relationships/hyperlink" Target="mailto:iolivan@nefronshd.com.br" TargetMode="External"/><Relationship Id="rId40" Type="http://schemas.openxmlformats.org/officeDocument/2006/relationships/hyperlink" Target="mailto:HUGODERESENDE@OUTLOOK.COM" TargetMode="External"/><Relationship Id="rId45" Type="http://schemas.openxmlformats.org/officeDocument/2006/relationships/hyperlink" Target="mailto:AVORA@TERRA.COM.BR" TargetMode="External"/><Relationship Id="rId66" Type="http://schemas.openxmlformats.org/officeDocument/2006/relationships/hyperlink" Target="mailto:RODRIGO_ESCS@YAHOO.COM.BR" TargetMode="External"/><Relationship Id="rId87" Type="http://schemas.openxmlformats.org/officeDocument/2006/relationships/hyperlink" Target="mailto:tf@figvellcapital.com%20/%20Cmj@raurea.com" TargetMode="External"/><Relationship Id="rId110" Type="http://schemas.openxmlformats.org/officeDocument/2006/relationships/hyperlink" Target="mailto:ceciliamelloflores@gmail.com" TargetMode="External"/><Relationship Id="rId115" Type="http://schemas.openxmlformats.org/officeDocument/2006/relationships/hyperlink" Target="mailto:rafaelmnaves@gmail.com" TargetMode="External"/><Relationship Id="rId131" Type="http://schemas.openxmlformats.org/officeDocument/2006/relationships/hyperlink" Target="mailto:diogodd@gmail.com" TargetMode="External"/><Relationship Id="rId136" Type="http://schemas.openxmlformats.org/officeDocument/2006/relationships/drawing" Target="../drawings/drawing1.xml"/><Relationship Id="rId61" Type="http://schemas.openxmlformats.org/officeDocument/2006/relationships/hyperlink" Target="mailto:MONICA@CLINICABALESTRO.COM.BR" TargetMode="External"/><Relationship Id="rId82" Type="http://schemas.openxmlformats.org/officeDocument/2006/relationships/hyperlink" Target="mailto:TERESINHA@LIFELAGOS.COM.BR" TargetMode="External"/><Relationship Id="rId19" Type="http://schemas.openxmlformats.org/officeDocument/2006/relationships/hyperlink" Target="mailto:romulosalles@hotmail.com" TargetMode="External"/><Relationship Id="rId14" Type="http://schemas.openxmlformats.org/officeDocument/2006/relationships/hyperlink" Target="mailto:tatyanafaleiro@gmail.com" TargetMode="External"/><Relationship Id="rId30" Type="http://schemas.openxmlformats.org/officeDocument/2006/relationships/hyperlink" Target="mailto:DEISEBISSONI@BOTUVERA.COM" TargetMode="External"/><Relationship Id="rId35" Type="http://schemas.openxmlformats.org/officeDocument/2006/relationships/hyperlink" Target="mailto:FACENCINAS@GMAIL.COM" TargetMode="External"/><Relationship Id="rId56" Type="http://schemas.openxmlformats.org/officeDocument/2006/relationships/hyperlink" Target="mailto:CORREA_CORREA09@HOTMAIL.COM" TargetMode="External"/><Relationship Id="rId77" Type="http://schemas.openxmlformats.org/officeDocument/2006/relationships/hyperlink" Target="mailto:vicentebissonineto@gmail.com" TargetMode="External"/><Relationship Id="rId100" Type="http://schemas.openxmlformats.org/officeDocument/2006/relationships/hyperlink" Target="mailto:fmegid@gmail.com" TargetMode="External"/><Relationship Id="rId105" Type="http://schemas.openxmlformats.org/officeDocument/2006/relationships/hyperlink" Target="mailto:lctome@yahoo.com.br" TargetMode="External"/><Relationship Id="rId126" Type="http://schemas.openxmlformats.org/officeDocument/2006/relationships/hyperlink" Target="mailto:JLUIZTX2015@GMAIL.COM" TargetMode="External"/><Relationship Id="rId8" Type="http://schemas.openxmlformats.org/officeDocument/2006/relationships/hyperlink" Target="mailto:LUCAS_RONA@HOTMAIL.COM" TargetMode="External"/><Relationship Id="rId51" Type="http://schemas.openxmlformats.org/officeDocument/2006/relationships/hyperlink" Target="mailto:luciennecamargo@gmail.com" TargetMode="External"/><Relationship Id="rId72" Type="http://schemas.openxmlformats.org/officeDocument/2006/relationships/hyperlink" Target="mailto:TERESINHA@LIFELAGOS.COM.BR" TargetMode="External"/><Relationship Id="rId93" Type="http://schemas.openxmlformats.org/officeDocument/2006/relationships/hyperlink" Target="mailto:JLUIZTX2015@GMAIL.COM" TargetMode="External"/><Relationship Id="rId98" Type="http://schemas.openxmlformats.org/officeDocument/2006/relationships/hyperlink" Target="mailto:cmj@figvellcapital.com" TargetMode="External"/><Relationship Id="rId121" Type="http://schemas.openxmlformats.org/officeDocument/2006/relationships/hyperlink" Target="mailto:brunakusumoto@uol.com.br" TargetMode="External"/><Relationship Id="rId3" Type="http://schemas.openxmlformats.org/officeDocument/2006/relationships/hyperlink" Target="mailto:pradovargas@gmail.com" TargetMode="External"/><Relationship Id="rId25" Type="http://schemas.openxmlformats.org/officeDocument/2006/relationships/hyperlink" Target="mailto:ccaiolemosf@gmail.com" TargetMode="External"/><Relationship Id="rId46" Type="http://schemas.openxmlformats.org/officeDocument/2006/relationships/hyperlink" Target="mailto:schmidt.formage@gmail.com" TargetMode="External"/><Relationship Id="rId67" Type="http://schemas.openxmlformats.org/officeDocument/2006/relationships/hyperlink" Target="mailto:RCUCHOA@GMAIL.COM" TargetMode="External"/><Relationship Id="rId116" Type="http://schemas.openxmlformats.org/officeDocument/2006/relationships/hyperlink" Target="mailto:raphael.tome@yahoo.com.br" TargetMode="External"/><Relationship Id="rId137" Type="http://schemas.openxmlformats.org/officeDocument/2006/relationships/vmlDrawing" Target="../drawings/vmlDrawing1.vml"/><Relationship Id="rId20" Type="http://schemas.openxmlformats.org/officeDocument/2006/relationships/hyperlink" Target="mailto:tatyanafaleiro.elf@gmail.com" TargetMode="External"/><Relationship Id="rId41" Type="http://schemas.openxmlformats.org/officeDocument/2006/relationships/hyperlink" Target="mailto:HUGODERESENDE@OUTLOOK.COM" TargetMode="External"/><Relationship Id="rId62" Type="http://schemas.openxmlformats.org/officeDocument/2006/relationships/hyperlink" Target="mailto:CONTATO@VIAFRESA.COM.BR" TargetMode="External"/><Relationship Id="rId83" Type="http://schemas.openxmlformats.org/officeDocument/2006/relationships/hyperlink" Target="mailto:contato@viafresa.com.br" TargetMode="External"/><Relationship Id="rId88" Type="http://schemas.openxmlformats.org/officeDocument/2006/relationships/hyperlink" Target="mailto:dalessandronicolau5@gmail.com" TargetMode="External"/><Relationship Id="rId111" Type="http://schemas.openxmlformats.org/officeDocument/2006/relationships/hyperlink" Target="mailto:nelsonjr@clinicabalestro.com.br" TargetMode="External"/><Relationship Id="rId132" Type="http://schemas.openxmlformats.org/officeDocument/2006/relationships/hyperlink" Target="mailto:myriam.soberon@gmail.com" TargetMode="External"/><Relationship Id="rId15" Type="http://schemas.openxmlformats.org/officeDocument/2006/relationships/hyperlink" Target="mailto:tatyanafaleiro@gmail.com" TargetMode="External"/><Relationship Id="rId36" Type="http://schemas.openxmlformats.org/officeDocument/2006/relationships/hyperlink" Target="mailto:FERNANDALRCAMARGO@GMAIL.COM" TargetMode="External"/><Relationship Id="rId57" Type="http://schemas.openxmlformats.org/officeDocument/2006/relationships/hyperlink" Target="mailto:CECILIAMELLOFLORES@GMAIL.COM" TargetMode="External"/><Relationship Id="rId106" Type="http://schemas.openxmlformats.org/officeDocument/2006/relationships/hyperlink" Target="mailto:lctome@yahoo.com.br" TargetMode="External"/><Relationship Id="rId127" Type="http://schemas.openxmlformats.org/officeDocument/2006/relationships/hyperlink" Target="mailto:marciartx@gmail.com" TargetMode="External"/><Relationship Id="rId10" Type="http://schemas.openxmlformats.org/officeDocument/2006/relationships/hyperlink" Target="mailto:bruna.ro.alkimim@gmail.com" TargetMode="External"/><Relationship Id="rId31" Type="http://schemas.openxmlformats.org/officeDocument/2006/relationships/hyperlink" Target="mailto:ELIANECMR65@GMAIL.COM" TargetMode="External"/><Relationship Id="rId52" Type="http://schemas.openxmlformats.org/officeDocument/2006/relationships/hyperlink" Target="mailto:LCTOME@YAHOO.COM.BR" TargetMode="External"/><Relationship Id="rId73" Type="http://schemas.openxmlformats.org/officeDocument/2006/relationships/hyperlink" Target="mailto:THIAGOCORREA79@GMAIL.COM" TargetMode="External"/><Relationship Id="rId78" Type="http://schemas.openxmlformats.org/officeDocument/2006/relationships/hyperlink" Target="mailto:rochavirgilio55@gmail.com" TargetMode="External"/><Relationship Id="rId94" Type="http://schemas.openxmlformats.org/officeDocument/2006/relationships/hyperlink" Target="mailto:brunakusumoto@uol.com.br" TargetMode="External"/><Relationship Id="rId99" Type="http://schemas.openxmlformats.org/officeDocument/2006/relationships/hyperlink" Target="mailto:fmegid@gmail.com" TargetMode="External"/><Relationship Id="rId101" Type="http://schemas.openxmlformats.org/officeDocument/2006/relationships/hyperlink" Target="mailto:grupocanaa2018@gmail.com" TargetMode="External"/><Relationship Id="rId122" Type="http://schemas.openxmlformats.org/officeDocument/2006/relationships/hyperlink" Target="mailto:t.formage.schmidt@gmail.com" TargetMode="External"/><Relationship Id="rId4" Type="http://schemas.openxmlformats.org/officeDocument/2006/relationships/hyperlink" Target="mailto:daniellelisgames@gmail.com" TargetMode="External"/><Relationship Id="rId9" Type="http://schemas.openxmlformats.org/officeDocument/2006/relationships/hyperlink" Target="mailto:luiz.roberto@supplog.com" TargetMode="External"/><Relationship Id="rId26" Type="http://schemas.openxmlformats.org/officeDocument/2006/relationships/hyperlink" Target="mailto:financeiro@sementestropical.com.br" TargetMode="External"/><Relationship Id="rId47" Type="http://schemas.openxmlformats.org/officeDocument/2006/relationships/hyperlink" Target="mailto:JLUIZTX2015@GMAIL.COM" TargetMode="External"/><Relationship Id="rId68" Type="http://schemas.openxmlformats.org/officeDocument/2006/relationships/hyperlink" Target="mailto:ROMULOSALLES@HOTMAIL.COM" TargetMode="External"/><Relationship Id="rId89" Type="http://schemas.openxmlformats.org/officeDocument/2006/relationships/hyperlink" Target="mailto:dalessandronicolau5@gmail.com" TargetMode="External"/><Relationship Id="rId112" Type="http://schemas.openxmlformats.org/officeDocument/2006/relationships/hyperlink" Target="mailto:nelsonjr@clinicabalestro.com.br" TargetMode="External"/><Relationship Id="rId133" Type="http://schemas.openxmlformats.org/officeDocument/2006/relationships/hyperlink" Target="mailto:analuzdd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D966"/>
    <outlinePr summaryBelow="0" summaryRight="0"/>
    <pageSetUpPr fitToPage="1"/>
  </sheetPr>
  <dimension ref="A1:AY142"/>
  <sheetViews>
    <sheetView showGridLines="0" workbookViewId="0">
      <pane ySplit="1" topLeftCell="A2" activePane="bottomLeft" state="frozen"/>
      <selection pane="bottomLeft" activeCell="C165" sqref="C165"/>
    </sheetView>
  </sheetViews>
  <sheetFormatPr defaultColWidth="9.140625" defaultRowHeight="12.75"/>
  <cols>
    <col min="1" max="1" width="18.28515625" style="76" bestFit="1" customWidth="1"/>
    <col min="2" max="3" width="48.7109375" bestFit="1" customWidth="1"/>
    <col min="4" max="4" width="61.5703125" bestFit="1" customWidth="1"/>
    <col min="5" max="5" width="8.7109375" bestFit="1" customWidth="1"/>
    <col min="6" max="6" width="9.140625" bestFit="1" customWidth="1"/>
    <col min="7" max="7" width="66.85546875" bestFit="1" customWidth="1"/>
    <col min="8" max="8" width="10.5703125" bestFit="1" customWidth="1"/>
    <col min="9" max="9" width="5.85546875" customWidth="1"/>
    <col min="10" max="10" width="11.42578125" customWidth="1"/>
    <col min="11" max="11" width="15.85546875" customWidth="1"/>
    <col min="12" max="12" width="18" customWidth="1"/>
    <col min="13" max="13" width="25.28515625" customWidth="1"/>
    <col min="14" max="14" width="19" customWidth="1"/>
    <col min="15" max="15" width="21.85546875" style="113" customWidth="1"/>
    <col min="16" max="17" width="21.42578125" style="113" customWidth="1"/>
    <col min="18" max="18" width="16.140625" customWidth="1"/>
    <col min="19" max="19" width="14.140625" customWidth="1"/>
    <col min="20" max="20" width="10.42578125" customWidth="1"/>
    <col min="21" max="21" width="21.140625" customWidth="1"/>
    <col min="22" max="22" width="255.7109375" customWidth="1"/>
    <col min="23" max="23" width="15" customWidth="1"/>
    <col min="24" max="24" width="18.42578125" customWidth="1"/>
    <col min="25" max="25" width="18.28515625" customWidth="1"/>
    <col min="26" max="26" width="49.140625" customWidth="1"/>
    <col min="27" max="47" width="15.7109375" customWidth="1"/>
    <col min="48" max="48" width="15.7109375" bestFit="1" customWidth="1"/>
  </cols>
  <sheetData>
    <row r="1" spans="1:51">
      <c r="A1" s="75" t="s">
        <v>0</v>
      </c>
      <c r="B1" s="74" t="s">
        <v>1</v>
      </c>
      <c r="C1" s="74" t="s">
        <v>2</v>
      </c>
      <c r="D1" s="74" t="s">
        <v>3</v>
      </c>
      <c r="E1" s="74" t="s">
        <v>4</v>
      </c>
      <c r="F1" s="74" t="s">
        <v>5</v>
      </c>
      <c r="G1" s="74" t="s">
        <v>6</v>
      </c>
      <c r="H1" s="74" t="s">
        <v>7</v>
      </c>
      <c r="I1" s="74" t="s">
        <v>8</v>
      </c>
      <c r="J1" s="74" t="s">
        <v>9</v>
      </c>
      <c r="K1" s="74" t="s">
        <v>10</v>
      </c>
      <c r="L1" s="74" t="s">
        <v>11</v>
      </c>
      <c r="M1" s="74" t="s">
        <v>12</v>
      </c>
      <c r="N1" s="74" t="s">
        <v>13</v>
      </c>
      <c r="O1" s="74" t="s">
        <v>14</v>
      </c>
      <c r="P1" s="74" t="s">
        <v>15</v>
      </c>
      <c r="Q1" s="74" t="s">
        <v>16</v>
      </c>
      <c r="R1" s="74" t="s">
        <v>17</v>
      </c>
      <c r="S1" s="74" t="s">
        <v>18</v>
      </c>
      <c r="T1" s="74" t="s">
        <v>19</v>
      </c>
      <c r="U1" s="74" t="s">
        <v>20</v>
      </c>
      <c r="V1" s="74" t="s">
        <v>21</v>
      </c>
      <c r="W1" s="74" t="s">
        <v>22</v>
      </c>
      <c r="X1" s="74" t="s">
        <v>23</v>
      </c>
      <c r="Y1" s="74" t="s">
        <v>24</v>
      </c>
      <c r="Z1" s="74" t="s">
        <v>25</v>
      </c>
      <c r="AA1" s="74" t="s">
        <v>26</v>
      </c>
      <c r="AB1" s="74" t="s">
        <v>27</v>
      </c>
      <c r="AC1" s="74" t="s">
        <v>28</v>
      </c>
      <c r="AD1" s="74" t="s">
        <v>29</v>
      </c>
      <c r="AE1" s="74" t="s">
        <v>30</v>
      </c>
      <c r="AF1" s="74" t="s">
        <v>31</v>
      </c>
      <c r="AG1" s="74" t="s">
        <v>32</v>
      </c>
      <c r="AH1" s="74" t="s">
        <v>33</v>
      </c>
      <c r="AI1" s="74" t="s">
        <v>34</v>
      </c>
      <c r="AJ1" s="74" t="s">
        <v>35</v>
      </c>
      <c r="AK1" s="74" t="s">
        <v>36</v>
      </c>
      <c r="AL1" s="74" t="s">
        <v>37</v>
      </c>
      <c r="AM1" s="74" t="s">
        <v>38</v>
      </c>
      <c r="AN1" s="74" t="s">
        <v>39</v>
      </c>
      <c r="AO1" s="74" t="s">
        <v>40</v>
      </c>
      <c r="AP1" s="74" t="s">
        <v>41</v>
      </c>
      <c r="AQ1" s="74" t="s">
        <v>42</v>
      </c>
      <c r="AR1" s="74" t="s">
        <v>43</v>
      </c>
      <c r="AS1" s="74" t="s">
        <v>44</v>
      </c>
      <c r="AT1" s="74" t="s">
        <v>45</v>
      </c>
      <c r="AU1" s="74" t="s">
        <v>46</v>
      </c>
      <c r="AV1" s="74" t="s">
        <v>47</v>
      </c>
    </row>
    <row r="2" spans="1:51" ht="15">
      <c r="A2" s="1" t="s">
        <v>48</v>
      </c>
      <c r="B2" s="5" t="s">
        <v>49</v>
      </c>
      <c r="C2" s="5" t="s">
        <v>49</v>
      </c>
      <c r="D2" s="5" t="s">
        <v>49</v>
      </c>
      <c r="E2" s="3" t="s">
        <v>50</v>
      </c>
      <c r="F2" s="3" t="s">
        <v>51</v>
      </c>
      <c r="G2" s="5" t="s">
        <v>52</v>
      </c>
      <c r="H2" s="6">
        <v>2729546</v>
      </c>
      <c r="I2" s="2" t="s">
        <v>53</v>
      </c>
      <c r="J2" s="2" t="s">
        <v>54</v>
      </c>
      <c r="K2" s="7">
        <v>46001</v>
      </c>
      <c r="L2" s="7" t="s">
        <v>55</v>
      </c>
      <c r="M2" s="3" t="s">
        <v>56</v>
      </c>
      <c r="N2" s="3" t="s">
        <v>57</v>
      </c>
      <c r="O2" s="112">
        <v>46718</v>
      </c>
      <c r="P2" s="112">
        <v>46712</v>
      </c>
      <c r="Q2" s="112" t="s">
        <v>58</v>
      </c>
      <c r="R2" s="3" t="str">
        <f ca="1">IF(M2="Arrojado","IPCA+6%",IF(M2="Arrojado Renda Construção","IPCA+6%",IF(M2="Arrojado Renda Usufruto","IPCA+6%",IF(M2="Moderado","IPCA+5%",IF(M2="Moderado Renda Construção","IPCA+5%",IF(M2="Moderado Renda Usufruto","IPCA+5%",IF(M2="Conservador","IPCA+4%",IF(M2="Conservador Renda Construção","IPCA+4%",IF(M2="Conservador Renda Usufruto","IPCA+4%",IF(M2="Ultraconservador","IPCA+4%",""))))))))))</f>
        <v>IPCA+5%</v>
      </c>
      <c r="S2" s="3" t="s">
        <v>59</v>
      </c>
      <c r="T2" s="3" t="s">
        <v>59</v>
      </c>
      <c r="U2" s="3" t="s">
        <v>59</v>
      </c>
      <c r="V2" s="130"/>
      <c r="W2" s="3" t="s">
        <v>59</v>
      </c>
      <c r="X2" s="3" t="s">
        <v>59</v>
      </c>
      <c r="Y2" s="3"/>
      <c r="Z2" s="114" t="s">
        <v>60</v>
      </c>
      <c r="AA2" s="159">
        <v>900311.38</v>
      </c>
      <c r="AB2" s="78">
        <v>910266.93</v>
      </c>
      <c r="AC2" s="78">
        <v>927254.9</v>
      </c>
      <c r="AD2" s="78">
        <v>949670.15</v>
      </c>
      <c r="AE2" s="78">
        <v>954114.35</v>
      </c>
      <c r="AF2" s="78">
        <v>961257.49</v>
      </c>
      <c r="AG2" s="78">
        <v>960593.51</v>
      </c>
      <c r="AH2" s="78">
        <v>972543.57</v>
      </c>
      <c r="AI2" s="78">
        <v>989595.67</v>
      </c>
      <c r="AJ2" s="78">
        <v>994207.21</v>
      </c>
      <c r="AK2" s="78">
        <v>1003862.97</v>
      </c>
      <c r="AL2" s="78">
        <v>1019866.39</v>
      </c>
      <c r="AM2" s="78">
        <v>1034089.32</v>
      </c>
      <c r="AN2" s="111">
        <v>1195391.0900000001</v>
      </c>
      <c r="AO2" s="78">
        <v>1578221.39</v>
      </c>
      <c r="AP2" s="78">
        <v>1617757.12</v>
      </c>
      <c r="AQ2" s="78">
        <v>1630257.0221929101</v>
      </c>
      <c r="AR2" s="79">
        <v>1654714.92</v>
      </c>
      <c r="AS2" s="79">
        <v>1703653</v>
      </c>
      <c r="AT2" s="122">
        <v>1750764.524</v>
      </c>
      <c r="AU2" s="122">
        <v>1753655.05</v>
      </c>
      <c r="AV2" s="122">
        <v>1797127.2390000001</v>
      </c>
      <c r="AW2" s="152"/>
      <c r="AX2" s="152"/>
      <c r="AY2" s="152"/>
    </row>
    <row r="3" spans="1:51" ht="15">
      <c r="A3" s="1" t="s">
        <v>48</v>
      </c>
      <c r="B3" s="5" t="s">
        <v>61</v>
      </c>
      <c r="C3" s="5" t="s">
        <v>61</v>
      </c>
      <c r="D3" s="5" t="s">
        <v>62</v>
      </c>
      <c r="E3" s="3" t="s">
        <v>50</v>
      </c>
      <c r="F3" s="3" t="s">
        <v>63</v>
      </c>
      <c r="G3" s="5" t="s">
        <v>64</v>
      </c>
      <c r="H3" s="6">
        <v>5166121</v>
      </c>
      <c r="I3" s="2" t="s">
        <v>65</v>
      </c>
      <c r="J3" s="2" t="s">
        <v>54</v>
      </c>
      <c r="K3" s="7">
        <v>46051</v>
      </c>
      <c r="L3" s="7" t="s">
        <v>55</v>
      </c>
      <c r="M3" s="3" t="s">
        <v>66</v>
      </c>
      <c r="N3" s="3" t="s">
        <v>67</v>
      </c>
      <c r="O3" s="112">
        <v>47043</v>
      </c>
      <c r="P3" s="112">
        <v>47104</v>
      </c>
      <c r="Q3" s="112" t="s">
        <v>68</v>
      </c>
      <c r="R3" s="3" t="str">
        <f ca="1">IF(M3="Arrojado","IPCA+6%",IF(M3="Arrojado Renda Construção","IPCA+6%",IF(M3="Arrojado Renda Usufruto","IPCA+6%",IF(M3="Moderado","IPCA+5%",IF(M3="Moderado Renda Construção","IPCA+5%",IF(M3="Moderado Renda Usufruto","IPCA+5%",IF(M3="Conservador","IPCA+4%",IF(M3="Conservador Renda Construção","IPCA+4%",IF(M3="Conservador Renda Usufruto","IPCA+4%",IF(M3="Ultraconservador","IPCA+4%",""))))))))))</f>
        <v>IPCA+4%</v>
      </c>
      <c r="S3" s="3" t="s">
        <v>69</v>
      </c>
      <c r="T3" s="3" t="s">
        <v>69</v>
      </c>
      <c r="U3" s="3" t="s">
        <v>59</v>
      </c>
      <c r="V3" s="130" t="s">
        <v>70</v>
      </c>
      <c r="W3" s="3" t="s">
        <v>59</v>
      </c>
      <c r="X3" s="3" t="s">
        <v>59</v>
      </c>
      <c r="Y3" s="3" t="s">
        <v>71</v>
      </c>
      <c r="Z3" s="114" t="s">
        <v>72</v>
      </c>
      <c r="AA3" s="78">
        <v>1099204.07</v>
      </c>
      <c r="AB3" s="78">
        <v>6460453.4000000004</v>
      </c>
      <c r="AC3" s="78">
        <v>11037679.58</v>
      </c>
      <c r="AD3" s="78">
        <v>603262.06999999995</v>
      </c>
      <c r="AE3" s="78">
        <v>1500000</v>
      </c>
      <c r="AF3" s="78">
        <v>400490.81</v>
      </c>
      <c r="AG3" s="78">
        <v>0</v>
      </c>
      <c r="AH3" s="78">
        <v>2306715.96</v>
      </c>
      <c r="AI3" s="78">
        <v>3939262.16</v>
      </c>
      <c r="AJ3" s="78">
        <v>4063398.84</v>
      </c>
      <c r="AK3" s="78">
        <v>5562273.4900000002</v>
      </c>
      <c r="AL3" s="78">
        <v>10847606.140000001</v>
      </c>
      <c r="AM3" s="78">
        <v>7000000</v>
      </c>
      <c r="AN3" s="111">
        <v>9718990.9700000007</v>
      </c>
      <c r="AO3" s="78">
        <v>1348548.5</v>
      </c>
      <c r="AP3" s="78">
        <v>907954.18</v>
      </c>
      <c r="AQ3" s="78">
        <v>4005845.6448764298</v>
      </c>
      <c r="AR3" s="79">
        <v>901.15</v>
      </c>
      <c r="AS3" s="79">
        <v>1500886</v>
      </c>
      <c r="AT3" s="122">
        <v>8874422.4680000003</v>
      </c>
      <c r="AU3" s="122">
        <v>13022474.24</v>
      </c>
      <c r="AV3" s="122">
        <v>15580139.289999999</v>
      </c>
      <c r="AW3" s="152"/>
      <c r="AX3" s="152"/>
      <c r="AY3" s="152"/>
    </row>
    <row r="4" spans="1:51">
      <c r="A4" s="115" t="s">
        <v>73</v>
      </c>
      <c r="B4" s="5" t="s">
        <v>74</v>
      </c>
      <c r="C4" s="116" t="s">
        <v>75</v>
      </c>
      <c r="D4" s="116" t="s">
        <v>76</v>
      </c>
      <c r="E4" s="117" t="s">
        <v>50</v>
      </c>
      <c r="F4" s="117" t="s">
        <v>51</v>
      </c>
      <c r="G4" s="116" t="s">
        <v>77</v>
      </c>
      <c r="H4" s="118">
        <v>5370995</v>
      </c>
      <c r="I4" s="119" t="s">
        <v>78</v>
      </c>
      <c r="J4" s="119" t="s">
        <v>54</v>
      </c>
      <c r="K4" s="112"/>
      <c r="L4" s="112" t="s">
        <v>55</v>
      </c>
      <c r="M4" s="117" t="s">
        <v>56</v>
      </c>
      <c r="N4" s="117" t="s">
        <v>79</v>
      </c>
      <c r="O4" s="112">
        <v>46390</v>
      </c>
      <c r="P4" s="112">
        <v>46844</v>
      </c>
      <c r="Q4" s="112" t="s">
        <v>80</v>
      </c>
      <c r="R4" s="3" t="str">
        <f ca="1">IF(M4="Arrojado","IPCA+6%",IF(M4="Arrojado Renda Construção","IPCA+6%",IF(M4="Arrojado Renda Usufruto","IPCA+6%",IF(M4="Moderado","IPCA+5%",IF(M4="Moderado Renda Construção","IPCA+5%",IF(M4="Moderado Renda Usufruto","IPCA+5%",IF(M4="Conservador","IPCA+4%",IF(M4="Conservador Renda Construção","IPCA+4%",IF(M4="Conservador Renda Usufruto","IPCA+4%",IF(M4="Ultraconservador","IPCA+4%",""))))))))))</f>
        <v>IPCA+5%</v>
      </c>
      <c r="S4" s="117" t="s">
        <v>59</v>
      </c>
      <c r="T4" s="117"/>
      <c r="U4" s="117"/>
      <c r="V4" s="131"/>
      <c r="W4" s="117"/>
      <c r="X4" s="117"/>
      <c r="Y4" s="117"/>
      <c r="Z4" s="120" t="s">
        <v>81</v>
      </c>
      <c r="AA4" s="121">
        <v>1505.95</v>
      </c>
      <c r="AB4" s="121">
        <v>1520.91</v>
      </c>
      <c r="AC4" s="121">
        <v>1535.62</v>
      </c>
      <c r="AD4" s="121">
        <v>1552.11</v>
      </c>
      <c r="AE4" s="121">
        <v>15923.05</v>
      </c>
      <c r="AF4" s="121">
        <v>16095.12</v>
      </c>
      <c r="AG4" s="121">
        <v>16291.21</v>
      </c>
      <c r="AH4" s="121">
        <v>16472.34</v>
      </c>
      <c r="AI4" s="121">
        <v>16642.68</v>
      </c>
      <c r="AJ4" s="121">
        <v>16863.72</v>
      </c>
      <c r="AK4" s="121">
        <v>16908.599999999999</v>
      </c>
      <c r="AL4" s="121">
        <v>18106.21</v>
      </c>
      <c r="AM4" s="121">
        <v>18295.93</v>
      </c>
      <c r="AN4" s="122">
        <v>18485.490000000002</v>
      </c>
      <c r="AO4" s="121">
        <v>18888.949999999997</v>
      </c>
      <c r="AP4" s="121">
        <v>19270.990000000002</v>
      </c>
      <c r="AQ4" s="121">
        <v>19320.840000000004</v>
      </c>
      <c r="AR4" s="122">
        <v>19431.05</v>
      </c>
      <c r="AS4" s="122">
        <v>19653.300000000003</v>
      </c>
      <c r="AT4" s="122">
        <v>19853.27</v>
      </c>
      <c r="AU4" s="122">
        <v>20022.189999999999</v>
      </c>
      <c r="AV4" s="122">
        <v>20155.169999999998</v>
      </c>
    </row>
    <row r="5" spans="1:51" ht="15">
      <c r="A5" s="1" t="s">
        <v>48</v>
      </c>
      <c r="B5" s="5" t="s">
        <v>82</v>
      </c>
      <c r="C5" s="5" t="s">
        <v>82</v>
      </c>
      <c r="D5" s="5" t="s">
        <v>83</v>
      </c>
      <c r="E5" s="3" t="s">
        <v>50</v>
      </c>
      <c r="F5" s="3" t="s">
        <v>51</v>
      </c>
      <c r="G5" s="5" t="s">
        <v>84</v>
      </c>
      <c r="H5" s="6" t="s">
        <v>85</v>
      </c>
      <c r="I5" s="2" t="s">
        <v>86</v>
      </c>
      <c r="J5" s="82" t="s">
        <v>87</v>
      </c>
      <c r="K5" s="7">
        <v>46273</v>
      </c>
      <c r="L5" s="7" t="s">
        <v>55</v>
      </c>
      <c r="M5" s="3"/>
      <c r="N5" s="3" t="s">
        <v>67</v>
      </c>
      <c r="O5" s="112">
        <v>46656</v>
      </c>
      <c r="P5" s="112">
        <v>46629</v>
      </c>
      <c r="Q5" s="112" t="s">
        <v>58</v>
      </c>
      <c r="R5" s="3"/>
      <c r="S5" s="3"/>
      <c r="T5" s="3"/>
      <c r="U5" s="3"/>
      <c r="V5" s="130"/>
      <c r="W5" s="3"/>
      <c r="X5" s="3"/>
      <c r="Y5" s="3"/>
      <c r="Z5" s="114" t="s">
        <v>88</v>
      </c>
      <c r="AA5" s="78">
        <v>0</v>
      </c>
      <c r="AB5" s="78">
        <v>0</v>
      </c>
      <c r="AC5" s="78">
        <v>0</v>
      </c>
      <c r="AD5" s="78">
        <v>0</v>
      </c>
      <c r="AE5" s="78">
        <v>0</v>
      </c>
      <c r="AF5" s="78">
        <v>0</v>
      </c>
      <c r="AG5" s="78">
        <v>0</v>
      </c>
      <c r="AH5" s="78">
        <v>0</v>
      </c>
      <c r="AI5" s="78">
        <v>0</v>
      </c>
      <c r="AJ5" s="78">
        <v>0</v>
      </c>
      <c r="AK5" s="78">
        <v>0</v>
      </c>
      <c r="AL5" s="78">
        <v>0</v>
      </c>
      <c r="AM5" s="78">
        <v>0</v>
      </c>
      <c r="AN5" s="78">
        <v>0</v>
      </c>
      <c r="AO5" s="78">
        <v>0</v>
      </c>
      <c r="AP5" s="78">
        <v>0</v>
      </c>
      <c r="AQ5" s="78">
        <v>0</v>
      </c>
      <c r="AR5" s="78">
        <v>0</v>
      </c>
      <c r="AS5" s="78">
        <v>0</v>
      </c>
      <c r="AT5" s="78"/>
      <c r="AU5" s="160">
        <v>2620106.2200000002</v>
      </c>
      <c r="AV5" s="160">
        <v>2636112.1320000002</v>
      </c>
      <c r="AW5" s="152"/>
      <c r="AX5" s="152"/>
      <c r="AY5" s="152"/>
    </row>
    <row r="6" spans="1:51" ht="15">
      <c r="A6" s="1" t="s">
        <v>89</v>
      </c>
      <c r="B6" s="5" t="s">
        <v>82</v>
      </c>
      <c r="C6" s="5" t="s">
        <v>82</v>
      </c>
      <c r="D6" s="5" t="s">
        <v>90</v>
      </c>
      <c r="E6" s="3" t="s">
        <v>50</v>
      </c>
      <c r="F6" s="3" t="s">
        <v>51</v>
      </c>
      <c r="G6" s="5" t="s">
        <v>91</v>
      </c>
      <c r="H6" s="6" t="s">
        <v>92</v>
      </c>
      <c r="I6" s="2" t="s">
        <v>86</v>
      </c>
      <c r="J6" s="82" t="s">
        <v>87</v>
      </c>
      <c r="K6" s="7"/>
      <c r="L6" s="7" t="s">
        <v>55</v>
      </c>
      <c r="M6" s="3"/>
      <c r="N6" s="3" t="s">
        <v>67</v>
      </c>
      <c r="O6" s="112"/>
      <c r="P6" s="112">
        <v>46990</v>
      </c>
      <c r="Q6" s="112" t="s">
        <v>58</v>
      </c>
      <c r="R6" s="3"/>
      <c r="S6" s="3"/>
      <c r="T6" s="3"/>
      <c r="U6" s="3"/>
      <c r="V6" s="130"/>
      <c r="W6" s="3"/>
      <c r="X6" s="3"/>
      <c r="Y6" s="3"/>
      <c r="Z6" s="114" t="s">
        <v>93</v>
      </c>
      <c r="AA6" s="78">
        <v>0</v>
      </c>
      <c r="AB6" s="78">
        <v>0</v>
      </c>
      <c r="AC6" s="78">
        <v>0</v>
      </c>
      <c r="AD6" s="78">
        <v>0</v>
      </c>
      <c r="AE6" s="78">
        <v>0</v>
      </c>
      <c r="AF6" s="78">
        <v>0</v>
      </c>
      <c r="AG6" s="78">
        <v>0</v>
      </c>
      <c r="AH6" s="78">
        <v>0</v>
      </c>
      <c r="AI6" s="78">
        <v>0</v>
      </c>
      <c r="AJ6" s="78">
        <v>0</v>
      </c>
      <c r="AK6" s="78">
        <v>0</v>
      </c>
      <c r="AL6" s="78">
        <v>0</v>
      </c>
      <c r="AM6" s="78">
        <v>0</v>
      </c>
      <c r="AN6" s="78">
        <v>0</v>
      </c>
      <c r="AO6" s="78">
        <v>0</v>
      </c>
      <c r="AP6" s="78">
        <v>0</v>
      </c>
      <c r="AQ6" s="78">
        <v>0</v>
      </c>
      <c r="AR6" s="78">
        <v>0</v>
      </c>
      <c r="AS6" s="78">
        <v>0</v>
      </c>
      <c r="AT6" s="78">
        <v>0</v>
      </c>
      <c r="AU6" s="78">
        <v>1519909.42</v>
      </c>
      <c r="AV6" s="78">
        <v>980000</v>
      </c>
      <c r="AW6" s="152"/>
      <c r="AX6" s="152"/>
      <c r="AY6" s="152"/>
    </row>
    <row r="7" spans="1:51" ht="15">
      <c r="A7" s="1" t="s">
        <v>48</v>
      </c>
      <c r="B7" s="5" t="s">
        <v>82</v>
      </c>
      <c r="C7" s="5" t="s">
        <v>82</v>
      </c>
      <c r="D7" s="5" t="s">
        <v>90</v>
      </c>
      <c r="E7" s="3" t="s">
        <v>50</v>
      </c>
      <c r="F7" s="3" t="s">
        <v>51</v>
      </c>
      <c r="G7" s="5" t="s">
        <v>94</v>
      </c>
      <c r="H7" s="6">
        <v>2027022</v>
      </c>
      <c r="I7" s="2" t="s">
        <v>86</v>
      </c>
      <c r="J7" s="82" t="s">
        <v>87</v>
      </c>
      <c r="K7" s="7">
        <v>46254</v>
      </c>
      <c r="L7" s="7" t="s">
        <v>55</v>
      </c>
      <c r="M7" s="3"/>
      <c r="N7" s="3" t="s">
        <v>67</v>
      </c>
      <c r="O7" s="112">
        <v>46948</v>
      </c>
      <c r="P7" s="112">
        <v>46620</v>
      </c>
      <c r="Q7" s="112" t="s">
        <v>58</v>
      </c>
      <c r="R7" s="3"/>
      <c r="S7" s="3"/>
      <c r="T7" s="3"/>
      <c r="U7" s="3"/>
      <c r="V7" s="130"/>
      <c r="W7" s="3"/>
      <c r="X7" s="3"/>
      <c r="Y7" s="3"/>
      <c r="Z7" s="114" t="s">
        <v>93</v>
      </c>
      <c r="AA7" s="78">
        <v>0</v>
      </c>
      <c r="AB7" s="78">
        <v>0</v>
      </c>
      <c r="AC7" s="78">
        <v>0</v>
      </c>
      <c r="AD7" s="78">
        <v>0</v>
      </c>
      <c r="AE7" s="78">
        <v>0</v>
      </c>
      <c r="AF7" s="78">
        <v>0</v>
      </c>
      <c r="AG7" s="78">
        <v>0</v>
      </c>
      <c r="AH7" s="78">
        <v>0</v>
      </c>
      <c r="AI7" s="78">
        <v>0</v>
      </c>
      <c r="AJ7" s="78">
        <v>0</v>
      </c>
      <c r="AK7" s="78">
        <v>0</v>
      </c>
      <c r="AL7" s="78">
        <v>0</v>
      </c>
      <c r="AM7" s="78">
        <v>0</v>
      </c>
      <c r="AN7" s="78">
        <v>0</v>
      </c>
      <c r="AO7" s="78">
        <v>0</v>
      </c>
      <c r="AP7" s="78">
        <v>0</v>
      </c>
      <c r="AQ7" s="78">
        <v>0</v>
      </c>
      <c r="AR7" s="78">
        <v>0</v>
      </c>
      <c r="AS7" s="78">
        <v>0</v>
      </c>
      <c r="AT7" s="78">
        <v>682857.25379999995</v>
      </c>
      <c r="AU7" s="160">
        <v>779293.76</v>
      </c>
      <c r="AV7" s="160">
        <v>1487579.2560000001</v>
      </c>
      <c r="AW7" s="152"/>
      <c r="AX7" s="152"/>
      <c r="AY7" s="152"/>
    </row>
    <row r="8" spans="1:51">
      <c r="A8" s="1" t="s">
        <v>95</v>
      </c>
      <c r="B8" s="5" t="s">
        <v>82</v>
      </c>
      <c r="C8" s="5" t="s">
        <v>82</v>
      </c>
      <c r="D8" s="5" t="s">
        <v>90</v>
      </c>
      <c r="E8" s="3" t="s">
        <v>50</v>
      </c>
      <c r="F8" s="3" t="s">
        <v>51</v>
      </c>
      <c r="G8" s="5" t="s">
        <v>96</v>
      </c>
      <c r="H8" s="6" t="s">
        <v>97</v>
      </c>
      <c r="I8" s="2" t="s">
        <v>86</v>
      </c>
      <c r="J8" s="82" t="s">
        <v>87</v>
      </c>
      <c r="K8" s="7"/>
      <c r="L8" s="7" t="s">
        <v>55</v>
      </c>
      <c r="M8" s="3"/>
      <c r="N8" s="3" t="s">
        <v>67</v>
      </c>
      <c r="O8" s="112">
        <v>46948</v>
      </c>
      <c r="P8" s="112">
        <v>46620</v>
      </c>
      <c r="Q8" s="112" t="s">
        <v>58</v>
      </c>
      <c r="R8" s="3"/>
      <c r="S8" s="3"/>
      <c r="T8" s="3"/>
      <c r="U8" s="3"/>
      <c r="V8" s="130"/>
      <c r="W8" s="3"/>
      <c r="X8" s="3"/>
      <c r="Y8" s="3"/>
      <c r="Z8" s="114" t="s">
        <v>93</v>
      </c>
      <c r="AA8" s="78">
        <v>0</v>
      </c>
      <c r="AB8" s="78">
        <v>0</v>
      </c>
      <c r="AC8" s="78">
        <v>0</v>
      </c>
      <c r="AD8" s="78">
        <v>0</v>
      </c>
      <c r="AE8" s="78">
        <v>0</v>
      </c>
      <c r="AF8" s="78">
        <v>0</v>
      </c>
      <c r="AG8" s="78">
        <v>0</v>
      </c>
      <c r="AH8" s="78">
        <v>0</v>
      </c>
      <c r="AI8" s="78">
        <v>0</v>
      </c>
      <c r="AJ8" s="78">
        <v>0</v>
      </c>
      <c r="AK8" s="78">
        <v>0</v>
      </c>
      <c r="AL8" s="78">
        <v>0</v>
      </c>
      <c r="AM8" s="78">
        <v>0</v>
      </c>
      <c r="AN8" s="78">
        <v>0</v>
      </c>
      <c r="AO8" s="78">
        <v>0</v>
      </c>
      <c r="AP8" s="78">
        <v>0</v>
      </c>
      <c r="AQ8" s="78">
        <v>0</v>
      </c>
      <c r="AR8" s="78">
        <v>0</v>
      </c>
      <c r="AS8" s="78">
        <v>0</v>
      </c>
      <c r="AT8" s="78"/>
      <c r="AU8" s="160"/>
      <c r="AV8" s="80">
        <v>18680.27</v>
      </c>
    </row>
    <row r="9" spans="1:51">
      <c r="A9" s="1" t="s">
        <v>48</v>
      </c>
      <c r="B9" s="5" t="s">
        <v>98</v>
      </c>
      <c r="C9" s="5" t="s">
        <v>98</v>
      </c>
      <c r="D9" s="5" t="s">
        <v>99</v>
      </c>
      <c r="E9" s="3" t="s">
        <v>100</v>
      </c>
      <c r="F9" s="3" t="s">
        <v>51</v>
      </c>
      <c r="G9" s="5" t="s">
        <v>101</v>
      </c>
      <c r="H9" s="6">
        <v>19301650</v>
      </c>
      <c r="I9" s="2" t="s">
        <v>53</v>
      </c>
      <c r="J9" s="2" t="s">
        <v>54</v>
      </c>
      <c r="K9" s="7">
        <v>46100</v>
      </c>
      <c r="L9" s="7" t="s">
        <v>55</v>
      </c>
      <c r="M9" s="3" t="s">
        <v>102</v>
      </c>
      <c r="N9" s="3" t="s">
        <v>67</v>
      </c>
      <c r="O9" s="112">
        <v>46832</v>
      </c>
      <c r="P9" s="112">
        <v>46815</v>
      </c>
      <c r="Q9" s="112" t="s">
        <v>58</v>
      </c>
      <c r="R9" s="3" t="str">
        <f ca="1">IF(M9="Arrojado","IPCA+6%",IF(M9="Arrojado Renda Construção","IPCA+6%",IF(M9="Arrojado Renda Usufruto","IPCA+6%",IF(M9="Moderado","IPCA+5%",IF(M9="Moderado Renda Construção","IPCA+5%",IF(M9="Moderado Renda Usufruto","IPCA+5%",IF(M9="Conservador","IPCA+4%",IF(M9="Conservador Renda Construção","IPCA+4%",IF(M9="Conservador Renda Usufruto","IPCA+4%",IF(M9="Ultraconservador","IPCA+4%",""))))))))))</f>
        <v>IPCA+4%</v>
      </c>
      <c r="S9" s="3" t="s">
        <v>59</v>
      </c>
      <c r="T9" s="3"/>
      <c r="U9" s="3"/>
      <c r="V9" s="130"/>
      <c r="W9" s="3"/>
      <c r="X9" s="3"/>
      <c r="Y9" s="3"/>
      <c r="Z9" s="114" t="s">
        <v>103</v>
      </c>
      <c r="AA9" s="78">
        <v>0</v>
      </c>
      <c r="AB9" s="78">
        <v>0</v>
      </c>
      <c r="AC9" s="78">
        <v>0</v>
      </c>
      <c r="AD9" s="78">
        <v>0</v>
      </c>
      <c r="AE9" s="78">
        <v>0</v>
      </c>
      <c r="AF9" s="78">
        <v>0</v>
      </c>
      <c r="AG9" s="78">
        <v>0</v>
      </c>
      <c r="AH9" s="78">
        <v>0</v>
      </c>
      <c r="AI9" s="78">
        <v>0</v>
      </c>
      <c r="AJ9" s="78">
        <v>0</v>
      </c>
      <c r="AK9" s="78">
        <v>0</v>
      </c>
      <c r="AL9" s="78">
        <v>0</v>
      </c>
      <c r="AM9" s="78">
        <v>0</v>
      </c>
      <c r="AN9" s="111" t="s">
        <v>104</v>
      </c>
      <c r="AO9" s="78">
        <v>0</v>
      </c>
      <c r="AP9" s="78">
        <v>0</v>
      </c>
      <c r="AQ9" s="78">
        <v>0</v>
      </c>
      <c r="AR9" s="79">
        <v>0</v>
      </c>
      <c r="AS9" s="79">
        <v>0</v>
      </c>
      <c r="AT9" s="122">
        <v>0</v>
      </c>
      <c r="AU9" s="122" t="s">
        <v>105</v>
      </c>
      <c r="AV9" s="122">
        <v>0</v>
      </c>
    </row>
    <row r="10" spans="1:51" ht="15">
      <c r="A10" s="1" t="s">
        <v>106</v>
      </c>
      <c r="B10" s="5" t="s">
        <v>107</v>
      </c>
      <c r="C10" s="5" t="s">
        <v>108</v>
      </c>
      <c r="D10" s="5" t="s">
        <v>109</v>
      </c>
      <c r="E10" s="3" t="s">
        <v>100</v>
      </c>
      <c r="F10" s="3" t="s">
        <v>51</v>
      </c>
      <c r="G10" s="5" t="s">
        <v>110</v>
      </c>
      <c r="H10" s="6">
        <v>35704002</v>
      </c>
      <c r="I10" s="2" t="s">
        <v>111</v>
      </c>
      <c r="J10" s="2" t="s">
        <v>54</v>
      </c>
      <c r="K10" s="7"/>
      <c r="L10" s="7" t="s">
        <v>55</v>
      </c>
      <c r="M10" s="3" t="s">
        <v>112</v>
      </c>
      <c r="N10" s="3"/>
      <c r="O10" s="112"/>
      <c r="P10" s="112"/>
      <c r="Q10" s="112" t="s">
        <v>58</v>
      </c>
      <c r="R10" s="3" t="str">
        <f ca="1">IF(M10="Arrojado","IPCA+6%",IF(M10="Arrojado Renda Construção","IPCA+6%",IF(M10="Arrojado Renda Usufruto","IPCA+6%",IF(M10="Moderado","IPCA+5%",IF(M10="Moderado Renda Construção","IPCA+5%",IF(M10="Moderado Renda Usufruto","IPCA+5%",IF(M10="Conservador","IPCA+4%",IF(M10="Conservador Renda Construção","IPCA+4%",IF(M10="Conservador Renda Usufruto","IPCA+4%",IF(M10="Ultraconservador","IPCA+4%",""))))))))))</f>
        <v>IPCA+4%</v>
      </c>
      <c r="S10" s="3" t="s">
        <v>69</v>
      </c>
      <c r="T10" s="3" t="s">
        <v>59</v>
      </c>
      <c r="U10" s="3" t="s">
        <v>59</v>
      </c>
      <c r="V10" s="130" t="s">
        <v>113</v>
      </c>
      <c r="W10" s="3" t="s">
        <v>59</v>
      </c>
      <c r="X10" s="3" t="s">
        <v>59</v>
      </c>
      <c r="Y10" s="3" t="s">
        <v>71</v>
      </c>
      <c r="Z10" s="114" t="s">
        <v>114</v>
      </c>
      <c r="AA10" s="77">
        <v>0</v>
      </c>
      <c r="AB10" s="77">
        <v>0</v>
      </c>
      <c r="AC10" s="77">
        <v>0</v>
      </c>
      <c r="AD10" s="77">
        <v>0</v>
      </c>
      <c r="AE10" s="77">
        <v>0</v>
      </c>
      <c r="AF10" s="77">
        <v>0</v>
      </c>
      <c r="AG10" s="77">
        <v>0</v>
      </c>
      <c r="AH10" s="77">
        <v>0</v>
      </c>
      <c r="AI10" s="77">
        <v>0</v>
      </c>
      <c r="AJ10" s="77">
        <v>0</v>
      </c>
      <c r="AK10" s="77">
        <v>0</v>
      </c>
      <c r="AL10" s="77">
        <v>0</v>
      </c>
      <c r="AM10" s="77">
        <v>7414.92</v>
      </c>
      <c r="AN10" s="77">
        <v>122657.41</v>
      </c>
      <c r="AO10" s="77">
        <v>122853.14</v>
      </c>
      <c r="AP10" s="77">
        <v>120608.12</v>
      </c>
      <c r="AQ10" s="80">
        <v>168874.29</v>
      </c>
      <c r="AR10" s="80">
        <v>169555.33</v>
      </c>
      <c r="AS10" s="80">
        <v>166272.82999999999</v>
      </c>
      <c r="AT10" s="132">
        <v>166346.32999999999</v>
      </c>
      <c r="AU10" s="132">
        <v>156872.32000000001</v>
      </c>
      <c r="AV10" s="132">
        <v>160709.84</v>
      </c>
      <c r="AW10" s="152"/>
      <c r="AX10" s="152"/>
      <c r="AY10" s="152"/>
    </row>
    <row r="11" spans="1:51" ht="15">
      <c r="A11" s="1" t="s">
        <v>48</v>
      </c>
      <c r="B11" s="5" t="s">
        <v>115</v>
      </c>
      <c r="C11" s="5" t="s">
        <v>115</v>
      </c>
      <c r="D11" s="5" t="s">
        <v>115</v>
      </c>
      <c r="E11" s="3" t="s">
        <v>50</v>
      </c>
      <c r="F11" s="3" t="s">
        <v>51</v>
      </c>
      <c r="G11" s="5" t="s">
        <v>116</v>
      </c>
      <c r="H11" s="6">
        <v>3082235</v>
      </c>
      <c r="I11" s="2" t="s">
        <v>117</v>
      </c>
      <c r="J11" s="2" t="s">
        <v>54</v>
      </c>
      <c r="K11" s="7">
        <v>45595</v>
      </c>
      <c r="L11" s="7" t="s">
        <v>55</v>
      </c>
      <c r="M11" s="3" t="s">
        <v>56</v>
      </c>
      <c r="N11" s="3" t="s">
        <v>57</v>
      </c>
      <c r="O11" s="112">
        <v>46492</v>
      </c>
      <c r="P11" s="112">
        <v>46940</v>
      </c>
      <c r="Q11" s="112" t="s">
        <v>118</v>
      </c>
      <c r="R11" s="3" t="str">
        <f ca="1">IF(M11="Arrojado","IPCA+6%",IF(M11="Arrojado Renda Construção","IPCA+6%",IF(M11="Arrojado Renda Usufruto","IPCA+6%",IF(M11="Moderado","IPCA+5%",IF(M11="Moderado Renda Construção","IPCA+5%",IF(M11="Moderado Renda Usufruto","IPCA+5%",IF(M11="Conservador","IPCA+4%",IF(M11="Conservador Renda Construção","IPCA+4%",IF(M11="Conservador Renda Usufruto","IPCA+4%",IF(M11="Ultraconservador","IPCA+4%",""))))))))))</f>
        <v>IPCA+5%</v>
      </c>
      <c r="S11" s="3" t="s">
        <v>59</v>
      </c>
      <c r="T11" s="3" t="s">
        <v>59</v>
      </c>
      <c r="U11" s="3" t="s">
        <v>59</v>
      </c>
      <c r="V11" s="156" t="s">
        <v>119</v>
      </c>
      <c r="W11" s="3" t="s">
        <v>59</v>
      </c>
      <c r="X11" s="3" t="s">
        <v>59</v>
      </c>
      <c r="Y11" s="3" t="s">
        <v>71</v>
      </c>
      <c r="Z11" s="114" t="s">
        <v>120</v>
      </c>
      <c r="AA11" s="78">
        <v>842859.53</v>
      </c>
      <c r="AB11" s="78">
        <v>821310.58</v>
      </c>
      <c r="AC11" s="78">
        <v>827859.33</v>
      </c>
      <c r="AD11" s="78">
        <v>834896.68</v>
      </c>
      <c r="AE11" s="78">
        <v>839153.8</v>
      </c>
      <c r="AF11" s="78">
        <v>838196.09</v>
      </c>
      <c r="AG11" s="78">
        <v>834752.35</v>
      </c>
      <c r="AH11" s="78">
        <v>847631.12</v>
      </c>
      <c r="AI11" s="78">
        <v>856337.09</v>
      </c>
      <c r="AJ11" s="78">
        <v>863470.66</v>
      </c>
      <c r="AK11" s="78">
        <v>886125.16</v>
      </c>
      <c r="AL11" s="78">
        <v>892471.32</v>
      </c>
      <c r="AM11" s="78">
        <v>904811.44</v>
      </c>
      <c r="AN11" s="111">
        <v>914312.18</v>
      </c>
      <c r="AO11" s="78">
        <v>907040.29</v>
      </c>
      <c r="AP11" s="78">
        <v>916034.78</v>
      </c>
      <c r="AQ11" s="78">
        <v>893089.05540009995</v>
      </c>
      <c r="AR11" s="79">
        <v>905436.55</v>
      </c>
      <c r="AS11" s="79">
        <v>912772.1</v>
      </c>
      <c r="AT11" s="122">
        <v>917994.11179999996</v>
      </c>
      <c r="AU11" s="122">
        <v>927063.89</v>
      </c>
      <c r="AV11" s="122">
        <v>949305.19400000002</v>
      </c>
      <c r="AW11" s="152"/>
      <c r="AX11" s="152"/>
      <c r="AY11" s="152"/>
    </row>
    <row r="12" spans="1:51" ht="15">
      <c r="A12" s="115" t="s">
        <v>73</v>
      </c>
      <c r="B12" s="116" t="s">
        <v>121</v>
      </c>
      <c r="C12" s="116" t="s">
        <v>122</v>
      </c>
      <c r="D12" s="116" t="s">
        <v>121</v>
      </c>
      <c r="E12" s="117" t="s">
        <v>100</v>
      </c>
      <c r="F12" s="117" t="s">
        <v>123</v>
      </c>
      <c r="G12" s="116" t="s">
        <v>124</v>
      </c>
      <c r="H12" s="118">
        <v>23572514</v>
      </c>
      <c r="I12" s="119" t="s">
        <v>125</v>
      </c>
      <c r="J12" s="119" t="s">
        <v>54</v>
      </c>
      <c r="K12" s="112"/>
      <c r="L12" s="112" t="s">
        <v>55</v>
      </c>
      <c r="M12" s="117" t="s">
        <v>66</v>
      </c>
      <c r="N12" s="117" t="s">
        <v>79</v>
      </c>
      <c r="O12" s="112">
        <v>46850</v>
      </c>
      <c r="P12" s="112">
        <v>47215</v>
      </c>
      <c r="Q12" s="112" t="s">
        <v>118</v>
      </c>
      <c r="R12" s="3" t="str">
        <f ca="1">IF(M12="Arrojado","IPCA+6%",IF(M12="Arrojado Renda Construção","IPCA+6%",IF(M12="Arrojado Renda Usufruto","IPCA+6%",IF(M12="Moderado","IPCA+5%",IF(M12="Moderado Renda Construção","IPCA+5%",IF(M12="Moderado Renda Usufruto","IPCA+5%",IF(M12="Conservador","IPCA+4%",IF(M12="Conservador Renda Construção","IPCA+4%",IF(M12="Conservador Renda Usufruto","IPCA+4%",IF(M12="Ultraconservador","IPCA+4%",""))))))))))</f>
        <v>IPCA+4%</v>
      </c>
      <c r="S12" s="117" t="s">
        <v>69</v>
      </c>
      <c r="T12" s="117" t="s">
        <v>69</v>
      </c>
      <c r="U12" s="117" t="s">
        <v>69</v>
      </c>
      <c r="V12" s="131" t="s">
        <v>126</v>
      </c>
      <c r="W12" s="117" t="s">
        <v>59</v>
      </c>
      <c r="X12" s="117" t="s">
        <v>59</v>
      </c>
      <c r="Y12" s="117"/>
      <c r="Z12" s="120" t="s">
        <v>127</v>
      </c>
      <c r="AA12" s="121">
        <v>0</v>
      </c>
      <c r="AB12" s="121">
        <v>0</v>
      </c>
      <c r="AC12" s="121">
        <v>0</v>
      </c>
      <c r="AD12" s="121">
        <v>0</v>
      </c>
      <c r="AE12" s="121">
        <v>0</v>
      </c>
      <c r="AF12" s="121">
        <v>0</v>
      </c>
      <c r="AG12" s="121">
        <v>0</v>
      </c>
      <c r="AH12" s="121">
        <v>0</v>
      </c>
      <c r="AI12" s="121">
        <v>0</v>
      </c>
      <c r="AJ12" s="121">
        <v>0</v>
      </c>
      <c r="AK12" s="121">
        <v>0</v>
      </c>
      <c r="AL12" s="121">
        <v>0</v>
      </c>
      <c r="AM12" s="121">
        <v>0</v>
      </c>
      <c r="AN12" s="122" t="s">
        <v>104</v>
      </c>
      <c r="AO12" s="121">
        <v>0</v>
      </c>
      <c r="AP12" s="121">
        <v>4570350.7600000007</v>
      </c>
      <c r="AQ12" s="121">
        <v>4471753.290000001</v>
      </c>
      <c r="AR12" s="122">
        <v>4363869.0599999996</v>
      </c>
      <c r="AS12" s="122">
        <v>4268441.92</v>
      </c>
      <c r="AT12" s="122">
        <v>4162540.61</v>
      </c>
      <c r="AU12" s="122">
        <v>2463489.4900000002</v>
      </c>
      <c r="AV12" s="122">
        <v>2474124.06</v>
      </c>
      <c r="AW12" s="152"/>
      <c r="AX12" s="152"/>
      <c r="AY12" s="152"/>
    </row>
    <row r="13" spans="1:51" ht="15">
      <c r="A13" s="1" t="s">
        <v>48</v>
      </c>
      <c r="B13" s="5" t="s">
        <v>128</v>
      </c>
      <c r="C13" s="5" t="s">
        <v>128</v>
      </c>
      <c r="D13" s="5" t="s">
        <v>128</v>
      </c>
      <c r="E13" s="3" t="s">
        <v>100</v>
      </c>
      <c r="F13" s="3" t="s">
        <v>63</v>
      </c>
      <c r="G13" s="5" t="s">
        <v>129</v>
      </c>
      <c r="H13" s="6">
        <v>7153570</v>
      </c>
      <c r="I13" s="2" t="s">
        <v>78</v>
      </c>
      <c r="J13" s="82" t="s">
        <v>54</v>
      </c>
      <c r="K13" s="7">
        <v>46169</v>
      </c>
      <c r="L13" s="7"/>
      <c r="M13" s="3" t="s">
        <v>66</v>
      </c>
      <c r="N13" s="3" t="s">
        <v>57</v>
      </c>
      <c r="O13" s="112">
        <v>47250</v>
      </c>
      <c r="P13" s="112">
        <v>46695</v>
      </c>
      <c r="Q13" s="112" t="s">
        <v>130</v>
      </c>
      <c r="R13" s="3" t="str">
        <f ca="1">IF(M13="Arrojado","IPCA+6%",IF(M13="Arrojado Renda Construção","IPCA+6%",IF(M13="Arrojado Renda Usufruto","IPCA+6%",IF(M13="Moderado","IPCA+5%",IF(M13="Moderado Renda Construção","IPCA+5%",IF(M13="Moderado Renda Usufruto","IPCA+5%",IF(M13="Conservador","IPCA+4%",IF(M13="Conservador Renda Construção","IPCA+4%",IF(M13="Conservador Renda Usufruto","IPCA+4%",IF(M13="Ultraconservador","IPCA+4%",""))))))))))</f>
        <v>IPCA+4%</v>
      </c>
      <c r="S13" s="3" t="s">
        <v>59</v>
      </c>
      <c r="T13" s="3"/>
      <c r="U13" s="3"/>
      <c r="V13" s="130"/>
      <c r="W13" s="3"/>
      <c r="X13" s="3"/>
      <c r="Y13" s="3"/>
      <c r="Z13" s="114" t="s">
        <v>131</v>
      </c>
      <c r="AA13" s="79">
        <v>0</v>
      </c>
      <c r="AB13" s="79">
        <v>0</v>
      </c>
      <c r="AC13" s="79">
        <v>0</v>
      </c>
      <c r="AD13" s="79">
        <v>0</v>
      </c>
      <c r="AE13" s="79">
        <v>0</v>
      </c>
      <c r="AF13" s="79">
        <v>0</v>
      </c>
      <c r="AG13" s="79">
        <v>0</v>
      </c>
      <c r="AH13" s="79">
        <v>0</v>
      </c>
      <c r="AI13" s="79">
        <v>0</v>
      </c>
      <c r="AJ13" s="79">
        <v>0</v>
      </c>
      <c r="AK13" s="79">
        <v>0</v>
      </c>
      <c r="AL13" s="79">
        <v>0</v>
      </c>
      <c r="AM13" s="79">
        <v>0</v>
      </c>
      <c r="AN13" s="79">
        <v>2360</v>
      </c>
      <c r="AO13" s="79">
        <v>0</v>
      </c>
      <c r="AP13" s="79">
        <v>0</v>
      </c>
      <c r="AQ13" s="79">
        <v>0</v>
      </c>
      <c r="AR13" s="79">
        <v>465.95</v>
      </c>
      <c r="AS13" s="79">
        <v>465.95</v>
      </c>
      <c r="AT13" s="122">
        <v>465.95</v>
      </c>
      <c r="AU13" s="122">
        <v>465.95</v>
      </c>
      <c r="AV13" s="122">
        <v>465.95</v>
      </c>
      <c r="AW13" s="152"/>
      <c r="AX13" s="152"/>
      <c r="AY13" s="152"/>
    </row>
    <row r="14" spans="1:51">
      <c r="A14" s="1" t="s">
        <v>106</v>
      </c>
      <c r="B14" s="5" t="s">
        <v>132</v>
      </c>
      <c r="C14" s="5" t="s">
        <v>133</v>
      </c>
      <c r="D14" s="5" t="s">
        <v>134</v>
      </c>
      <c r="E14" s="3" t="s">
        <v>50</v>
      </c>
      <c r="F14" s="3" t="s">
        <v>63</v>
      </c>
      <c r="G14" s="5" t="s">
        <v>135</v>
      </c>
      <c r="H14" s="6">
        <v>53076915</v>
      </c>
      <c r="I14" s="2" t="s">
        <v>65</v>
      </c>
      <c r="J14" s="2" t="s">
        <v>54</v>
      </c>
      <c r="K14" s="7"/>
      <c r="L14" s="7" t="s">
        <v>55</v>
      </c>
      <c r="M14" s="3" t="s">
        <v>112</v>
      </c>
      <c r="N14" s="3" t="s">
        <v>67</v>
      </c>
      <c r="O14" s="112"/>
      <c r="P14" s="112"/>
      <c r="Q14" s="112" t="s">
        <v>136</v>
      </c>
      <c r="R14" s="3" t="str">
        <f ca="1">IF(M14="Arrojado","IPCA+6%",IF(M14="Arrojado Renda Construção","IPCA+6%",IF(M14="Arrojado Renda Usufruto","IPCA+6%",IF(M14="Moderado","IPCA+5%",IF(M14="Moderado Renda Construção","IPCA+5%",IF(M14="Moderado Renda Usufruto","IPCA+5%",IF(M14="Conservador","IPCA+4%",IF(M14="Conservador Renda Construção","IPCA+4%",IF(M14="Conservador Renda Usufruto","IPCA+4%",IF(M14="Ultraconservador","IPCA+4%",""))))))))))</f>
        <v>IPCA+4%</v>
      </c>
      <c r="S14" s="3" t="s">
        <v>69</v>
      </c>
      <c r="T14" s="3" t="s">
        <v>59</v>
      </c>
      <c r="U14" s="3" t="s">
        <v>59</v>
      </c>
      <c r="V14" s="130" t="s">
        <v>137</v>
      </c>
      <c r="W14" s="3" t="s">
        <v>69</v>
      </c>
      <c r="X14" s="3" t="s">
        <v>59</v>
      </c>
      <c r="Y14" s="3" t="s">
        <v>138</v>
      </c>
      <c r="Z14" s="114" t="s">
        <v>139</v>
      </c>
      <c r="AA14" s="77">
        <v>0</v>
      </c>
      <c r="AB14" s="77">
        <v>0</v>
      </c>
      <c r="AC14" s="77">
        <v>0</v>
      </c>
      <c r="AD14" s="77">
        <v>0</v>
      </c>
      <c r="AE14" s="77">
        <v>0</v>
      </c>
      <c r="AF14" s="77">
        <v>1007776.27</v>
      </c>
      <c r="AG14" s="77">
        <v>1255074.07</v>
      </c>
      <c r="AH14" s="77">
        <v>1262724.1000000001</v>
      </c>
      <c r="AI14" s="77">
        <v>670.55</v>
      </c>
      <c r="AJ14" s="77">
        <v>670.38</v>
      </c>
      <c r="AK14" s="77">
        <v>237819.66</v>
      </c>
      <c r="AL14" s="77">
        <v>238673.46</v>
      </c>
      <c r="AM14" s="77">
        <v>239303.49</v>
      </c>
      <c r="AN14" s="77">
        <v>239904.8</v>
      </c>
      <c r="AO14" s="77">
        <v>240546.4</v>
      </c>
      <c r="AP14" s="77">
        <v>241224.66</v>
      </c>
      <c r="AQ14" s="80">
        <v>238669.22</v>
      </c>
      <c r="AR14" s="80">
        <v>238060.14</v>
      </c>
      <c r="AS14" s="80">
        <v>242257.55</v>
      </c>
      <c r="AT14" s="132">
        <v>241871.51</v>
      </c>
      <c r="AU14" s="132">
        <v>241822.46</v>
      </c>
      <c r="AV14" s="132">
        <v>240188.4</v>
      </c>
    </row>
    <row r="15" spans="1:51">
      <c r="A15" s="1" t="s">
        <v>48</v>
      </c>
      <c r="B15" s="5" t="s">
        <v>132</v>
      </c>
      <c r="C15" s="5" t="s">
        <v>133</v>
      </c>
      <c r="D15" s="5" t="s">
        <v>140</v>
      </c>
      <c r="E15" s="3" t="s">
        <v>50</v>
      </c>
      <c r="F15" s="3" t="s">
        <v>63</v>
      </c>
      <c r="G15" s="5" t="s">
        <v>141</v>
      </c>
      <c r="H15" s="6" t="s">
        <v>142</v>
      </c>
      <c r="I15" s="2" t="s">
        <v>65</v>
      </c>
      <c r="J15" s="2" t="s">
        <v>54</v>
      </c>
      <c r="K15" s="7">
        <v>45873</v>
      </c>
      <c r="L15" s="7" t="s">
        <v>55</v>
      </c>
      <c r="M15" s="3" t="s">
        <v>112</v>
      </c>
      <c r="N15" s="3" t="s">
        <v>67</v>
      </c>
      <c r="O15" s="112">
        <v>46948</v>
      </c>
      <c r="P15" s="112">
        <v>46951</v>
      </c>
      <c r="Q15" s="112" t="s">
        <v>136</v>
      </c>
      <c r="R15" s="3" t="str">
        <f ca="1">IF(M15="Arrojado","IPCA+6%",IF(M15="Arrojado Renda Construção","IPCA+6%",IF(M15="Arrojado Renda Usufruto","IPCA+6%",IF(M15="Moderado","IPCA+5%",IF(M15="Moderado Renda Construção","IPCA+5%",IF(M15="Moderado Renda Usufruto","IPCA+5%",IF(M15="Conservador","IPCA+4%",IF(M15="Conservador Renda Construção","IPCA+4%",IF(M15="Conservador Renda Usufruto","IPCA+4%",IF(M15="Ultraconservador","IPCA+4%",""))))))))))</f>
        <v>IPCA+4%</v>
      </c>
      <c r="S15" s="3" t="s">
        <v>69</v>
      </c>
      <c r="T15" s="3" t="s">
        <v>59</v>
      </c>
      <c r="U15" s="3" t="s">
        <v>59</v>
      </c>
      <c r="V15" s="130" t="s">
        <v>137</v>
      </c>
      <c r="W15" s="3" t="s">
        <v>69</v>
      </c>
      <c r="X15" s="3" t="s">
        <v>59</v>
      </c>
      <c r="Y15" s="3" t="s">
        <v>138</v>
      </c>
      <c r="Z15" s="114" t="s">
        <v>143</v>
      </c>
      <c r="AA15" s="78">
        <v>40189677.729999997</v>
      </c>
      <c r="AB15" s="78">
        <v>40586107.07</v>
      </c>
      <c r="AC15" s="78">
        <v>41039124.009999998</v>
      </c>
      <c r="AD15" s="78">
        <v>41502654.810000002</v>
      </c>
      <c r="AE15" s="78">
        <v>41781124.770000003</v>
      </c>
      <c r="AF15" s="78">
        <v>42184720.789999999</v>
      </c>
      <c r="AG15" s="78">
        <v>42754263.799999997</v>
      </c>
      <c r="AH15" s="78">
        <v>43241444.439999998</v>
      </c>
      <c r="AI15" s="78">
        <v>43765446.729999997</v>
      </c>
      <c r="AJ15" s="78">
        <v>44271404.039999999</v>
      </c>
      <c r="AK15" s="78">
        <v>44702138.75</v>
      </c>
      <c r="AL15" s="78">
        <v>45238981.369999997</v>
      </c>
      <c r="AM15" s="78">
        <v>45830001.200000003</v>
      </c>
      <c r="AN15" s="111">
        <v>46243802.420000002</v>
      </c>
      <c r="AO15" s="78">
        <v>40122653.240000002</v>
      </c>
      <c r="AP15" s="78">
        <v>40554537.710000001</v>
      </c>
      <c r="AQ15" s="78">
        <v>76965567.124922916</v>
      </c>
      <c r="AR15" s="79">
        <v>52516733.390000001</v>
      </c>
      <c r="AS15" s="79">
        <v>52886979</v>
      </c>
      <c r="AT15" s="122">
        <v>51802595.880000003</v>
      </c>
      <c r="AU15" s="122">
        <v>45887609.990000002</v>
      </c>
      <c r="AV15" s="122">
        <v>35921874.689999998</v>
      </c>
    </row>
    <row r="16" spans="1:51" ht="15">
      <c r="A16" s="1" t="s">
        <v>48</v>
      </c>
      <c r="B16" s="5" t="s">
        <v>134</v>
      </c>
      <c r="C16" s="5" t="s">
        <v>133</v>
      </c>
      <c r="D16" s="5" t="s">
        <v>134</v>
      </c>
      <c r="E16" s="3" t="s">
        <v>50</v>
      </c>
      <c r="F16" s="3" t="s">
        <v>123</v>
      </c>
      <c r="G16" s="5" t="s">
        <v>144</v>
      </c>
      <c r="H16" s="6" t="s">
        <v>145</v>
      </c>
      <c r="I16" s="2" t="s">
        <v>65</v>
      </c>
      <c r="J16" s="2" t="s">
        <v>54</v>
      </c>
      <c r="K16" s="7">
        <v>45866</v>
      </c>
      <c r="L16" s="7" t="s">
        <v>55</v>
      </c>
      <c r="M16" s="3" t="s">
        <v>146</v>
      </c>
      <c r="N16" s="3" t="s">
        <v>67</v>
      </c>
      <c r="O16" s="112">
        <v>46948</v>
      </c>
      <c r="P16" s="112">
        <v>46951</v>
      </c>
      <c r="Q16" s="112" t="s">
        <v>136</v>
      </c>
      <c r="R16" s="3" t="str">
        <f ca="1">IF(M16="Arrojado","IPCA+6%",IF(M16="Arrojado Renda Construção","IPCA+6%",IF(M16="Arrojado Renda Usufruto","IPCA+6%",IF(M16="Moderado","IPCA+5%",IF(M16="Moderado Renda Construção","IPCA+5%",IF(M16="Moderado Renda Usufruto","IPCA+5%",IF(M16="Conservador","IPCA+4%",IF(M16="Conservador Renda Construção","IPCA+4%",IF(M16="Conservador Renda Usufruto","IPCA+4%",IF(M16="Ultraconservador","IPCA+4%",""))))))))))</f>
        <v>IPCA+5%</v>
      </c>
      <c r="S16" s="3" t="s">
        <v>69</v>
      </c>
      <c r="T16" s="3" t="s">
        <v>59</v>
      </c>
      <c r="U16" s="3" t="s">
        <v>59</v>
      </c>
      <c r="V16" s="130" t="s">
        <v>147</v>
      </c>
      <c r="W16" s="3" t="s">
        <v>59</v>
      </c>
      <c r="X16" s="3" t="s">
        <v>59</v>
      </c>
      <c r="Y16" s="3" t="s">
        <v>138</v>
      </c>
      <c r="Z16" s="114" t="s">
        <v>143</v>
      </c>
      <c r="AA16" s="78">
        <v>5724035.4400000004</v>
      </c>
      <c r="AB16" s="78">
        <v>7050981.9299999997</v>
      </c>
      <c r="AC16" s="78">
        <v>7100455.6699999999</v>
      </c>
      <c r="AD16" s="78">
        <v>8381283.0999999996</v>
      </c>
      <c r="AE16" s="78">
        <v>7258613.6900000004</v>
      </c>
      <c r="AF16" s="78">
        <v>7536187.2300000004</v>
      </c>
      <c r="AG16" s="78">
        <v>8037733.2199999997</v>
      </c>
      <c r="AH16" s="78">
        <v>8115596.7999999998</v>
      </c>
      <c r="AI16" s="78">
        <v>8190526.8200000003</v>
      </c>
      <c r="AJ16" s="78">
        <v>8267795.1900000004</v>
      </c>
      <c r="AK16" s="78">
        <v>8337940.6699999999</v>
      </c>
      <c r="AL16" s="78">
        <v>8457664.0700000003</v>
      </c>
      <c r="AM16" s="78">
        <v>8863658.0299999993</v>
      </c>
      <c r="AN16" s="111">
        <v>8892808.7400000002</v>
      </c>
      <c r="AO16" s="78">
        <v>8552237.3399999999</v>
      </c>
      <c r="AP16" s="78">
        <v>8653907.7699999996</v>
      </c>
      <c r="AQ16" s="78">
        <v>9979883.6799959801</v>
      </c>
      <c r="AR16" s="79">
        <v>10003356.33</v>
      </c>
      <c r="AS16" s="79">
        <v>10408453</v>
      </c>
      <c r="AT16" s="122">
        <v>10489497.49</v>
      </c>
      <c r="AU16" s="122">
        <v>10563298.689999999</v>
      </c>
      <c r="AV16" s="122">
        <v>10637561.98</v>
      </c>
      <c r="AW16" s="152"/>
      <c r="AX16" s="152"/>
      <c r="AY16" s="152"/>
    </row>
    <row r="17" spans="1:51">
      <c r="A17" s="1" t="s">
        <v>106</v>
      </c>
      <c r="B17" s="5" t="s">
        <v>148</v>
      </c>
      <c r="C17" s="5" t="s">
        <v>148</v>
      </c>
      <c r="D17" s="5" t="s">
        <v>148</v>
      </c>
      <c r="E17" s="3" t="s">
        <v>50</v>
      </c>
      <c r="F17" s="3" t="s">
        <v>51</v>
      </c>
      <c r="G17" s="5" t="s">
        <v>149</v>
      </c>
      <c r="H17" s="6">
        <v>27109027</v>
      </c>
      <c r="I17" s="2" t="s">
        <v>111</v>
      </c>
      <c r="J17" s="2" t="s">
        <v>54</v>
      </c>
      <c r="K17" s="7"/>
      <c r="L17" s="7" t="s">
        <v>55</v>
      </c>
      <c r="M17" s="3" t="s">
        <v>112</v>
      </c>
      <c r="N17" s="3" t="s">
        <v>57</v>
      </c>
      <c r="O17" s="112"/>
      <c r="P17" s="112"/>
      <c r="Q17" s="112" t="s">
        <v>136</v>
      </c>
      <c r="R17" s="3" t="str">
        <f ca="1">IF(M17="Arrojado","IPCA+6%",IF(M17="Arrojado Renda Construção","IPCA+6%",IF(M17="Arrojado Renda Usufruto","IPCA+6%",IF(M17="Moderado","IPCA+5%",IF(M17="Moderado Renda Construção","IPCA+5%",IF(M17="Moderado Renda Usufruto","IPCA+5%",IF(M17="Conservador","IPCA+4%",IF(M17="Conservador Renda Construção","IPCA+4%",IF(M17="Conservador Renda Usufruto","IPCA+4%",IF(M17="Ultraconservador","IPCA+4%",""))))))))))</f>
        <v>IPCA+4%</v>
      </c>
      <c r="S17" s="3" t="s">
        <v>69</v>
      </c>
      <c r="T17" s="3" t="s">
        <v>59</v>
      </c>
      <c r="U17" s="3" t="s">
        <v>59</v>
      </c>
      <c r="V17" s="130" t="s">
        <v>150</v>
      </c>
      <c r="W17" s="3" t="s">
        <v>59</v>
      </c>
      <c r="X17" s="3" t="s">
        <v>69</v>
      </c>
      <c r="Y17" s="3" t="s">
        <v>71</v>
      </c>
      <c r="Z17" s="114" t="s">
        <v>151</v>
      </c>
      <c r="AA17" s="77">
        <v>385.02</v>
      </c>
      <c r="AB17" s="77">
        <v>20779.900000000001</v>
      </c>
      <c r="AC17" s="77">
        <v>40922.57</v>
      </c>
      <c r="AD17" s="77">
        <v>40454.910000000003</v>
      </c>
      <c r="AE17" s="77">
        <v>59873.38</v>
      </c>
      <c r="AF17" s="77">
        <v>61564.24</v>
      </c>
      <c r="AG17" s="77">
        <v>61651.62</v>
      </c>
      <c r="AH17" s="77">
        <v>62080.55</v>
      </c>
      <c r="AI17" s="77">
        <v>64490.59</v>
      </c>
      <c r="AJ17" s="77">
        <v>265233.73</v>
      </c>
      <c r="AK17" s="77">
        <v>266475.59999999998</v>
      </c>
      <c r="AL17" s="77">
        <v>263711.76</v>
      </c>
      <c r="AM17" s="77">
        <v>265377.33</v>
      </c>
      <c r="AN17" s="77">
        <v>269298.03999999998</v>
      </c>
      <c r="AO17" s="77">
        <v>261768.53</v>
      </c>
      <c r="AP17" s="77">
        <v>265150.59000000003</v>
      </c>
      <c r="AQ17" s="80">
        <v>265057.96000000002</v>
      </c>
      <c r="AR17" s="80">
        <v>266359.65000000002</v>
      </c>
      <c r="AS17" s="80">
        <v>263833.8</v>
      </c>
      <c r="AT17" s="132">
        <v>266069.09999999998</v>
      </c>
      <c r="AU17" s="132">
        <v>254213.07</v>
      </c>
      <c r="AV17" s="132">
        <v>257569.01</v>
      </c>
    </row>
    <row r="18" spans="1:51">
      <c r="A18" s="115" t="s">
        <v>73</v>
      </c>
      <c r="B18" s="5" t="s">
        <v>148</v>
      </c>
      <c r="C18" s="116" t="s">
        <v>148</v>
      </c>
      <c r="D18" s="116" t="s">
        <v>152</v>
      </c>
      <c r="E18" s="117" t="s">
        <v>50</v>
      </c>
      <c r="F18" s="117" t="s">
        <v>51</v>
      </c>
      <c r="G18" s="116" t="s">
        <v>153</v>
      </c>
      <c r="H18" s="118">
        <v>12255170</v>
      </c>
      <c r="I18" s="119" t="s">
        <v>111</v>
      </c>
      <c r="J18" s="119" t="s">
        <v>54</v>
      </c>
      <c r="K18" s="112"/>
      <c r="L18" s="112" t="s">
        <v>55</v>
      </c>
      <c r="M18" s="117" t="s">
        <v>112</v>
      </c>
      <c r="N18" s="117" t="s">
        <v>57</v>
      </c>
      <c r="O18" s="136">
        <v>46202</v>
      </c>
      <c r="P18" s="112">
        <v>46277</v>
      </c>
      <c r="Q18" s="112" t="s">
        <v>136</v>
      </c>
      <c r="R18" s="3" t="str">
        <f ca="1">IF(M18="Arrojado","IPCA+6%",IF(M18="Arrojado Renda Construção","IPCA+6%",IF(M18="Arrojado Renda Usufruto","IPCA+6%",IF(M18="Moderado","IPCA+5%",IF(M18="Moderado Renda Construção","IPCA+5%",IF(M18="Moderado Renda Usufruto","IPCA+5%",IF(M18="Conservador","IPCA+4%",IF(M18="Conservador Renda Construção","IPCA+4%",IF(M18="Conservador Renda Usufruto","IPCA+4%",IF(M18="Ultraconservador","IPCA+4%",""))))))))))</f>
        <v>IPCA+4%</v>
      </c>
      <c r="S18" s="117" t="s">
        <v>69</v>
      </c>
      <c r="T18" s="117" t="s">
        <v>59</v>
      </c>
      <c r="U18" s="117" t="s">
        <v>59</v>
      </c>
      <c r="V18" s="131" t="s">
        <v>150</v>
      </c>
      <c r="W18" s="117" t="s">
        <v>59</v>
      </c>
      <c r="X18" s="117" t="s">
        <v>69</v>
      </c>
      <c r="Y18" s="117" t="s">
        <v>71</v>
      </c>
      <c r="Z18" s="123" t="s">
        <v>151</v>
      </c>
      <c r="AA18" s="154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>
        <v>2346227.7200000002</v>
      </c>
      <c r="AN18" s="122">
        <v>2386529.4300000002</v>
      </c>
      <c r="AO18" s="121">
        <v>2384489.86</v>
      </c>
      <c r="AP18" s="121">
        <v>0</v>
      </c>
      <c r="AQ18" s="121" t="s">
        <v>154</v>
      </c>
      <c r="AR18" s="122">
        <v>2623133.4700000002</v>
      </c>
      <c r="AS18" s="122">
        <v>2895410.8300000005</v>
      </c>
      <c r="AT18" s="122">
        <v>2909953.1</v>
      </c>
      <c r="AU18" s="122">
        <v>2998281.33</v>
      </c>
      <c r="AV18" s="122">
        <v>3033989.54</v>
      </c>
    </row>
    <row r="19" spans="1:51">
      <c r="A19" s="1" t="s">
        <v>73</v>
      </c>
      <c r="B19" s="5" t="s">
        <v>155</v>
      </c>
      <c r="C19" s="5" t="s">
        <v>156</v>
      </c>
      <c r="D19" s="5" t="s">
        <v>155</v>
      </c>
      <c r="E19" s="3" t="s">
        <v>50</v>
      </c>
      <c r="F19" s="3" t="s">
        <v>123</v>
      </c>
      <c r="G19" s="5" t="s">
        <v>157</v>
      </c>
      <c r="H19" s="6">
        <v>23546070</v>
      </c>
      <c r="I19" s="2" t="s">
        <v>78</v>
      </c>
      <c r="J19" s="2" t="s">
        <v>54</v>
      </c>
      <c r="K19" s="7"/>
      <c r="L19" s="7" t="s">
        <v>55</v>
      </c>
      <c r="M19" s="3" t="s">
        <v>112</v>
      </c>
      <c r="N19" s="3" t="s">
        <v>79</v>
      </c>
      <c r="O19" s="112">
        <v>46851</v>
      </c>
      <c r="P19" s="112">
        <v>47579</v>
      </c>
      <c r="Q19" s="112" t="s">
        <v>158</v>
      </c>
      <c r="R19" s="3" t="str">
        <f ca="1">IF(M19="Arrojado","IPCA+6%",IF(M19="Arrojado Renda Construção","IPCA+6%",IF(M19="Arrojado Renda Usufruto","IPCA+6%",IF(M19="Moderado","IPCA+5%",IF(M19="Moderado Renda Construção","IPCA+5%",IF(M19="Moderado Renda Usufruto","IPCA+5%",IF(M19="Conservador","IPCA+4%",IF(M19="Conservador Renda Construção","IPCA+4%",IF(M19="Conservador Renda Usufruto","IPCA+4%",IF(M19="Ultraconservador","IPCA+4%",""))))))))))</f>
        <v>IPCA+4%</v>
      </c>
      <c r="S19" s="3" t="s">
        <v>59</v>
      </c>
      <c r="T19" s="3" t="s">
        <v>69</v>
      </c>
      <c r="U19" s="3" t="s">
        <v>69</v>
      </c>
      <c r="V19" s="130" t="s">
        <v>159</v>
      </c>
      <c r="W19" s="3" t="s">
        <v>59</v>
      </c>
      <c r="X19" s="3" t="s">
        <v>59</v>
      </c>
      <c r="Y19" s="3" t="s">
        <v>71</v>
      </c>
      <c r="Z19" s="114" t="s">
        <v>160</v>
      </c>
      <c r="AA19" s="78">
        <v>0</v>
      </c>
      <c r="AB19" s="78">
        <v>0</v>
      </c>
      <c r="AC19" s="78">
        <v>0</v>
      </c>
      <c r="AD19" s="78">
        <v>0</v>
      </c>
      <c r="AE19" s="78">
        <v>0</v>
      </c>
      <c r="AF19" s="78">
        <v>0</v>
      </c>
      <c r="AG19" s="78">
        <v>0</v>
      </c>
      <c r="AH19" s="78">
        <v>0</v>
      </c>
      <c r="AI19" s="78">
        <v>0</v>
      </c>
      <c r="AJ19" s="78">
        <v>0</v>
      </c>
      <c r="AK19" s="78">
        <v>0</v>
      </c>
      <c r="AL19" s="78">
        <v>0</v>
      </c>
      <c r="AM19" s="78">
        <v>0</v>
      </c>
      <c r="AN19" s="111" t="s">
        <v>104</v>
      </c>
      <c r="AO19" s="78">
        <v>0</v>
      </c>
      <c r="AP19" s="78">
        <v>482650</v>
      </c>
      <c r="AQ19" s="78">
        <v>437620.73000000004</v>
      </c>
      <c r="AR19" s="111">
        <v>310650.34999999998</v>
      </c>
      <c r="AS19" s="111">
        <v>207570.44999999998</v>
      </c>
      <c r="AT19" s="122">
        <v>108446.42</v>
      </c>
      <c r="AU19" s="122">
        <v>58347.99</v>
      </c>
      <c r="AV19" s="122">
        <v>8328.99</v>
      </c>
    </row>
    <row r="20" spans="1:51" ht="15">
      <c r="A20" s="1" t="s">
        <v>106</v>
      </c>
      <c r="B20" s="5" t="s">
        <v>161</v>
      </c>
      <c r="C20" s="5" t="s">
        <v>161</v>
      </c>
      <c r="D20" s="5" t="s">
        <v>162</v>
      </c>
      <c r="E20" s="3" t="s">
        <v>50</v>
      </c>
      <c r="F20" s="3" t="s">
        <v>51</v>
      </c>
      <c r="G20" s="5" t="s">
        <v>163</v>
      </c>
      <c r="H20" s="6">
        <v>98792193</v>
      </c>
      <c r="I20" s="2" t="s">
        <v>164</v>
      </c>
      <c r="J20" s="2" t="s">
        <v>54</v>
      </c>
      <c r="K20" s="7"/>
      <c r="L20" s="7" t="s">
        <v>55</v>
      </c>
      <c r="M20" s="3" t="s">
        <v>112</v>
      </c>
      <c r="N20" s="3"/>
      <c r="O20" s="112"/>
      <c r="P20" s="112"/>
      <c r="Q20" s="112"/>
      <c r="R20" s="3" t="str">
        <f ca="1">IF(M20="Arrojado","IPCA+6%",IF(M20="Arrojado Renda Construção","IPCA+6%",IF(M20="Arrojado Renda Usufruto","IPCA+6%",IF(M20="Moderado","IPCA+5%",IF(M20="Moderado Renda Construção","IPCA+5%",IF(M20="Moderado Renda Usufruto","IPCA+5%",IF(M20="Conservador","IPCA+4%",IF(M20="Conservador Renda Construção","IPCA+4%",IF(M20="Conservador Renda Usufruto","IPCA+4%",IF(M20="Ultraconservador","IPCA+4%",""))))))))))</f>
        <v>IPCA+4%</v>
      </c>
      <c r="S20" s="3" t="s">
        <v>59</v>
      </c>
      <c r="T20" s="3" t="s">
        <v>59</v>
      </c>
      <c r="U20" s="3" t="s">
        <v>59</v>
      </c>
      <c r="V20" s="130" t="s">
        <v>165</v>
      </c>
      <c r="W20" s="3" t="s">
        <v>59</v>
      </c>
      <c r="X20" s="3" t="s">
        <v>59</v>
      </c>
      <c r="Y20" s="3" t="s">
        <v>138</v>
      </c>
      <c r="Z20" s="114" t="s">
        <v>166</v>
      </c>
      <c r="AA20" s="77">
        <v>117723.7</v>
      </c>
      <c r="AB20" s="77">
        <v>121168.71</v>
      </c>
      <c r="AC20" s="77">
        <v>167549.84</v>
      </c>
      <c r="AD20" s="77">
        <v>165923.42000000001</v>
      </c>
      <c r="AE20" s="77">
        <v>164408.41</v>
      </c>
      <c r="AF20" s="77">
        <v>167611.60999999999</v>
      </c>
      <c r="AG20" s="77">
        <v>164587.5</v>
      </c>
      <c r="AH20" s="77">
        <v>183672.37</v>
      </c>
      <c r="AI20" s="77">
        <v>188341.4</v>
      </c>
      <c r="AJ20" s="77">
        <v>204257.86</v>
      </c>
      <c r="AK20" s="77">
        <v>206912.14</v>
      </c>
      <c r="AL20" s="77">
        <v>203748.61</v>
      </c>
      <c r="AM20" s="77">
        <v>206060.54</v>
      </c>
      <c r="AN20" s="77">
        <v>211049.46</v>
      </c>
      <c r="AO20" s="77">
        <v>251465.09</v>
      </c>
      <c r="AP20" s="77">
        <v>255808.56</v>
      </c>
      <c r="AQ20" s="80">
        <v>254756.17</v>
      </c>
      <c r="AR20" s="80">
        <v>254799.59</v>
      </c>
      <c r="AS20" s="80">
        <v>247989.73</v>
      </c>
      <c r="AT20" s="132">
        <v>258803.45</v>
      </c>
      <c r="AU20" s="132">
        <v>250039.3</v>
      </c>
      <c r="AV20" s="132">
        <v>254243.59</v>
      </c>
      <c r="AW20" s="152"/>
      <c r="AX20" s="152"/>
      <c r="AY20" s="152"/>
    </row>
    <row r="21" spans="1:51" ht="15">
      <c r="A21" s="1" t="s">
        <v>48</v>
      </c>
      <c r="B21" s="5" t="s">
        <v>167</v>
      </c>
      <c r="C21" s="5" t="s">
        <v>167</v>
      </c>
      <c r="D21" s="5" t="s">
        <v>168</v>
      </c>
      <c r="E21" s="3" t="s">
        <v>50</v>
      </c>
      <c r="F21" s="3" t="s">
        <v>51</v>
      </c>
      <c r="G21" s="5" t="s">
        <v>169</v>
      </c>
      <c r="H21" s="6">
        <v>3246094</v>
      </c>
      <c r="I21" s="2" t="s">
        <v>117</v>
      </c>
      <c r="J21" s="2" t="s">
        <v>54</v>
      </c>
      <c r="K21" s="7">
        <v>45709</v>
      </c>
      <c r="L21" s="7" t="s">
        <v>55</v>
      </c>
      <c r="M21" s="3" t="s">
        <v>56</v>
      </c>
      <c r="N21" s="3" t="s">
        <v>67</v>
      </c>
      <c r="O21" s="112">
        <v>46556</v>
      </c>
      <c r="P21" s="112">
        <v>47141</v>
      </c>
      <c r="Q21" s="112" t="s">
        <v>118</v>
      </c>
      <c r="R21" s="3" t="str">
        <f ca="1">IF(M21="Arrojado","IPCA+6%",IF(M21="Arrojado Renda Construção","IPCA+6%",IF(M21="Arrojado Renda Usufruto","IPCA+6%",IF(M21="Moderado","IPCA+5%",IF(M21="Moderado Renda Construção","IPCA+5%",IF(M21="Moderado Renda Usufruto","IPCA+5%",IF(M21="Conservador","IPCA+4%",IF(M21="Conservador Renda Construção","IPCA+4%",IF(M21="Conservador Renda Usufruto","IPCA+4%",IF(M21="Ultraconservador","IPCA+4%",""))))))))))</f>
        <v>IPCA+5%</v>
      </c>
      <c r="S21" s="3" t="s">
        <v>59</v>
      </c>
      <c r="T21" s="3" t="s">
        <v>59</v>
      </c>
      <c r="U21" s="3" t="s">
        <v>59</v>
      </c>
      <c r="V21" s="130"/>
      <c r="W21" s="3" t="s">
        <v>59</v>
      </c>
      <c r="X21" s="3" t="s">
        <v>59</v>
      </c>
      <c r="Y21" s="3" t="s">
        <v>71</v>
      </c>
      <c r="Z21" s="114" t="s">
        <v>170</v>
      </c>
      <c r="AA21" s="78">
        <v>783044.98</v>
      </c>
      <c r="AB21" s="78">
        <v>808862.46</v>
      </c>
      <c r="AC21" s="78">
        <v>816716.01</v>
      </c>
      <c r="AD21" s="78">
        <v>830399.74</v>
      </c>
      <c r="AE21" s="78">
        <v>903136.85</v>
      </c>
      <c r="AF21" s="78">
        <v>914233.09</v>
      </c>
      <c r="AG21" s="78">
        <v>930981.93</v>
      </c>
      <c r="AH21" s="78">
        <v>956421.09</v>
      </c>
      <c r="AI21" s="78">
        <v>967089.61</v>
      </c>
      <c r="AJ21" s="78">
        <v>989736.82</v>
      </c>
      <c r="AK21" s="78">
        <v>1014779.88</v>
      </c>
      <c r="AL21" s="78">
        <v>1044223.99</v>
      </c>
      <c r="AM21" s="78">
        <v>1071102.3600000001</v>
      </c>
      <c r="AN21" s="111">
        <v>1083749.26</v>
      </c>
      <c r="AO21" s="78">
        <v>1088663.76</v>
      </c>
      <c r="AP21" s="78">
        <v>1104854.46</v>
      </c>
      <c r="AQ21" s="78">
        <v>1115960.69263579</v>
      </c>
      <c r="AR21" s="79">
        <v>1119156.32</v>
      </c>
      <c r="AS21" s="79">
        <v>1130466</v>
      </c>
      <c r="AT21" s="122">
        <v>1159478.8330000001</v>
      </c>
      <c r="AU21" s="122">
        <v>1162696.8799999999</v>
      </c>
      <c r="AV21" s="122">
        <v>1177295.068</v>
      </c>
      <c r="AW21" s="152"/>
      <c r="AX21" s="152"/>
      <c r="AY21" s="152"/>
    </row>
    <row r="22" spans="1:51">
      <c r="A22" s="1" t="s">
        <v>48</v>
      </c>
      <c r="B22" s="5" t="s">
        <v>171</v>
      </c>
      <c r="C22" s="5" t="s">
        <v>61</v>
      </c>
      <c r="D22" s="5" t="s">
        <v>171</v>
      </c>
      <c r="E22" s="3" t="s">
        <v>50</v>
      </c>
      <c r="F22" s="3" t="s">
        <v>51</v>
      </c>
      <c r="G22" s="5" t="s">
        <v>172</v>
      </c>
      <c r="H22" s="6">
        <v>19003827</v>
      </c>
      <c r="I22" s="2" t="s">
        <v>65</v>
      </c>
      <c r="J22" s="2" t="s">
        <v>54</v>
      </c>
      <c r="K22" s="7">
        <v>46141</v>
      </c>
      <c r="L22" s="7" t="s">
        <v>55</v>
      </c>
      <c r="M22" s="3" t="s">
        <v>56</v>
      </c>
      <c r="N22" s="3" t="s">
        <v>67</v>
      </c>
      <c r="O22" s="112">
        <v>47117</v>
      </c>
      <c r="P22" s="112">
        <v>47113</v>
      </c>
      <c r="Q22" s="112" t="s">
        <v>58</v>
      </c>
      <c r="R22" s="3" t="str">
        <f ca="1">IF(M22="Arrojado","IPCA+6%",IF(M22="Arrojado Renda Construção","IPCA+6%",IF(M22="Arrojado Renda Usufruto","IPCA+6%",IF(M22="Moderado","IPCA+5%",IF(M22="Moderado Renda Construção","IPCA+5%",IF(M22="Moderado Renda Usufruto","IPCA+5%",IF(M22="Conservador","IPCA+4%",IF(M22="Conservador Renda Construção","IPCA+4%",IF(M22="Conservador Renda Usufruto","IPCA+4%",IF(M22="Ultraconservador","IPCA+4%",""))))))))))</f>
        <v>IPCA+5%</v>
      </c>
      <c r="S22" s="3" t="s">
        <v>59</v>
      </c>
      <c r="T22" s="3" t="s">
        <v>69</v>
      </c>
      <c r="U22" s="3" t="s">
        <v>59</v>
      </c>
      <c r="V22" s="130" t="s">
        <v>173</v>
      </c>
      <c r="W22" s="3" t="s">
        <v>59</v>
      </c>
      <c r="X22" s="3" t="s">
        <v>59</v>
      </c>
      <c r="Y22" s="3"/>
      <c r="Z22" s="114" t="s">
        <v>174</v>
      </c>
      <c r="AA22" s="78">
        <v>0</v>
      </c>
      <c r="AB22" s="78">
        <v>0</v>
      </c>
      <c r="AC22" s="78">
        <v>0</v>
      </c>
      <c r="AD22" s="78">
        <v>0</v>
      </c>
      <c r="AE22" s="78">
        <v>0</v>
      </c>
      <c r="AF22" s="78">
        <v>0</v>
      </c>
      <c r="AG22" s="78">
        <v>0</v>
      </c>
      <c r="AH22" s="78">
        <v>0</v>
      </c>
      <c r="AI22" s="78">
        <v>0</v>
      </c>
      <c r="AJ22" s="78">
        <v>0</v>
      </c>
      <c r="AK22" s="78">
        <v>0</v>
      </c>
      <c r="AL22" s="78">
        <v>5000</v>
      </c>
      <c r="AM22" s="78">
        <v>5080.08</v>
      </c>
      <c r="AN22" s="111">
        <v>6636.99</v>
      </c>
      <c r="AO22" s="78">
        <v>6593.65</v>
      </c>
      <c r="AP22" s="78">
        <v>18670.62</v>
      </c>
      <c r="AQ22" s="78">
        <v>101461.27587300001</v>
      </c>
      <c r="AR22" s="79">
        <v>101510.16</v>
      </c>
      <c r="AS22" s="79">
        <v>52015.040000000001</v>
      </c>
      <c r="AT22" s="122">
        <v>51788.231630000002</v>
      </c>
      <c r="AU22" s="122">
        <v>20665.43</v>
      </c>
      <c r="AV22" s="122">
        <v>20802.164359999999</v>
      </c>
    </row>
    <row r="23" spans="1:51">
      <c r="A23" s="1" t="s">
        <v>48</v>
      </c>
      <c r="B23" s="5" t="s">
        <v>61</v>
      </c>
      <c r="C23" s="5" t="s">
        <v>61</v>
      </c>
      <c r="D23" s="5" t="s">
        <v>175</v>
      </c>
      <c r="E23" s="3" t="s">
        <v>50</v>
      </c>
      <c r="F23" s="3" t="s">
        <v>63</v>
      </c>
      <c r="G23" s="5" t="s">
        <v>176</v>
      </c>
      <c r="H23" s="6">
        <v>11370136</v>
      </c>
      <c r="I23" s="2" t="s">
        <v>65</v>
      </c>
      <c r="J23" s="2" t="s">
        <v>54</v>
      </c>
      <c r="K23" s="7">
        <v>46051</v>
      </c>
      <c r="L23" s="7" t="s">
        <v>55</v>
      </c>
      <c r="M23" s="3" t="s">
        <v>66</v>
      </c>
      <c r="N23" s="3" t="s">
        <v>79</v>
      </c>
      <c r="O23" s="112">
        <v>47319</v>
      </c>
      <c r="P23" s="112">
        <v>47032</v>
      </c>
      <c r="Q23" s="112" t="s">
        <v>68</v>
      </c>
      <c r="R23" s="3" t="str">
        <f ca="1">IF(M23="Arrojado","IPCA+6%",IF(M23="Arrojado Renda Construção","IPCA+6%",IF(M23="Arrojado Renda Usufruto","IPCA+6%",IF(M23="Moderado","IPCA+5%",IF(M23="Moderado Renda Construção","IPCA+5%",IF(M23="Moderado Renda Usufruto","IPCA+5%",IF(M23="Conservador","IPCA+4%",IF(M23="Conservador Renda Construção","IPCA+4%",IF(M23="Conservador Renda Usufruto","IPCA+4%",IF(M23="Ultraconservador","IPCA+4%",""))))))))))</f>
        <v>IPCA+4%</v>
      </c>
      <c r="S23" s="3" t="s">
        <v>69</v>
      </c>
      <c r="T23" s="3" t="s">
        <v>69</v>
      </c>
      <c r="U23" s="3" t="s">
        <v>59</v>
      </c>
      <c r="V23" s="130" t="s">
        <v>70</v>
      </c>
      <c r="W23" s="3" t="s">
        <v>59</v>
      </c>
      <c r="X23" s="3" t="s">
        <v>59</v>
      </c>
      <c r="Y23" s="3" t="s">
        <v>71</v>
      </c>
      <c r="Z23" s="114" t="s">
        <v>177</v>
      </c>
      <c r="AA23" s="78">
        <v>0</v>
      </c>
      <c r="AB23" s="78">
        <v>0</v>
      </c>
      <c r="AC23" s="78">
        <v>0</v>
      </c>
      <c r="AD23" s="78">
        <v>0</v>
      </c>
      <c r="AE23" s="78">
        <v>0</v>
      </c>
      <c r="AF23" s="78">
        <v>1105471.27</v>
      </c>
      <c r="AG23" s="78">
        <v>0</v>
      </c>
      <c r="AH23" s="78">
        <v>0</v>
      </c>
      <c r="AI23" s="78">
        <v>0</v>
      </c>
      <c r="AJ23" s="78">
        <v>2206631.81</v>
      </c>
      <c r="AK23" s="78">
        <v>1765786.25</v>
      </c>
      <c r="AL23" s="78">
        <v>1200088.04</v>
      </c>
      <c r="AM23" s="78">
        <v>0</v>
      </c>
      <c r="AN23" s="111">
        <v>369.86</v>
      </c>
      <c r="AO23" s="78">
        <v>369.86</v>
      </c>
      <c r="AP23" s="78">
        <v>369.86</v>
      </c>
      <c r="AQ23" s="78">
        <v>369.86</v>
      </c>
      <c r="AR23" s="79">
        <v>369.86</v>
      </c>
      <c r="AS23" s="79">
        <v>921.35</v>
      </c>
      <c r="AT23" s="122">
        <v>3075650.6510000001</v>
      </c>
      <c r="AU23" s="122">
        <v>3606144.43</v>
      </c>
      <c r="AV23" s="122">
        <v>3618847.5260000001</v>
      </c>
    </row>
    <row r="24" spans="1:51" ht="15">
      <c r="A24" s="1" t="s">
        <v>48</v>
      </c>
      <c r="B24" s="5" t="s">
        <v>82</v>
      </c>
      <c r="C24" s="5" t="s">
        <v>82</v>
      </c>
      <c r="D24" s="5" t="s">
        <v>178</v>
      </c>
      <c r="E24" s="3" t="s">
        <v>50</v>
      </c>
      <c r="F24" s="3" t="s">
        <v>51</v>
      </c>
      <c r="G24" s="5" t="s">
        <v>179</v>
      </c>
      <c r="H24" s="6" t="s">
        <v>180</v>
      </c>
      <c r="I24" s="2" t="s">
        <v>86</v>
      </c>
      <c r="J24" s="82" t="s">
        <v>87</v>
      </c>
      <c r="K24" s="7">
        <v>46269</v>
      </c>
      <c r="L24" s="7" t="s">
        <v>55</v>
      </c>
      <c r="M24" s="3"/>
      <c r="N24" s="117" t="s">
        <v>57</v>
      </c>
      <c r="O24" s="112">
        <v>46888</v>
      </c>
      <c r="P24" s="112">
        <v>47072</v>
      </c>
      <c r="Q24" s="112" t="s">
        <v>58</v>
      </c>
      <c r="R24" s="3"/>
      <c r="S24" s="3"/>
      <c r="T24" s="3"/>
      <c r="U24" s="3"/>
      <c r="V24" s="130"/>
      <c r="W24" s="3"/>
      <c r="X24" s="3"/>
      <c r="Y24" s="3"/>
      <c r="Z24" s="114" t="s">
        <v>181</v>
      </c>
      <c r="AA24" s="78">
        <v>0</v>
      </c>
      <c r="AB24" s="78">
        <v>0</v>
      </c>
      <c r="AC24" s="78">
        <v>0</v>
      </c>
      <c r="AD24" s="78">
        <v>0</v>
      </c>
      <c r="AE24" s="78">
        <v>0</v>
      </c>
      <c r="AF24" s="78">
        <v>0</v>
      </c>
      <c r="AG24" s="78">
        <v>0</v>
      </c>
      <c r="AH24" s="78">
        <v>0</v>
      </c>
      <c r="AI24" s="78">
        <v>0</v>
      </c>
      <c r="AJ24" s="78">
        <v>0</v>
      </c>
      <c r="AK24" s="78">
        <v>0</v>
      </c>
      <c r="AL24" s="78">
        <v>0</v>
      </c>
      <c r="AM24" s="78">
        <v>0</v>
      </c>
      <c r="AN24" s="78">
        <v>0</v>
      </c>
      <c r="AO24" s="78">
        <v>0</v>
      </c>
      <c r="AP24" s="78">
        <v>0</v>
      </c>
      <c r="AQ24" s="78">
        <v>0</v>
      </c>
      <c r="AR24" s="78">
        <v>0</v>
      </c>
      <c r="AS24" s="78">
        <v>0</v>
      </c>
      <c r="AT24" s="78"/>
      <c r="AU24" s="160">
        <v>1402610.64</v>
      </c>
      <c r="AV24" s="160">
        <v>1374954.412</v>
      </c>
      <c r="AW24" s="152"/>
      <c r="AX24" s="152"/>
      <c r="AY24" s="152"/>
    </row>
    <row r="25" spans="1:51" ht="15">
      <c r="A25" s="1" t="s">
        <v>106</v>
      </c>
      <c r="B25" s="5" t="s">
        <v>182</v>
      </c>
      <c r="C25" s="5" t="s">
        <v>182</v>
      </c>
      <c r="D25" s="5" t="s">
        <v>182</v>
      </c>
      <c r="E25" s="3" t="s">
        <v>100</v>
      </c>
      <c r="F25" s="3" t="s">
        <v>51</v>
      </c>
      <c r="G25" s="5" t="s">
        <v>183</v>
      </c>
      <c r="H25" s="6">
        <v>63338577</v>
      </c>
      <c r="I25" s="2" t="s">
        <v>86</v>
      </c>
      <c r="J25" s="2" t="s">
        <v>87</v>
      </c>
      <c r="K25" s="7"/>
      <c r="L25" s="7" t="s">
        <v>55</v>
      </c>
      <c r="M25" s="3" t="s">
        <v>66</v>
      </c>
      <c r="N25" s="3" t="s">
        <v>67</v>
      </c>
      <c r="O25" s="112"/>
      <c r="P25" s="112"/>
      <c r="Q25" s="112" t="s">
        <v>58</v>
      </c>
      <c r="R25" s="3" t="str">
        <f ca="1">IF(M25="Arrojado","IPCA+6%",IF(M25="Arrojado Renda Construção","IPCA+6%",IF(M25="Arrojado Renda Usufruto","IPCA+6%",IF(M25="Moderado","IPCA+5%",IF(M25="Moderado Renda Construção","IPCA+5%",IF(M25="Moderado Renda Usufruto","IPCA+5%",IF(M25="Conservador","IPCA+4%",IF(M25="Conservador Renda Construção","IPCA+4%",IF(M25="Conservador Renda Usufruto","IPCA+4%",IF(M25="Ultraconservador","IPCA+4%",""))))))))))</f>
        <v>IPCA+4%</v>
      </c>
      <c r="S25" s="3" t="s">
        <v>59</v>
      </c>
      <c r="T25" s="3"/>
      <c r="U25" s="3"/>
      <c r="V25" s="130"/>
      <c r="W25" s="3"/>
      <c r="X25" s="3"/>
      <c r="Y25" s="3"/>
      <c r="Z25" s="142" t="s">
        <v>184</v>
      </c>
      <c r="AA25" s="77">
        <v>0</v>
      </c>
      <c r="AB25" s="77">
        <v>0</v>
      </c>
      <c r="AC25" s="77">
        <v>0</v>
      </c>
      <c r="AD25" s="77">
        <v>0</v>
      </c>
      <c r="AE25" s="77">
        <v>0</v>
      </c>
      <c r="AF25" s="77">
        <v>0</v>
      </c>
      <c r="AG25" s="77">
        <v>0</v>
      </c>
      <c r="AH25" s="77">
        <v>0</v>
      </c>
      <c r="AI25" s="77">
        <v>0</v>
      </c>
      <c r="AJ25" s="77">
        <v>0</v>
      </c>
      <c r="AK25" s="77">
        <v>0</v>
      </c>
      <c r="AL25" s="77">
        <v>0</v>
      </c>
      <c r="AM25" s="77">
        <v>0</v>
      </c>
      <c r="AN25" s="77" t="s">
        <v>185</v>
      </c>
      <c r="AO25" s="77">
        <v>0</v>
      </c>
      <c r="AP25" s="77">
        <v>0</v>
      </c>
      <c r="AQ25" s="80">
        <v>0</v>
      </c>
      <c r="AR25" s="80">
        <v>0</v>
      </c>
      <c r="AS25" s="80">
        <v>0</v>
      </c>
      <c r="AT25" s="132">
        <v>0</v>
      </c>
      <c r="AU25" s="132">
        <v>0</v>
      </c>
      <c r="AV25" s="132">
        <v>0</v>
      </c>
      <c r="AW25" s="152"/>
      <c r="AX25" s="152"/>
      <c r="AY25" s="152"/>
    </row>
    <row r="26" spans="1:51">
      <c r="A26" s="1" t="s">
        <v>73</v>
      </c>
      <c r="B26" s="5" t="s">
        <v>182</v>
      </c>
      <c r="C26" s="5" t="s">
        <v>182</v>
      </c>
      <c r="D26" s="5" t="s">
        <v>186</v>
      </c>
      <c r="E26" s="3" t="s">
        <v>100</v>
      </c>
      <c r="F26" s="3" t="s">
        <v>51</v>
      </c>
      <c r="G26" s="5" t="s">
        <v>187</v>
      </c>
      <c r="H26" s="6" t="s">
        <v>188</v>
      </c>
      <c r="I26" s="2" t="s">
        <v>86</v>
      </c>
      <c r="J26" s="2" t="s">
        <v>87</v>
      </c>
      <c r="K26" s="7"/>
      <c r="L26" s="7" t="s">
        <v>55</v>
      </c>
      <c r="M26" s="3" t="s">
        <v>66</v>
      </c>
      <c r="N26" s="3" t="s">
        <v>67</v>
      </c>
      <c r="O26" s="112">
        <v>46299</v>
      </c>
      <c r="P26" s="112">
        <v>46870</v>
      </c>
      <c r="Q26" s="112" t="s">
        <v>58</v>
      </c>
      <c r="R26" s="3" t="str">
        <f ca="1">IF(M26="Arrojado","IPCA+6%",IF(M26="Arrojado Renda Construção","IPCA+6%",IF(M26="Arrojado Renda Usufruto","IPCA+6%",IF(M26="Moderado","IPCA+5%",IF(M26="Moderado Renda Construção","IPCA+5%",IF(M26="Moderado Renda Usufruto","IPCA+5%",IF(M26="Conservador","IPCA+4%",IF(M26="Conservador Renda Construção","IPCA+4%",IF(M26="Conservador Renda Usufruto","IPCA+4%",IF(M26="Ultraconservador","IPCA+4%",""))))))))))</f>
        <v>IPCA+4%</v>
      </c>
      <c r="S26" s="3" t="s">
        <v>59</v>
      </c>
      <c r="T26" s="3"/>
      <c r="U26" s="3"/>
      <c r="V26" s="130"/>
      <c r="W26" s="3" t="s">
        <v>59</v>
      </c>
      <c r="X26" s="3" t="s">
        <v>59</v>
      </c>
      <c r="Y26" s="3" t="s">
        <v>71</v>
      </c>
      <c r="Z26" s="114" t="s">
        <v>189</v>
      </c>
      <c r="AA26" s="79">
        <v>0</v>
      </c>
      <c r="AB26" s="79">
        <v>0</v>
      </c>
      <c r="AC26" s="79">
        <v>0</v>
      </c>
      <c r="AD26" s="79">
        <v>0</v>
      </c>
      <c r="AE26" s="79">
        <v>0</v>
      </c>
      <c r="AF26" s="79">
        <v>0</v>
      </c>
      <c r="AG26" s="79">
        <v>0</v>
      </c>
      <c r="AH26" s="79">
        <v>0</v>
      </c>
      <c r="AI26" s="79">
        <v>0</v>
      </c>
      <c r="AJ26" s="79">
        <v>0</v>
      </c>
      <c r="AK26" s="79">
        <v>0</v>
      </c>
      <c r="AL26" s="79">
        <v>0</v>
      </c>
      <c r="AM26" s="79">
        <v>0</v>
      </c>
      <c r="AN26" s="77" t="s">
        <v>185</v>
      </c>
      <c r="AO26" s="79">
        <v>0</v>
      </c>
      <c r="AP26" s="79">
        <v>0</v>
      </c>
      <c r="AQ26" s="111">
        <v>0</v>
      </c>
      <c r="AR26" s="111">
        <v>0</v>
      </c>
      <c r="AS26" s="111">
        <v>0</v>
      </c>
      <c r="AT26" s="122">
        <v>413903.96</v>
      </c>
      <c r="AU26" s="122">
        <v>313403.78999999998</v>
      </c>
      <c r="AV26" s="122">
        <v>314546.39</v>
      </c>
    </row>
    <row r="27" spans="1:51">
      <c r="A27" s="1" t="s">
        <v>48</v>
      </c>
      <c r="B27" s="5" t="s">
        <v>190</v>
      </c>
      <c r="C27" s="5" t="s">
        <v>122</v>
      </c>
      <c r="D27" s="5" t="s">
        <v>190</v>
      </c>
      <c r="E27" s="3" t="s">
        <v>50</v>
      </c>
      <c r="F27" s="3" t="s">
        <v>123</v>
      </c>
      <c r="G27" s="5" t="s">
        <v>191</v>
      </c>
      <c r="H27" s="6">
        <v>17736177</v>
      </c>
      <c r="I27" s="2" t="s">
        <v>78</v>
      </c>
      <c r="J27" s="2" t="s">
        <v>54</v>
      </c>
      <c r="K27" s="7">
        <v>45701</v>
      </c>
      <c r="L27" s="7" t="s">
        <v>55</v>
      </c>
      <c r="M27" s="3" t="s">
        <v>192</v>
      </c>
      <c r="N27" s="3" t="s">
        <v>57</v>
      </c>
      <c r="O27" s="112">
        <v>46871</v>
      </c>
      <c r="P27" s="112">
        <v>46875</v>
      </c>
      <c r="Q27" s="112" t="s">
        <v>118</v>
      </c>
      <c r="R27" s="3" t="str">
        <f ca="1">IF(M27="Arrojado","IPCA+6%",IF(M27="Arrojado Renda Construção","IPCA+6%",IF(M27="Arrojado Renda Usufruto","IPCA+6%",IF(M27="Moderado","IPCA+5%",IF(M27="Moderado Renda Construção","IPCA+5%",IF(M27="Moderado Renda Usufruto","IPCA+5%",IF(M27="Conservador","IPCA+4%",IF(M27="Conservador Renda Construção","IPCA+4%",IF(M27="Conservador Renda Usufruto","IPCA+4%",IF(M27="Ultraconservador","IPCA+4%",""))))))))))</f>
        <v>IPCA+4%</v>
      </c>
      <c r="S27" s="3" t="s">
        <v>59</v>
      </c>
      <c r="T27" s="3" t="s">
        <v>69</v>
      </c>
      <c r="U27" s="3" t="s">
        <v>69</v>
      </c>
      <c r="V27" s="130"/>
      <c r="W27" s="3" t="s">
        <v>59</v>
      </c>
      <c r="X27" s="3" t="s">
        <v>69</v>
      </c>
      <c r="Y27" s="3" t="s">
        <v>71</v>
      </c>
      <c r="Z27" s="114" t="s">
        <v>193</v>
      </c>
      <c r="AA27" s="78">
        <v>0</v>
      </c>
      <c r="AB27" s="78">
        <v>39201.47</v>
      </c>
      <c r="AC27" s="78">
        <v>39615.5</v>
      </c>
      <c r="AD27" s="78">
        <v>40049.93</v>
      </c>
      <c r="AE27" s="78">
        <v>45311.72</v>
      </c>
      <c r="AF27" s="78">
        <v>45804.75</v>
      </c>
      <c r="AG27" s="78">
        <v>56427.18</v>
      </c>
      <c r="AH27" s="78">
        <v>57134.9</v>
      </c>
      <c r="AI27" s="78">
        <v>57872.18</v>
      </c>
      <c r="AJ27" s="78">
        <v>133525.82</v>
      </c>
      <c r="AK27" s="78">
        <v>134578.13</v>
      </c>
      <c r="AL27" s="78">
        <v>147293.51</v>
      </c>
      <c r="AM27" s="78">
        <v>92783.99</v>
      </c>
      <c r="AN27" s="111">
        <v>93231.33</v>
      </c>
      <c r="AO27" s="78">
        <v>93708.79</v>
      </c>
      <c r="AP27" s="78">
        <v>94117.24</v>
      </c>
      <c r="AQ27" s="78">
        <v>292270.84644400002</v>
      </c>
      <c r="AR27" s="79">
        <v>293377.45</v>
      </c>
      <c r="AS27" s="79">
        <v>296129.3</v>
      </c>
      <c r="AT27" s="122">
        <v>296270.13530000002</v>
      </c>
      <c r="AU27" s="122">
        <v>382588</v>
      </c>
      <c r="AV27" s="122">
        <v>385836.30910000001</v>
      </c>
    </row>
    <row r="28" spans="1:51">
      <c r="A28" s="1" t="s">
        <v>48</v>
      </c>
      <c r="B28" s="5" t="s">
        <v>194</v>
      </c>
      <c r="C28" s="5" t="s">
        <v>194</v>
      </c>
      <c r="D28" s="5" t="s">
        <v>194</v>
      </c>
      <c r="E28" s="3" t="s">
        <v>50</v>
      </c>
      <c r="F28" s="3" t="s">
        <v>51</v>
      </c>
      <c r="G28" s="5" t="s">
        <v>195</v>
      </c>
      <c r="H28" s="6" t="s">
        <v>196</v>
      </c>
      <c r="I28" s="2" t="s">
        <v>86</v>
      </c>
      <c r="J28" s="82" t="s">
        <v>54</v>
      </c>
      <c r="K28" s="7">
        <v>46286</v>
      </c>
      <c r="L28" s="7" t="s">
        <v>55</v>
      </c>
      <c r="M28" s="3"/>
      <c r="N28" s="3" t="s">
        <v>67</v>
      </c>
      <c r="O28" s="112">
        <v>47018</v>
      </c>
      <c r="P28" s="112">
        <v>47382</v>
      </c>
      <c r="Q28" s="112" t="s">
        <v>58</v>
      </c>
      <c r="R28" s="3"/>
      <c r="S28" s="3"/>
      <c r="T28" s="3"/>
      <c r="U28" s="3"/>
      <c r="V28" s="130"/>
      <c r="W28" s="3"/>
      <c r="X28" s="3"/>
      <c r="Y28" s="3"/>
      <c r="Z28" s="114" t="s">
        <v>197</v>
      </c>
      <c r="AA28" s="78">
        <v>0</v>
      </c>
      <c r="AB28" s="78">
        <v>0</v>
      </c>
      <c r="AC28" s="78">
        <v>0</v>
      </c>
      <c r="AD28" s="78">
        <v>0</v>
      </c>
      <c r="AE28" s="78">
        <v>0</v>
      </c>
      <c r="AF28" s="78">
        <v>0</v>
      </c>
      <c r="AG28" s="78">
        <v>0</v>
      </c>
      <c r="AH28" s="78">
        <v>0</v>
      </c>
      <c r="AI28" s="78">
        <v>0</v>
      </c>
      <c r="AJ28" s="78">
        <v>0</v>
      </c>
      <c r="AK28" s="78">
        <v>0</v>
      </c>
      <c r="AL28" s="78">
        <v>0</v>
      </c>
      <c r="AM28" s="78">
        <v>0</v>
      </c>
      <c r="AN28" s="78">
        <v>0</v>
      </c>
      <c r="AO28" s="78">
        <v>0</v>
      </c>
      <c r="AP28" s="78">
        <v>0</v>
      </c>
      <c r="AQ28" s="78">
        <v>0</v>
      </c>
      <c r="AR28" s="78">
        <v>0</v>
      </c>
      <c r="AS28" s="78">
        <v>0</v>
      </c>
      <c r="AT28" s="78">
        <v>0</v>
      </c>
      <c r="AU28" s="160">
        <v>0.01</v>
      </c>
      <c r="AV28" s="160">
        <v>0</v>
      </c>
    </row>
    <row r="29" spans="1:51" ht="15">
      <c r="A29" s="1" t="s">
        <v>73</v>
      </c>
      <c r="B29" s="5" t="s">
        <v>198</v>
      </c>
      <c r="C29" s="5" t="s">
        <v>198</v>
      </c>
      <c r="D29" s="5" t="s">
        <v>199</v>
      </c>
      <c r="E29" s="3" t="s">
        <v>50</v>
      </c>
      <c r="F29" s="3" t="s">
        <v>51</v>
      </c>
      <c r="G29" s="5" t="s">
        <v>200</v>
      </c>
      <c r="H29" s="6">
        <v>3630513</v>
      </c>
      <c r="I29" s="2" t="s">
        <v>53</v>
      </c>
      <c r="J29" s="2" t="s">
        <v>54</v>
      </c>
      <c r="K29" s="7"/>
      <c r="L29" s="7" t="s">
        <v>55</v>
      </c>
      <c r="M29" s="3" t="s">
        <v>201</v>
      </c>
      <c r="N29" s="3" t="s">
        <v>57</v>
      </c>
      <c r="O29" s="112">
        <v>46858</v>
      </c>
      <c r="P29" s="112">
        <v>47098</v>
      </c>
      <c r="Q29" s="112" t="s">
        <v>118</v>
      </c>
      <c r="R29" s="3" t="str">
        <f ca="1">IF(M29="Arrojado","IPCA+6%",IF(M29="Arrojado Renda Construção","IPCA+6%",IF(M29="Arrojado Renda Usufruto","IPCA+6%",IF(M29="Moderado","IPCA+5%",IF(M29="Moderado Renda Construção","IPCA+5%",IF(M29="Moderado Renda Usufruto","IPCA+5%",IF(M29="Conservador","IPCA+4%",IF(M29="Conservador Renda Construção","IPCA+4%",IF(M29="Conservador Renda Usufruto","IPCA+4%",IF(M29="Ultraconservador","IPCA+4%",""))))))))))</f>
        <v>IPCA+6%</v>
      </c>
      <c r="S29" s="3" t="s">
        <v>69</v>
      </c>
      <c r="T29" s="3" t="s">
        <v>59</v>
      </c>
      <c r="U29" s="3" t="s">
        <v>59</v>
      </c>
      <c r="V29" s="130" t="s">
        <v>202</v>
      </c>
      <c r="W29" s="3" t="s">
        <v>59</v>
      </c>
      <c r="X29" s="3" t="s">
        <v>69</v>
      </c>
      <c r="Y29" s="3" t="s">
        <v>203</v>
      </c>
      <c r="Z29" s="114" t="s">
        <v>204</v>
      </c>
      <c r="AA29" s="78">
        <v>878446.54</v>
      </c>
      <c r="AB29" s="78">
        <v>940545.61</v>
      </c>
      <c r="AC29" s="78">
        <v>954756.57</v>
      </c>
      <c r="AD29" s="78">
        <v>976844.32</v>
      </c>
      <c r="AE29" s="78">
        <v>988431.48</v>
      </c>
      <c r="AF29" s="78">
        <v>1066746.31</v>
      </c>
      <c r="AG29" s="78">
        <v>1099155.22</v>
      </c>
      <c r="AH29" s="78">
        <v>1118378.19</v>
      </c>
      <c r="AI29" s="78">
        <v>1140502.75</v>
      </c>
      <c r="AJ29" s="78">
        <v>1153113.67</v>
      </c>
      <c r="AK29" s="78" t="s">
        <v>205</v>
      </c>
      <c r="AL29" s="78">
        <v>1261269.67</v>
      </c>
      <c r="AM29" s="78">
        <v>1232273.3200000003</v>
      </c>
      <c r="AN29" s="111">
        <v>1251767.1200000001</v>
      </c>
      <c r="AO29" s="78">
        <v>1245558.58</v>
      </c>
      <c r="AP29" s="78">
        <v>1686853.94</v>
      </c>
      <c r="AQ29" s="78">
        <v>1681139.04</v>
      </c>
      <c r="AR29" s="78">
        <v>1656321.8000000003</v>
      </c>
      <c r="AS29" s="78">
        <v>1659678.7299999997</v>
      </c>
      <c r="AT29" s="122">
        <v>1713286.07</v>
      </c>
      <c r="AU29" s="122">
        <v>1728074.58</v>
      </c>
      <c r="AV29" s="122">
        <v>1786554.91</v>
      </c>
      <c r="AW29" s="152"/>
      <c r="AX29" s="152"/>
      <c r="AY29" s="152"/>
    </row>
    <row r="30" spans="1:51">
      <c r="A30" s="1" t="s">
        <v>106</v>
      </c>
      <c r="B30" s="5" t="s">
        <v>198</v>
      </c>
      <c r="C30" s="5" t="s">
        <v>198</v>
      </c>
      <c r="D30" s="5" t="s">
        <v>206</v>
      </c>
      <c r="E30" s="3" t="s">
        <v>100</v>
      </c>
      <c r="F30" s="3" t="s">
        <v>51</v>
      </c>
      <c r="G30" s="5" t="s">
        <v>207</v>
      </c>
      <c r="H30" s="6">
        <v>73800696</v>
      </c>
      <c r="I30" s="2" t="s">
        <v>53</v>
      </c>
      <c r="J30" s="2" t="s">
        <v>54</v>
      </c>
      <c r="K30" s="7"/>
      <c r="L30" s="7" t="s">
        <v>55</v>
      </c>
      <c r="M30" s="3" t="s">
        <v>201</v>
      </c>
      <c r="N30" s="3" t="s">
        <v>57</v>
      </c>
      <c r="O30" s="112"/>
      <c r="P30" s="112"/>
      <c r="Q30" s="112" t="s">
        <v>118</v>
      </c>
      <c r="R30" s="3" t="str">
        <f ca="1">IF(M30="Arrojado","IPCA+6%",IF(M30="Arrojado Renda Construção","IPCA+6%",IF(M30="Arrojado Renda Usufruto","IPCA+6%",IF(M30="Moderado","IPCA+5%",IF(M30="Moderado Renda Construção","IPCA+5%",IF(M30="Moderado Renda Usufruto","IPCA+5%",IF(M30="Conservador","IPCA+4%",IF(M30="Conservador Renda Construção","IPCA+4%",IF(M30="Conservador Renda Usufruto","IPCA+4%",IF(M30="Ultraconservador","IPCA+4%",""))))))))))</f>
        <v>IPCA+6%</v>
      </c>
      <c r="S30" s="3" t="s">
        <v>69</v>
      </c>
      <c r="T30" s="3" t="s">
        <v>59</v>
      </c>
      <c r="U30" s="3" t="s">
        <v>59</v>
      </c>
      <c r="V30" s="130" t="s">
        <v>202</v>
      </c>
      <c r="W30" s="3" t="s">
        <v>59</v>
      </c>
      <c r="X30" s="3" t="s">
        <v>69</v>
      </c>
      <c r="Y30" s="3" t="s">
        <v>203</v>
      </c>
      <c r="Z30" s="114" t="s">
        <v>208</v>
      </c>
      <c r="AA30" s="77">
        <v>0</v>
      </c>
      <c r="AB30" s="77">
        <v>0</v>
      </c>
      <c r="AC30" s="77">
        <v>0</v>
      </c>
      <c r="AD30" s="77">
        <v>0</v>
      </c>
      <c r="AE30" s="77">
        <v>0</v>
      </c>
      <c r="AF30" s="77">
        <v>95422.43</v>
      </c>
      <c r="AG30" s="77">
        <v>754202.19</v>
      </c>
      <c r="AH30" s="77">
        <v>769390.24</v>
      </c>
      <c r="AI30" s="77">
        <v>782509.42</v>
      </c>
      <c r="AJ30" s="77">
        <v>796775.95</v>
      </c>
      <c r="AK30" s="77">
        <v>841130.93</v>
      </c>
      <c r="AL30" s="77">
        <v>803763.09</v>
      </c>
      <c r="AM30" s="77">
        <v>807290.53</v>
      </c>
      <c r="AN30" s="77">
        <v>831988.14</v>
      </c>
      <c r="AO30" s="77">
        <v>800646.57</v>
      </c>
      <c r="AP30" s="77">
        <v>824052.13</v>
      </c>
      <c r="AQ30" s="80">
        <v>830749.37</v>
      </c>
      <c r="AR30" s="80">
        <v>832823.3</v>
      </c>
      <c r="AS30" s="80">
        <v>824595.89</v>
      </c>
      <c r="AT30" s="132">
        <v>838070.72</v>
      </c>
      <c r="AU30" s="132">
        <v>807702.43</v>
      </c>
      <c r="AV30" s="132">
        <v>811267.09</v>
      </c>
    </row>
    <row r="31" spans="1:51">
      <c r="A31" s="1" t="s">
        <v>106</v>
      </c>
      <c r="B31" s="5" t="s">
        <v>198</v>
      </c>
      <c r="C31" s="5" t="s">
        <v>198</v>
      </c>
      <c r="D31" s="5" t="s">
        <v>209</v>
      </c>
      <c r="E31" s="3" t="s">
        <v>50</v>
      </c>
      <c r="F31" s="3" t="s">
        <v>51</v>
      </c>
      <c r="G31" s="5" t="s">
        <v>207</v>
      </c>
      <c r="H31" s="6">
        <v>83075437</v>
      </c>
      <c r="I31" s="2" t="s">
        <v>53</v>
      </c>
      <c r="J31" s="2" t="s">
        <v>54</v>
      </c>
      <c r="K31" s="7"/>
      <c r="L31" s="7" t="s">
        <v>55</v>
      </c>
      <c r="M31" s="3" t="s">
        <v>201</v>
      </c>
      <c r="N31" s="3" t="s">
        <v>57</v>
      </c>
      <c r="O31" s="112"/>
      <c r="P31" s="112"/>
      <c r="Q31" s="112" t="s">
        <v>118</v>
      </c>
      <c r="R31" s="3" t="str">
        <f ca="1">IF(M31="Arrojado","IPCA+6%",IF(M31="Arrojado Renda Construção","IPCA+6%",IF(M31="Arrojado Renda Usufruto","IPCA+6%",IF(M31="Moderado","IPCA+5%",IF(M31="Moderado Renda Construção","IPCA+5%",IF(M31="Moderado Renda Usufruto","IPCA+5%",IF(M31="Conservador","IPCA+4%",IF(M31="Conservador Renda Construção","IPCA+4%",IF(M31="Conservador Renda Usufruto","IPCA+4%",IF(M31="Ultraconservador","IPCA+4%",""))))))))))</f>
        <v>IPCA+6%</v>
      </c>
      <c r="S31" s="3" t="s">
        <v>69</v>
      </c>
      <c r="T31" s="3" t="s">
        <v>59</v>
      </c>
      <c r="U31" s="3" t="s">
        <v>59</v>
      </c>
      <c r="V31" s="130" t="s">
        <v>202</v>
      </c>
      <c r="W31" s="3" t="s">
        <v>59</v>
      </c>
      <c r="X31" s="3" t="s">
        <v>69</v>
      </c>
      <c r="Y31" s="3" t="s">
        <v>203</v>
      </c>
      <c r="Z31" s="114" t="s">
        <v>208</v>
      </c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77"/>
      <c r="AM31" s="77"/>
      <c r="AN31" s="77"/>
      <c r="AO31" s="77"/>
      <c r="AP31" s="77"/>
      <c r="AQ31" s="80">
        <v>0</v>
      </c>
      <c r="AR31" s="80">
        <v>0</v>
      </c>
      <c r="AS31" s="80">
        <v>0</v>
      </c>
      <c r="AT31" s="132">
        <v>0</v>
      </c>
      <c r="AU31" s="132">
        <v>0</v>
      </c>
      <c r="AV31" s="132">
        <v>0</v>
      </c>
    </row>
    <row r="32" spans="1:51">
      <c r="A32" s="1" t="s">
        <v>48</v>
      </c>
      <c r="B32" s="5" t="s">
        <v>198</v>
      </c>
      <c r="C32" s="5" t="s">
        <v>198</v>
      </c>
      <c r="D32" s="5" t="s">
        <v>209</v>
      </c>
      <c r="E32" s="3" t="s">
        <v>50</v>
      </c>
      <c r="F32" s="3" t="s">
        <v>51</v>
      </c>
      <c r="G32" s="5" t="s">
        <v>210</v>
      </c>
      <c r="H32" s="6">
        <v>500819</v>
      </c>
      <c r="I32" s="2" t="s">
        <v>53</v>
      </c>
      <c r="J32" s="2" t="s">
        <v>54</v>
      </c>
      <c r="K32" s="7">
        <v>45546</v>
      </c>
      <c r="L32" s="7" t="s">
        <v>55</v>
      </c>
      <c r="M32" s="3" t="s">
        <v>201</v>
      </c>
      <c r="N32" s="3" t="s">
        <v>57</v>
      </c>
      <c r="O32" s="112">
        <v>46671</v>
      </c>
      <c r="P32" s="112">
        <v>47269</v>
      </c>
      <c r="Q32" s="112" t="s">
        <v>118</v>
      </c>
      <c r="R32" s="3" t="str">
        <f ca="1">IF(M32="Arrojado","IPCA+6%",IF(M32="Arrojado Renda Construção","IPCA+6%",IF(M32="Arrojado Renda Usufruto","IPCA+6%",IF(M32="Moderado","IPCA+5%",IF(M32="Moderado Renda Construção","IPCA+5%",IF(M32="Moderado Renda Usufruto","IPCA+5%",IF(M32="Conservador","IPCA+4%",IF(M32="Conservador Renda Construção","IPCA+4%",IF(M32="Conservador Renda Usufruto","IPCA+4%",IF(M32="Ultraconservador","IPCA+4%",""))))))))))</f>
        <v>IPCA+6%</v>
      </c>
      <c r="S32" s="3" t="s">
        <v>69</v>
      </c>
      <c r="T32" s="3" t="s">
        <v>59</v>
      </c>
      <c r="U32" s="3" t="s">
        <v>59</v>
      </c>
      <c r="V32" s="130" t="s">
        <v>202</v>
      </c>
      <c r="W32" s="3" t="s">
        <v>59</v>
      </c>
      <c r="X32" s="3" t="s">
        <v>69</v>
      </c>
      <c r="Y32" s="3" t="s">
        <v>203</v>
      </c>
      <c r="Z32" s="114" t="s">
        <v>211</v>
      </c>
      <c r="AA32" s="78">
        <v>963088.63</v>
      </c>
      <c r="AB32" s="78">
        <v>956651.54</v>
      </c>
      <c r="AC32" s="78">
        <v>965131.45</v>
      </c>
      <c r="AD32" s="78">
        <v>990564.34</v>
      </c>
      <c r="AE32" s="78">
        <v>1000451.06</v>
      </c>
      <c r="AF32" s="78">
        <v>1005862.21</v>
      </c>
      <c r="AG32" s="78">
        <v>994499.88</v>
      </c>
      <c r="AH32" s="78">
        <v>1018942.32</v>
      </c>
      <c r="AI32" s="78">
        <v>1049967.1599999999</v>
      </c>
      <c r="AJ32" s="78">
        <v>1065598.33</v>
      </c>
      <c r="AK32" s="78">
        <v>1098565.3999999999</v>
      </c>
      <c r="AL32" s="78">
        <v>1154337.27</v>
      </c>
      <c r="AM32" s="78">
        <v>1186941.28</v>
      </c>
      <c r="AN32" s="111">
        <v>1215009.33</v>
      </c>
      <c r="AO32" s="78">
        <v>1212488.07</v>
      </c>
      <c r="AP32" s="78">
        <v>1231323.1100000001</v>
      </c>
      <c r="AQ32" s="78">
        <v>1201103.275623</v>
      </c>
      <c r="AR32" s="79">
        <v>1197481.57</v>
      </c>
      <c r="AS32" s="79">
        <v>1194917</v>
      </c>
      <c r="AT32" s="122">
        <v>1198009.5730000001</v>
      </c>
      <c r="AU32" s="122">
        <v>1213352.06</v>
      </c>
      <c r="AV32" s="122">
        <v>1266310.048</v>
      </c>
    </row>
    <row r="33" spans="1:51" ht="15">
      <c r="A33" s="1" t="s">
        <v>73</v>
      </c>
      <c r="B33" s="5" t="s">
        <v>74</v>
      </c>
      <c r="C33" s="5" t="s">
        <v>75</v>
      </c>
      <c r="D33" s="5" t="s">
        <v>74</v>
      </c>
      <c r="E33" s="3" t="s">
        <v>50</v>
      </c>
      <c r="F33" s="3" t="s">
        <v>51</v>
      </c>
      <c r="G33" s="5" t="s">
        <v>212</v>
      </c>
      <c r="H33" s="6" t="s">
        <v>213</v>
      </c>
      <c r="I33" s="2" t="s">
        <v>78</v>
      </c>
      <c r="J33" s="2" t="s">
        <v>54</v>
      </c>
      <c r="K33" s="7"/>
      <c r="L33" s="7" t="s">
        <v>55</v>
      </c>
      <c r="M33" s="3" t="s">
        <v>56</v>
      </c>
      <c r="N33" s="3" t="s">
        <v>57</v>
      </c>
      <c r="O33" s="112">
        <v>46491</v>
      </c>
      <c r="P33" s="112">
        <v>46487</v>
      </c>
      <c r="Q33" s="112" t="s">
        <v>118</v>
      </c>
      <c r="R33" s="3" t="str">
        <f ca="1">IF(M33="Arrojado","IPCA+6%",IF(M33="Arrojado Renda Construção","IPCA+6%",IF(M33="Arrojado Renda Usufruto","IPCA+6%",IF(M33="Moderado","IPCA+5%",IF(M33="Moderado Renda Construção","IPCA+5%",IF(M33="Moderado Renda Usufruto","IPCA+5%",IF(M33="Conservador","IPCA+4%",IF(M33="Conservador Renda Construção","IPCA+4%",IF(M33="Conservador Renda Usufruto","IPCA+4%",IF(M33="Ultraconservador","IPCA+4%",""))))))))))</f>
        <v>IPCA+5%</v>
      </c>
      <c r="S33" s="3" t="s">
        <v>59</v>
      </c>
      <c r="T33" s="3" t="s">
        <v>69</v>
      </c>
      <c r="U33" s="3" t="s">
        <v>59</v>
      </c>
      <c r="V33" s="130" t="s">
        <v>214</v>
      </c>
      <c r="W33" s="3" t="s">
        <v>69</v>
      </c>
      <c r="X33" s="3" t="s">
        <v>69</v>
      </c>
      <c r="Y33" s="3" t="s">
        <v>71</v>
      </c>
      <c r="Z33" s="114" t="s">
        <v>215</v>
      </c>
      <c r="AA33" s="78">
        <v>113388.38</v>
      </c>
      <c r="AB33" s="78">
        <v>114580.02</v>
      </c>
      <c r="AC33" s="78">
        <v>115619.29</v>
      </c>
      <c r="AD33" s="78">
        <v>114649.62</v>
      </c>
      <c r="AE33" s="78">
        <v>115750.85</v>
      </c>
      <c r="AF33" s="78">
        <v>117163.39</v>
      </c>
      <c r="AG33" s="78">
        <v>118799.03</v>
      </c>
      <c r="AH33" s="78">
        <v>120259.75</v>
      </c>
      <c r="AI33" s="78">
        <v>121676.8</v>
      </c>
      <c r="AJ33" s="78">
        <v>123185.48</v>
      </c>
      <c r="AK33" s="78">
        <v>124978.86</v>
      </c>
      <c r="AL33" s="78">
        <v>126551.76</v>
      </c>
      <c r="AM33" s="78">
        <v>109367.61</v>
      </c>
      <c r="AN33" s="111">
        <v>110680.76</v>
      </c>
      <c r="AO33" s="78">
        <v>112695.76</v>
      </c>
      <c r="AP33" s="78">
        <v>113827.14</v>
      </c>
      <c r="AQ33" s="78">
        <v>115284.09</v>
      </c>
      <c r="AR33" s="111">
        <v>116265.77000000002</v>
      </c>
      <c r="AS33" s="111">
        <v>117947.45999999999</v>
      </c>
      <c r="AT33" s="122">
        <v>119246.8</v>
      </c>
      <c r="AU33" s="122">
        <v>120729.3</v>
      </c>
      <c r="AV33" s="122">
        <v>121293.82</v>
      </c>
      <c r="AW33" s="152"/>
      <c r="AX33" s="152"/>
      <c r="AY33" s="152"/>
    </row>
    <row r="34" spans="1:51">
      <c r="A34" s="1" t="s">
        <v>48</v>
      </c>
      <c r="B34" s="5" t="s">
        <v>74</v>
      </c>
      <c r="C34" s="5" t="s">
        <v>75</v>
      </c>
      <c r="D34" s="5" t="s">
        <v>74</v>
      </c>
      <c r="E34" s="3" t="s">
        <v>50</v>
      </c>
      <c r="F34" s="3" t="s">
        <v>51</v>
      </c>
      <c r="G34" s="5" t="s">
        <v>216</v>
      </c>
      <c r="H34" s="6">
        <v>3721574</v>
      </c>
      <c r="I34" s="2" t="s">
        <v>78</v>
      </c>
      <c r="J34" s="2" t="s">
        <v>54</v>
      </c>
      <c r="K34" s="7">
        <v>45601</v>
      </c>
      <c r="L34" s="7" t="s">
        <v>55</v>
      </c>
      <c r="M34" s="3" t="s">
        <v>56</v>
      </c>
      <c r="N34" s="3" t="s">
        <v>57</v>
      </c>
      <c r="O34" s="112">
        <v>46692</v>
      </c>
      <c r="P34" s="112">
        <v>46916</v>
      </c>
      <c r="Q34" s="112" t="s">
        <v>118</v>
      </c>
      <c r="R34" s="3" t="str">
        <f ca="1">IF(M34="Arrojado","IPCA+6%",IF(M34="Arrojado Renda Construção","IPCA+6%",IF(M34="Arrojado Renda Usufruto","IPCA+6%",IF(M34="Moderado","IPCA+5%",IF(M34="Moderado Renda Construção","IPCA+5%",IF(M34="Moderado Renda Usufruto","IPCA+5%",IF(M34="Conservador","IPCA+4%",IF(M34="Conservador Renda Construção","IPCA+4%",IF(M34="Conservador Renda Usufruto","IPCA+4%",IF(M34="Ultraconservador","IPCA+4%",""))))))))))</f>
        <v>IPCA+5%</v>
      </c>
      <c r="S34" s="3" t="s">
        <v>59</v>
      </c>
      <c r="T34" s="3" t="s">
        <v>69</v>
      </c>
      <c r="U34" s="3" t="s">
        <v>59</v>
      </c>
      <c r="V34" s="130" t="s">
        <v>214</v>
      </c>
      <c r="W34" s="3" t="s">
        <v>69</v>
      </c>
      <c r="X34" s="3" t="s">
        <v>69</v>
      </c>
      <c r="Y34" s="3" t="s">
        <v>71</v>
      </c>
      <c r="Z34" s="114" t="s">
        <v>217</v>
      </c>
      <c r="AA34" s="78">
        <v>737870.19</v>
      </c>
      <c r="AB34" s="78">
        <v>745621.41</v>
      </c>
      <c r="AC34" s="78">
        <v>757897.53</v>
      </c>
      <c r="AD34" s="78">
        <v>777794.81</v>
      </c>
      <c r="AE34" s="78">
        <v>897757.59</v>
      </c>
      <c r="AF34" s="78">
        <v>914478.1</v>
      </c>
      <c r="AG34" s="78">
        <v>929531.95</v>
      </c>
      <c r="AH34" s="78">
        <v>741588.82</v>
      </c>
      <c r="AI34" s="78">
        <v>760987.98</v>
      </c>
      <c r="AJ34" s="78">
        <v>935298.07</v>
      </c>
      <c r="AK34" s="78">
        <v>988859.97</v>
      </c>
      <c r="AL34" s="78">
        <v>1015455.02</v>
      </c>
      <c r="AM34" s="78">
        <v>1047184.55</v>
      </c>
      <c r="AN34" s="111">
        <v>1009002.6</v>
      </c>
      <c r="AO34" s="78">
        <v>1015674.71</v>
      </c>
      <c r="AP34" s="78">
        <v>1039592.15</v>
      </c>
      <c r="AQ34" s="78">
        <v>1146849.2465498</v>
      </c>
      <c r="AR34" s="79">
        <v>1174791.98</v>
      </c>
      <c r="AS34" s="79">
        <v>1201453</v>
      </c>
      <c r="AT34" s="122">
        <v>1296721.287</v>
      </c>
      <c r="AU34" s="122">
        <v>1368313.94</v>
      </c>
      <c r="AV34" s="122">
        <v>1393057.6969999999</v>
      </c>
    </row>
    <row r="35" spans="1:51">
      <c r="A35" s="1" t="s">
        <v>106</v>
      </c>
      <c r="B35" s="5" t="s">
        <v>122</v>
      </c>
      <c r="C35" s="5" t="s">
        <v>122</v>
      </c>
      <c r="D35" s="5" t="s">
        <v>218</v>
      </c>
      <c r="E35" s="3" t="s">
        <v>50</v>
      </c>
      <c r="F35" s="3" t="s">
        <v>123</v>
      </c>
      <c r="G35" s="5" t="s">
        <v>219</v>
      </c>
      <c r="H35" s="6" t="s">
        <v>220</v>
      </c>
      <c r="I35" s="2" t="s">
        <v>78</v>
      </c>
      <c r="J35" s="2" t="s">
        <v>54</v>
      </c>
      <c r="K35" s="7"/>
      <c r="L35" s="7" t="s">
        <v>55</v>
      </c>
      <c r="M35" s="3" t="s">
        <v>192</v>
      </c>
      <c r="N35" s="3" t="s">
        <v>57</v>
      </c>
      <c r="O35" s="112"/>
      <c r="P35" s="112"/>
      <c r="Q35" s="112" t="s">
        <v>118</v>
      </c>
      <c r="R35" s="3" t="str">
        <f ca="1">IF(M35="Arrojado","IPCA+6%",IF(M35="Arrojado Renda Construção","IPCA+6%",IF(M35="Arrojado Renda Usufruto","IPCA+6%",IF(M35="Moderado","IPCA+5%",IF(M35="Moderado Renda Construção","IPCA+5%",IF(M35="Moderado Renda Usufruto","IPCA+5%",IF(M35="Conservador","IPCA+4%",IF(M35="Conservador Renda Construção","IPCA+4%",IF(M35="Conservador Renda Usufruto","IPCA+4%",IF(M35="Ultraconservador","IPCA+4%",""))))))))))</f>
        <v>IPCA+4%</v>
      </c>
      <c r="S35" s="3" t="s">
        <v>69</v>
      </c>
      <c r="T35" s="3" t="s">
        <v>69</v>
      </c>
      <c r="U35" s="3" t="s">
        <v>69</v>
      </c>
      <c r="V35" s="130" t="s">
        <v>221</v>
      </c>
      <c r="W35" s="3" t="s">
        <v>59</v>
      </c>
      <c r="X35" s="3" t="s">
        <v>69</v>
      </c>
      <c r="Y35" s="3" t="s">
        <v>138</v>
      </c>
      <c r="Z35" s="114" t="s">
        <v>222</v>
      </c>
      <c r="AA35" s="77">
        <v>0</v>
      </c>
      <c r="AB35" s="77">
        <v>67026.210000000006</v>
      </c>
      <c r="AC35" s="77">
        <v>100844.67</v>
      </c>
      <c r="AD35" s="77">
        <v>133437.76999999999</v>
      </c>
      <c r="AE35" s="77">
        <v>166620.04999999999</v>
      </c>
      <c r="AF35" s="77">
        <v>210531.43</v>
      </c>
      <c r="AG35" s="77">
        <v>246503.72</v>
      </c>
      <c r="AH35" s="77">
        <v>282933.57</v>
      </c>
      <c r="AI35" s="77">
        <v>329896.39</v>
      </c>
      <c r="AJ35" s="77">
        <v>611561.63</v>
      </c>
      <c r="AK35" s="77">
        <v>655510.67000000004</v>
      </c>
      <c r="AL35" s="77">
        <v>679727.43</v>
      </c>
      <c r="AM35" s="77">
        <v>715112.31</v>
      </c>
      <c r="AN35" s="77">
        <v>780721.74</v>
      </c>
      <c r="AO35" s="77">
        <v>777132.94</v>
      </c>
      <c r="AP35" s="77">
        <v>824273.49</v>
      </c>
      <c r="AQ35" s="80">
        <v>863537.41</v>
      </c>
      <c r="AR35" s="80">
        <v>911706.93</v>
      </c>
      <c r="AS35" s="80">
        <v>921665.47</v>
      </c>
      <c r="AT35" s="132">
        <v>964941.33</v>
      </c>
      <c r="AU35" s="132">
        <v>945407.83</v>
      </c>
      <c r="AV35" s="132">
        <v>995433.02</v>
      </c>
    </row>
    <row r="36" spans="1:51">
      <c r="A36" s="1" t="s">
        <v>48</v>
      </c>
      <c r="B36" s="5" t="s">
        <v>122</v>
      </c>
      <c r="C36" s="5" t="s">
        <v>122</v>
      </c>
      <c r="D36" s="5" t="s">
        <v>190</v>
      </c>
      <c r="E36" s="3" t="s">
        <v>50</v>
      </c>
      <c r="F36" s="3" t="s">
        <v>123</v>
      </c>
      <c r="G36" s="5" t="s">
        <v>223</v>
      </c>
      <c r="H36" s="6">
        <v>17208214</v>
      </c>
      <c r="I36" s="2" t="s">
        <v>78</v>
      </c>
      <c r="J36" s="2" t="s">
        <v>54</v>
      </c>
      <c r="K36" s="7">
        <v>45649</v>
      </c>
      <c r="L36" s="7" t="s">
        <v>55</v>
      </c>
      <c r="M36" s="3" t="s">
        <v>192</v>
      </c>
      <c r="N36" s="3" t="s">
        <v>57</v>
      </c>
      <c r="O36" s="112">
        <v>46871</v>
      </c>
      <c r="P36" s="112">
        <v>46875</v>
      </c>
      <c r="Q36" s="112" t="s">
        <v>118</v>
      </c>
      <c r="R36" s="3" t="str">
        <f ca="1">IF(M36="Arrojado","IPCA+6%",IF(M36="Arrojado Renda Construção","IPCA+6%",IF(M36="Arrojado Renda Usufruto","IPCA+6%",IF(M36="Moderado","IPCA+5%",IF(M36="Moderado Renda Construção","IPCA+5%",IF(M36="Moderado Renda Usufruto","IPCA+5%",IF(M36="Conservador","IPCA+4%",IF(M36="Conservador Renda Construção","IPCA+4%",IF(M36="Conservador Renda Usufruto","IPCA+4%",IF(M36="Ultraconservador","IPCA+4%",""))))))))))</f>
        <v>IPCA+4%</v>
      </c>
      <c r="S36" s="3" t="s">
        <v>69</v>
      </c>
      <c r="T36" s="3" t="s">
        <v>69</v>
      </c>
      <c r="U36" s="3" t="s">
        <v>69</v>
      </c>
      <c r="V36" s="130" t="s">
        <v>221</v>
      </c>
      <c r="W36" s="3" t="s">
        <v>59</v>
      </c>
      <c r="X36" s="3" t="s">
        <v>69</v>
      </c>
      <c r="Y36" s="3" t="s">
        <v>138</v>
      </c>
      <c r="Z36" s="114" t="s">
        <v>193</v>
      </c>
      <c r="AA36" s="78">
        <v>6460275.21</v>
      </c>
      <c r="AB36" s="78">
        <v>6325610.29</v>
      </c>
      <c r="AC36" s="78">
        <v>6301303.6600000001</v>
      </c>
      <c r="AD36" s="78">
        <v>6260679.3899999997</v>
      </c>
      <c r="AE36" s="78">
        <v>6048682.46</v>
      </c>
      <c r="AF36" s="78">
        <v>5979863.8700000001</v>
      </c>
      <c r="AG36" s="78">
        <v>5862415.9500000002</v>
      </c>
      <c r="AH36" s="78">
        <v>5817956.8300000001</v>
      </c>
      <c r="AI36" s="78">
        <v>9268241.9000000004</v>
      </c>
      <c r="AJ36" s="78">
        <v>12905114.609999999</v>
      </c>
      <c r="AK36" s="78">
        <v>12808622.85</v>
      </c>
      <c r="AL36" s="78">
        <v>12790610.17</v>
      </c>
      <c r="AM36" s="78">
        <v>12763590.869999999</v>
      </c>
      <c r="AN36" s="111">
        <v>12765168.43</v>
      </c>
      <c r="AO36" s="78">
        <v>12584149.529999999</v>
      </c>
      <c r="AP36" s="78">
        <v>12656087.029999999</v>
      </c>
      <c r="AQ36" s="78">
        <v>12787494.019932119</v>
      </c>
      <c r="AR36" s="79">
        <v>12754197.08</v>
      </c>
      <c r="AS36" s="79">
        <v>13123316</v>
      </c>
      <c r="AT36" s="122">
        <v>13155359.189999999</v>
      </c>
      <c r="AU36" s="122">
        <v>16698387.210000001</v>
      </c>
      <c r="AV36" s="122">
        <v>17680367.079999998</v>
      </c>
    </row>
    <row r="37" spans="1:51">
      <c r="A37" s="1" t="s">
        <v>48</v>
      </c>
      <c r="B37" s="5" t="s">
        <v>122</v>
      </c>
      <c r="C37" s="5" t="s">
        <v>122</v>
      </c>
      <c r="D37" s="5" t="s">
        <v>224</v>
      </c>
      <c r="E37" s="3" t="s">
        <v>50</v>
      </c>
      <c r="F37" s="3" t="s">
        <v>123</v>
      </c>
      <c r="G37" s="5" t="s">
        <v>225</v>
      </c>
      <c r="H37" s="6">
        <v>15706583</v>
      </c>
      <c r="I37" s="2" t="s">
        <v>78</v>
      </c>
      <c r="J37" s="2" t="s">
        <v>54</v>
      </c>
      <c r="K37" s="7">
        <v>45659</v>
      </c>
      <c r="L37" s="7" t="s">
        <v>226</v>
      </c>
      <c r="M37" s="3" t="s">
        <v>192</v>
      </c>
      <c r="N37" s="3" t="s">
        <v>57</v>
      </c>
      <c r="O37" s="112">
        <v>47398</v>
      </c>
      <c r="P37" s="112">
        <v>46776</v>
      </c>
      <c r="Q37" s="112" t="s">
        <v>118</v>
      </c>
      <c r="R37" s="3" t="str">
        <f ca="1">IF(M37="Arrojado","IPCA+6%",IF(M37="Arrojado Renda Construção","IPCA+6%",IF(M37="Arrojado Renda Usufruto","IPCA+6%",IF(M37="Moderado","IPCA+5%",IF(M37="Moderado Renda Construção","IPCA+5%",IF(M37="Moderado Renda Usufruto","IPCA+5%",IF(M37="Conservador","IPCA+4%",IF(M37="Conservador Renda Construção","IPCA+4%",IF(M37="Conservador Renda Usufruto","IPCA+4%",IF(M37="Ultraconservador","IPCA+4%",""))))))))))</f>
        <v>IPCA+4%</v>
      </c>
      <c r="S37" s="3" t="s">
        <v>69</v>
      </c>
      <c r="T37" s="3" t="s">
        <v>69</v>
      </c>
      <c r="U37" s="3" t="s">
        <v>69</v>
      </c>
      <c r="V37" s="130" t="s">
        <v>221</v>
      </c>
      <c r="W37" s="3" t="s">
        <v>59</v>
      </c>
      <c r="X37" s="3" t="s">
        <v>69</v>
      </c>
      <c r="Y37" s="3" t="s">
        <v>138</v>
      </c>
      <c r="Z37" s="114" t="s">
        <v>227</v>
      </c>
      <c r="AA37" s="78">
        <v>3113995.79</v>
      </c>
      <c r="AB37" s="78">
        <v>3248362.34</v>
      </c>
      <c r="AC37" s="78">
        <v>3234267.46</v>
      </c>
      <c r="AD37" s="78">
        <v>3832670.21</v>
      </c>
      <c r="AE37" s="78">
        <v>3820504.86</v>
      </c>
      <c r="AF37" s="78">
        <v>3840846.39</v>
      </c>
      <c r="AG37" s="78">
        <v>3802072.03</v>
      </c>
      <c r="AH37" s="78">
        <v>4492285.75</v>
      </c>
      <c r="AI37" s="78">
        <v>4487345.9400000004</v>
      </c>
      <c r="AJ37" s="78">
        <v>4689896.41</v>
      </c>
      <c r="AK37" s="78">
        <v>5087292.8499999996</v>
      </c>
      <c r="AL37" s="78">
        <v>5027973.72</v>
      </c>
      <c r="AM37" s="78">
        <v>5017441.0599999996</v>
      </c>
      <c r="AN37" s="111">
        <v>5014417.34</v>
      </c>
      <c r="AO37" s="78">
        <v>4978582.22</v>
      </c>
      <c r="AP37" s="78">
        <v>5013202.0199999996</v>
      </c>
      <c r="AQ37" s="78">
        <v>4989363.4362132</v>
      </c>
      <c r="AR37" s="79">
        <v>4980838.97</v>
      </c>
      <c r="AS37" s="79">
        <v>5660330</v>
      </c>
      <c r="AT37" s="122">
        <v>5660160.6660000002</v>
      </c>
      <c r="AU37" s="122">
        <v>7180255.3399999999</v>
      </c>
      <c r="AV37" s="122">
        <v>7859493.8619999997</v>
      </c>
    </row>
    <row r="38" spans="1:51">
      <c r="A38" s="1" t="s">
        <v>48</v>
      </c>
      <c r="B38" s="5" t="s">
        <v>122</v>
      </c>
      <c r="C38" s="5" t="s">
        <v>122</v>
      </c>
      <c r="D38" s="5" t="s">
        <v>228</v>
      </c>
      <c r="E38" s="3" t="s">
        <v>50</v>
      </c>
      <c r="F38" s="3" t="s">
        <v>123</v>
      </c>
      <c r="G38" s="5" t="s">
        <v>229</v>
      </c>
      <c r="H38" s="6" t="s">
        <v>230</v>
      </c>
      <c r="I38" s="2" t="s">
        <v>78</v>
      </c>
      <c r="J38" s="2" t="s">
        <v>54</v>
      </c>
      <c r="K38" s="7">
        <v>45659</v>
      </c>
      <c r="L38" s="7" t="s">
        <v>226</v>
      </c>
      <c r="M38" s="3" t="s">
        <v>192</v>
      </c>
      <c r="N38" s="3" t="s">
        <v>57</v>
      </c>
      <c r="O38" s="112">
        <v>46642</v>
      </c>
      <c r="P38" s="112">
        <v>46492</v>
      </c>
      <c r="Q38" s="112" t="s">
        <v>118</v>
      </c>
      <c r="R38" s="3" t="str">
        <f ca="1">IF(M38="Arrojado","IPCA+6%",IF(M38="Arrojado Renda Construção","IPCA+6%",IF(M38="Arrojado Renda Usufruto","IPCA+6%",IF(M38="Moderado","IPCA+5%",IF(M38="Moderado Renda Construção","IPCA+5%",IF(M38="Moderado Renda Usufruto","IPCA+5%",IF(M38="Conservador","IPCA+4%",IF(M38="Conservador Renda Construção","IPCA+4%",IF(M38="Conservador Renda Usufruto","IPCA+4%",IF(M38="Ultraconservador","IPCA+4%",""))))))))))</f>
        <v>IPCA+4%</v>
      </c>
      <c r="S38" s="3" t="s">
        <v>69</v>
      </c>
      <c r="T38" s="3" t="s">
        <v>69</v>
      </c>
      <c r="U38" s="3" t="s">
        <v>69</v>
      </c>
      <c r="V38" s="130" t="s">
        <v>221</v>
      </c>
      <c r="W38" s="3" t="s">
        <v>59</v>
      </c>
      <c r="X38" s="3" t="s">
        <v>69</v>
      </c>
      <c r="Y38" s="3" t="s">
        <v>138</v>
      </c>
      <c r="Z38" s="114" t="s">
        <v>231</v>
      </c>
      <c r="AA38" s="78">
        <v>3007238.49</v>
      </c>
      <c r="AB38" s="78">
        <v>2939341.97</v>
      </c>
      <c r="AC38" s="78">
        <v>3325630.68</v>
      </c>
      <c r="AD38" s="78">
        <v>3823807.2</v>
      </c>
      <c r="AE38" s="78">
        <v>3962508.36</v>
      </c>
      <c r="AF38" s="78">
        <v>3934207.23</v>
      </c>
      <c r="AG38" s="78">
        <v>3906001.18</v>
      </c>
      <c r="AH38" s="78">
        <v>3958889.51</v>
      </c>
      <c r="AI38" s="78">
        <v>3940841.32</v>
      </c>
      <c r="AJ38" s="78">
        <v>3983978.98</v>
      </c>
      <c r="AK38" s="78">
        <v>3952823.01</v>
      </c>
      <c r="AL38" s="78">
        <v>3903143.13</v>
      </c>
      <c r="AM38" s="78">
        <v>3876922.15</v>
      </c>
      <c r="AN38" s="111">
        <v>3864005.55</v>
      </c>
      <c r="AO38" s="78">
        <v>3846042.81</v>
      </c>
      <c r="AP38" s="78">
        <v>3853616.74</v>
      </c>
      <c r="AQ38" s="78">
        <v>4518251.6097782003</v>
      </c>
      <c r="AR38" s="79">
        <v>4503959.78</v>
      </c>
      <c r="AS38" s="79">
        <v>4380743</v>
      </c>
      <c r="AT38" s="122">
        <v>4761967.8820000002</v>
      </c>
      <c r="AU38" s="122">
        <v>5752814.6900000004</v>
      </c>
      <c r="AV38" s="122">
        <v>6412077.6210000003</v>
      </c>
    </row>
    <row r="39" spans="1:51">
      <c r="A39" s="1" t="s">
        <v>106</v>
      </c>
      <c r="B39" s="5" t="s">
        <v>232</v>
      </c>
      <c r="C39" s="5" t="s">
        <v>232</v>
      </c>
      <c r="D39" s="5" t="s">
        <v>233</v>
      </c>
      <c r="E39" s="3" t="s">
        <v>50</v>
      </c>
      <c r="F39" s="3" t="s">
        <v>51</v>
      </c>
      <c r="G39" s="5" t="s">
        <v>234</v>
      </c>
      <c r="H39" s="6">
        <v>51121087</v>
      </c>
      <c r="I39" s="2" t="s">
        <v>53</v>
      </c>
      <c r="J39" s="2" t="s">
        <v>54</v>
      </c>
      <c r="K39" s="7"/>
      <c r="L39" s="7" t="s">
        <v>55</v>
      </c>
      <c r="M39" s="3" t="s">
        <v>56</v>
      </c>
      <c r="N39" s="3" t="s">
        <v>57</v>
      </c>
      <c r="O39" s="112"/>
      <c r="P39" s="112"/>
      <c r="Q39" s="112" t="s">
        <v>118</v>
      </c>
      <c r="R39" s="3" t="str">
        <f ca="1">IF(M39="Arrojado","IPCA+6%",IF(M39="Arrojado Renda Construção","IPCA+6%",IF(M39="Arrojado Renda Usufruto","IPCA+6%",IF(M39="Moderado","IPCA+5%",IF(M39="Moderado Renda Construção","IPCA+5%",IF(M39="Moderado Renda Usufruto","IPCA+5%",IF(M39="Conservador","IPCA+4%",IF(M39="Conservador Renda Construção","IPCA+4%",IF(M39="Conservador Renda Usufruto","IPCA+4%",IF(M39="Ultraconservador","IPCA+4%",""))))))))))</f>
        <v>IPCA+5%</v>
      </c>
      <c r="S39" s="3" t="s">
        <v>69</v>
      </c>
      <c r="T39" s="3"/>
      <c r="U39" s="3"/>
      <c r="V39" s="130"/>
      <c r="W39" s="3"/>
      <c r="X39" s="3"/>
      <c r="Y39" s="3"/>
      <c r="Z39" s="114" t="s">
        <v>235</v>
      </c>
      <c r="AA39" s="77">
        <v>119621.46</v>
      </c>
      <c r="AB39" s="77">
        <v>119983.61</v>
      </c>
      <c r="AC39" s="77">
        <v>116200.76</v>
      </c>
      <c r="AD39" s="77">
        <v>113751.85</v>
      </c>
      <c r="AE39" s="77">
        <v>117548.54</v>
      </c>
      <c r="AF39" s="77">
        <v>121893.67</v>
      </c>
      <c r="AG39" s="77">
        <v>123183.64</v>
      </c>
      <c r="AH39" s="77">
        <v>127623.71</v>
      </c>
      <c r="AI39" s="77">
        <v>130889.16</v>
      </c>
      <c r="AJ39" s="77">
        <v>131736.65</v>
      </c>
      <c r="AK39" s="77">
        <v>132755.04</v>
      </c>
      <c r="AL39" s="77">
        <v>131869.19</v>
      </c>
      <c r="AM39" s="77">
        <v>135832.70000000001</v>
      </c>
      <c r="AN39" s="77">
        <v>136911.45000000001</v>
      </c>
      <c r="AO39" s="77">
        <v>130689.63</v>
      </c>
      <c r="AP39" s="77">
        <v>139757.76000000001</v>
      </c>
      <c r="AQ39" s="80">
        <v>143086.76999999999</v>
      </c>
      <c r="AR39" s="80">
        <v>143523.04</v>
      </c>
      <c r="AS39" s="80">
        <v>144088.53</v>
      </c>
      <c r="AT39" s="132">
        <v>145946.56</v>
      </c>
      <c r="AU39" s="132">
        <v>142806.89000000001</v>
      </c>
      <c r="AV39" s="132">
        <v>144416.98000000001</v>
      </c>
    </row>
    <row r="40" spans="1:51">
      <c r="A40" s="1" t="s">
        <v>48</v>
      </c>
      <c r="B40" s="5" t="s">
        <v>232</v>
      </c>
      <c r="C40" s="5" t="s">
        <v>232</v>
      </c>
      <c r="D40" s="5" t="s">
        <v>232</v>
      </c>
      <c r="E40" s="3" t="s">
        <v>50</v>
      </c>
      <c r="F40" s="3" t="s">
        <v>51</v>
      </c>
      <c r="G40" s="5" t="s">
        <v>236</v>
      </c>
      <c r="H40" s="6" t="s">
        <v>237</v>
      </c>
      <c r="I40" s="2" t="s">
        <v>53</v>
      </c>
      <c r="J40" s="2" t="s">
        <v>87</v>
      </c>
      <c r="K40" s="7">
        <v>45597</v>
      </c>
      <c r="L40" s="7" t="s">
        <v>226</v>
      </c>
      <c r="M40" s="3" t="s">
        <v>56</v>
      </c>
      <c r="N40" s="3" t="s">
        <v>57</v>
      </c>
      <c r="O40" s="112">
        <v>46499</v>
      </c>
      <c r="P40" s="112">
        <v>46857</v>
      </c>
      <c r="Q40" s="112" t="s">
        <v>118</v>
      </c>
      <c r="R40" s="3" t="str">
        <f ca="1">IF(M40="Arrojado","IPCA+6%",IF(M40="Arrojado Renda Construção","IPCA+6%",IF(M40="Arrojado Renda Usufruto","IPCA+6%",IF(M40="Moderado","IPCA+5%",IF(M40="Moderado Renda Construção","IPCA+5%",IF(M40="Moderado Renda Usufruto","IPCA+5%",IF(M40="Conservador","IPCA+4%",IF(M40="Conservador Renda Construção","IPCA+4%",IF(M40="Conservador Renda Usufruto","IPCA+4%",IF(M40="Ultraconservador","IPCA+4%",""))))))))))</f>
        <v>IPCA+5%</v>
      </c>
      <c r="S40" s="3" t="s">
        <v>69</v>
      </c>
      <c r="T40" s="3" t="s">
        <v>59</v>
      </c>
      <c r="U40" s="3" t="s">
        <v>59</v>
      </c>
      <c r="V40" s="130" t="s">
        <v>238</v>
      </c>
      <c r="W40" s="3" t="s">
        <v>59</v>
      </c>
      <c r="X40" s="3" t="s">
        <v>59</v>
      </c>
      <c r="Y40" s="3" t="s">
        <v>138</v>
      </c>
      <c r="Z40" s="114" t="s">
        <v>239</v>
      </c>
      <c r="AA40" s="78">
        <v>722051.16</v>
      </c>
      <c r="AB40" s="78">
        <v>848938.22</v>
      </c>
      <c r="AC40" s="78">
        <v>921707.5</v>
      </c>
      <c r="AD40" s="78">
        <v>1020064.06</v>
      </c>
      <c r="AE40" s="78">
        <v>1078527.8400000001</v>
      </c>
      <c r="AF40" s="78">
        <v>1130503.3500000001</v>
      </c>
      <c r="AG40" s="78">
        <v>1189880.74</v>
      </c>
      <c r="AH40" s="78">
        <v>1277766.97</v>
      </c>
      <c r="AI40" s="78">
        <v>1399184.68</v>
      </c>
      <c r="AJ40" s="78">
        <v>1516368.62</v>
      </c>
      <c r="AK40" s="78">
        <v>1359155.16</v>
      </c>
      <c r="AL40" s="78">
        <v>1435916.86</v>
      </c>
      <c r="AM40" s="78">
        <v>1575458.44</v>
      </c>
      <c r="AN40" s="111">
        <v>1593218.88</v>
      </c>
      <c r="AO40" s="78">
        <v>1673618.37</v>
      </c>
      <c r="AP40" s="78">
        <v>1822983.24</v>
      </c>
      <c r="AQ40" s="78">
        <v>1958376.009114</v>
      </c>
      <c r="AR40" s="79">
        <v>2137881.54</v>
      </c>
      <c r="AS40" s="79">
        <v>2437879</v>
      </c>
      <c r="AT40" s="122">
        <v>2663380.2560000001</v>
      </c>
      <c r="AU40" s="122">
        <v>2850272.09</v>
      </c>
      <c r="AV40" s="122">
        <v>2969774.4759999998</v>
      </c>
    </row>
    <row r="41" spans="1:51">
      <c r="A41" s="1" t="s">
        <v>48</v>
      </c>
      <c r="B41" s="5" t="s">
        <v>240</v>
      </c>
      <c r="C41" s="5" t="s">
        <v>240</v>
      </c>
      <c r="D41" s="5" t="s">
        <v>241</v>
      </c>
      <c r="E41" s="3" t="s">
        <v>50</v>
      </c>
      <c r="F41" s="3" t="s">
        <v>51</v>
      </c>
      <c r="G41" s="5" t="s">
        <v>242</v>
      </c>
      <c r="H41" s="6">
        <v>4760422</v>
      </c>
      <c r="I41" s="2" t="s">
        <v>78</v>
      </c>
      <c r="J41" s="2" t="s">
        <v>54</v>
      </c>
      <c r="K41" s="7">
        <v>45884</v>
      </c>
      <c r="L41" s="7" t="s">
        <v>55</v>
      </c>
      <c r="M41" s="3" t="s">
        <v>243</v>
      </c>
      <c r="N41" s="3" t="s">
        <v>79</v>
      </c>
      <c r="O41" s="112">
        <v>46775</v>
      </c>
      <c r="P41" s="112">
        <v>46993</v>
      </c>
      <c r="Q41" s="112" t="s">
        <v>136</v>
      </c>
      <c r="R41" s="3" t="str">
        <f ca="1">IF(M41="Arrojado","IPCA+6%",IF(M41="Arrojado Renda Construção","IPCA+6%",IF(M41="Arrojado Renda Usufruto","IPCA+6%",IF(M41="Moderado","IPCA+5%",IF(M41="Moderado Renda Construção","IPCA+5%",IF(M41="Moderado Renda Usufruto","IPCA+5%",IF(M41="Conservador","IPCA+4%",IF(M41="Conservador Renda Construção","IPCA+4%",IF(M41="Conservador Renda Usufruto","IPCA+4%",IF(M41="Ultraconservador","IPCA+4%",""))))))))))</f>
        <v>IPCA+5%</v>
      </c>
      <c r="S41" s="3" t="s">
        <v>59</v>
      </c>
      <c r="T41" s="3" t="s">
        <v>59</v>
      </c>
      <c r="U41" s="3" t="s">
        <v>59</v>
      </c>
      <c r="V41" s="130" t="s">
        <v>244</v>
      </c>
      <c r="W41" s="3" t="s">
        <v>59</v>
      </c>
      <c r="X41" s="3" t="s">
        <v>69</v>
      </c>
      <c r="Y41" s="3" t="s">
        <v>71</v>
      </c>
      <c r="Z41" s="114" t="s">
        <v>245</v>
      </c>
      <c r="AA41" s="78">
        <v>88608.71</v>
      </c>
      <c r="AB41" s="78">
        <v>89165.6</v>
      </c>
      <c r="AC41" s="78">
        <v>90214.26</v>
      </c>
      <c r="AD41" s="78">
        <v>91167.29</v>
      </c>
      <c r="AE41" s="78">
        <v>92135.15</v>
      </c>
      <c r="AF41" s="78">
        <v>93107.82</v>
      </c>
      <c r="AG41" s="78">
        <v>94277.68</v>
      </c>
      <c r="AH41" s="78">
        <v>95378.66</v>
      </c>
      <c r="AI41" s="78">
        <v>118813.15</v>
      </c>
      <c r="AJ41" s="78">
        <v>134922.93</v>
      </c>
      <c r="AK41" s="78">
        <v>139332.85</v>
      </c>
      <c r="AL41" s="78">
        <v>142691.85</v>
      </c>
      <c r="AM41" s="78">
        <v>146632.70000000001</v>
      </c>
      <c r="AN41" s="111">
        <v>151386.99</v>
      </c>
      <c r="AO41" s="78">
        <v>159691.03</v>
      </c>
      <c r="AP41" s="78">
        <v>166423.34</v>
      </c>
      <c r="AQ41" s="78">
        <v>168211.390422</v>
      </c>
      <c r="AR41" s="79">
        <v>168071.37</v>
      </c>
      <c r="AS41" s="79">
        <v>176616.8</v>
      </c>
      <c r="AT41" s="122">
        <v>182542.6562</v>
      </c>
      <c r="AU41" s="122">
        <v>184411.65</v>
      </c>
      <c r="AV41" s="122">
        <v>185402.764</v>
      </c>
    </row>
    <row r="42" spans="1:51">
      <c r="A42" s="1" t="s">
        <v>48</v>
      </c>
      <c r="B42" s="5" t="s">
        <v>246</v>
      </c>
      <c r="C42" s="5" t="s">
        <v>246</v>
      </c>
      <c r="D42" s="5" t="s">
        <v>246</v>
      </c>
      <c r="E42" s="3" t="s">
        <v>50</v>
      </c>
      <c r="F42" s="3" t="s">
        <v>51</v>
      </c>
      <c r="G42" s="5" t="s">
        <v>247</v>
      </c>
      <c r="H42" s="6">
        <v>6860829</v>
      </c>
      <c r="I42" s="2" t="s">
        <v>53</v>
      </c>
      <c r="J42" s="2" t="s">
        <v>54</v>
      </c>
      <c r="K42" s="7">
        <v>46045</v>
      </c>
      <c r="L42" s="7" t="s">
        <v>55</v>
      </c>
      <c r="M42" s="3" t="s">
        <v>56</v>
      </c>
      <c r="N42" s="3" t="s">
        <v>67</v>
      </c>
      <c r="O42" s="112">
        <v>46703</v>
      </c>
      <c r="P42" s="112">
        <v>46496</v>
      </c>
      <c r="Q42" s="112" t="s">
        <v>58</v>
      </c>
      <c r="R42" s="3" t="str">
        <f ca="1">IF(M42="Arrojado","IPCA+6%",IF(M42="Arrojado Renda Construção","IPCA+6%",IF(M42="Arrojado Renda Usufruto","IPCA+6%",IF(M42="Moderado","IPCA+5%",IF(M42="Moderado Renda Construção","IPCA+5%",IF(M42="Moderado Renda Usufruto","IPCA+5%",IF(M42="Conservador","IPCA+4%",IF(M42="Conservador Renda Construção","IPCA+4%",IF(M42="Conservador Renda Usufruto","IPCA+4%",IF(M42="Ultraconservador","IPCA+4%",""))))))))))</f>
        <v>IPCA+5%</v>
      </c>
      <c r="S42" s="3" t="s">
        <v>59</v>
      </c>
      <c r="T42" s="3" t="s">
        <v>59</v>
      </c>
      <c r="U42" s="3" t="s">
        <v>59</v>
      </c>
      <c r="V42" s="130"/>
      <c r="W42" s="3" t="s">
        <v>59</v>
      </c>
      <c r="X42" s="3" t="s">
        <v>59</v>
      </c>
      <c r="Y42" s="3"/>
      <c r="Z42" s="114" t="s">
        <v>248</v>
      </c>
      <c r="AA42" s="78">
        <v>1113999.47</v>
      </c>
      <c r="AB42" s="78">
        <v>1122201.76</v>
      </c>
      <c r="AC42" s="78">
        <v>1129381.47</v>
      </c>
      <c r="AD42" s="78">
        <v>1290944.5</v>
      </c>
      <c r="AE42" s="78">
        <v>1303954.07</v>
      </c>
      <c r="AF42" s="78">
        <v>1367296.42</v>
      </c>
      <c r="AG42" s="78">
        <v>1383405.73</v>
      </c>
      <c r="AH42" s="78">
        <v>1399229.08</v>
      </c>
      <c r="AI42" s="78">
        <v>1413384.27</v>
      </c>
      <c r="AJ42" s="78">
        <v>1557502.3</v>
      </c>
      <c r="AK42" s="78">
        <v>1573060.38</v>
      </c>
      <c r="AL42" s="78">
        <v>1596331.56</v>
      </c>
      <c r="AM42" s="78">
        <v>1615219.47</v>
      </c>
      <c r="AN42" s="111">
        <v>1625812.62</v>
      </c>
      <c r="AO42" s="78">
        <v>1726490.83</v>
      </c>
      <c r="AP42" s="78">
        <v>1744387.58</v>
      </c>
      <c r="AQ42" s="78">
        <v>1751233.9480941</v>
      </c>
      <c r="AR42" s="79">
        <v>1759814.64</v>
      </c>
      <c r="AS42" s="79">
        <v>1627514</v>
      </c>
      <c r="AT42" s="122">
        <v>1492576.892</v>
      </c>
      <c r="AU42" s="122">
        <v>1236818.22</v>
      </c>
      <c r="AV42" s="122">
        <v>1244041.7350000001</v>
      </c>
    </row>
    <row r="43" spans="1:51" ht="15">
      <c r="A43" s="1" t="s">
        <v>48</v>
      </c>
      <c r="B43" s="5" t="s">
        <v>249</v>
      </c>
      <c r="C43" s="5" t="s">
        <v>249</v>
      </c>
      <c r="D43" s="5" t="s">
        <v>249</v>
      </c>
      <c r="E43" s="3" t="s">
        <v>50</v>
      </c>
      <c r="F43" s="3" t="s">
        <v>51</v>
      </c>
      <c r="G43" s="5" t="s">
        <v>250</v>
      </c>
      <c r="H43" s="6">
        <v>3004033</v>
      </c>
      <c r="I43" s="2" t="s">
        <v>117</v>
      </c>
      <c r="J43" s="2" t="s">
        <v>54</v>
      </c>
      <c r="K43" s="7">
        <v>45632</v>
      </c>
      <c r="L43" s="7" t="s">
        <v>55</v>
      </c>
      <c r="M43" s="3" t="s">
        <v>56</v>
      </c>
      <c r="N43" s="3" t="s">
        <v>67</v>
      </c>
      <c r="O43" s="112">
        <v>46544</v>
      </c>
      <c r="P43" s="112">
        <v>46741</v>
      </c>
      <c r="Q43" s="112" t="s">
        <v>118</v>
      </c>
      <c r="R43" s="3" t="str">
        <f ca="1">IF(M43="Arrojado","IPCA+6%",IF(M43="Arrojado Renda Construção","IPCA+6%",IF(M43="Arrojado Renda Usufruto","IPCA+6%",IF(M43="Moderado","IPCA+5%",IF(M43="Moderado Renda Construção","IPCA+5%",IF(M43="Moderado Renda Usufruto","IPCA+5%",IF(M43="Conservador","IPCA+4%",IF(M43="Conservador Renda Construção","IPCA+4%",IF(M43="Conservador Renda Usufruto","IPCA+4%",IF(M43="Ultraconservador","IPCA+4%",""))))))))))</f>
        <v>IPCA+5%</v>
      </c>
      <c r="S43" s="3" t="s">
        <v>59</v>
      </c>
      <c r="T43" s="3" t="s">
        <v>59</v>
      </c>
      <c r="U43" s="3" t="s">
        <v>59</v>
      </c>
      <c r="V43" s="130" t="s">
        <v>251</v>
      </c>
      <c r="W43" s="3" t="s">
        <v>59</v>
      </c>
      <c r="X43" s="3" t="s">
        <v>69</v>
      </c>
      <c r="Y43" s="3" t="s">
        <v>71</v>
      </c>
      <c r="Z43" s="114" t="s">
        <v>252</v>
      </c>
      <c r="AA43" s="78">
        <v>1684682.79</v>
      </c>
      <c r="AB43" s="78">
        <v>1689665.67</v>
      </c>
      <c r="AC43" s="78">
        <v>1697970.07</v>
      </c>
      <c r="AD43" s="78">
        <v>1744809.69</v>
      </c>
      <c r="AE43" s="78">
        <v>1777623.35</v>
      </c>
      <c r="AF43" s="78">
        <v>1823966.72</v>
      </c>
      <c r="AG43" s="78">
        <v>1830617.39</v>
      </c>
      <c r="AH43" s="78">
        <v>1859687.27</v>
      </c>
      <c r="AI43" s="78">
        <v>1874912.49</v>
      </c>
      <c r="AJ43" s="78">
        <v>1938795.88</v>
      </c>
      <c r="AK43" s="78">
        <v>1984795.51</v>
      </c>
      <c r="AL43" s="78">
        <v>2012434.65</v>
      </c>
      <c r="AM43" s="78">
        <v>2087642.78</v>
      </c>
      <c r="AN43" s="111">
        <v>2086175.97</v>
      </c>
      <c r="AO43" s="78">
        <v>2066742.34</v>
      </c>
      <c r="AP43" s="78">
        <v>2113853.65</v>
      </c>
      <c r="AQ43" s="78">
        <v>2190237.68172816</v>
      </c>
      <c r="AR43" s="79">
        <v>2162979.87</v>
      </c>
      <c r="AS43" s="79">
        <v>2185834</v>
      </c>
      <c r="AT43" s="122">
        <v>2238605.6910000001</v>
      </c>
      <c r="AU43" s="122">
        <v>2269222.0099999998</v>
      </c>
      <c r="AV43" s="122">
        <v>2326828.4720000001</v>
      </c>
      <c r="AW43" s="152"/>
      <c r="AX43" s="152"/>
      <c r="AY43" s="152"/>
    </row>
    <row r="44" spans="1:51">
      <c r="A44" s="1" t="s">
        <v>48</v>
      </c>
      <c r="B44" s="5" t="s">
        <v>253</v>
      </c>
      <c r="C44" s="5" t="s">
        <v>253</v>
      </c>
      <c r="D44" s="5" t="s">
        <v>253</v>
      </c>
      <c r="E44" s="3" t="s">
        <v>100</v>
      </c>
      <c r="F44" s="3" t="s">
        <v>51</v>
      </c>
      <c r="G44" s="5" t="s">
        <v>254</v>
      </c>
      <c r="H44" s="6">
        <v>9317618</v>
      </c>
      <c r="I44" s="2" t="s">
        <v>65</v>
      </c>
      <c r="J44" s="2" t="s">
        <v>54</v>
      </c>
      <c r="K44" s="7">
        <v>45926</v>
      </c>
      <c r="L44" s="7" t="s">
        <v>55</v>
      </c>
      <c r="M44" s="3" t="s">
        <v>66</v>
      </c>
      <c r="N44" s="3" t="s">
        <v>67</v>
      </c>
      <c r="O44" s="112">
        <v>47287</v>
      </c>
      <c r="P44" s="112">
        <v>47048</v>
      </c>
      <c r="Q44" s="112" t="s">
        <v>136</v>
      </c>
      <c r="R44" s="3" t="str">
        <f ca="1">IF(M44="Arrojado","IPCA+6%",IF(M44="Arrojado Renda Construção","IPCA+6%",IF(M44="Arrojado Renda Usufruto","IPCA+6%",IF(M44="Moderado","IPCA+5%",IF(M44="Moderado Renda Construção","IPCA+5%",IF(M44="Moderado Renda Usufruto","IPCA+5%",IF(M44="Conservador","IPCA+4%",IF(M44="Conservador Renda Construção","IPCA+4%",IF(M44="Conservador Renda Usufruto","IPCA+4%",IF(M44="Ultraconservador","IPCA+4%",""))))))))))</f>
        <v>IPCA+4%</v>
      </c>
      <c r="S44" s="3" t="s">
        <v>59</v>
      </c>
      <c r="T44" s="3" t="s">
        <v>69</v>
      </c>
      <c r="U44" s="3" t="s">
        <v>59</v>
      </c>
      <c r="V44" s="130" t="s">
        <v>255</v>
      </c>
      <c r="W44" s="3" t="s">
        <v>59</v>
      </c>
      <c r="X44" s="3" t="s">
        <v>59</v>
      </c>
      <c r="Y44" s="3"/>
      <c r="Z44" s="114" t="s">
        <v>256</v>
      </c>
      <c r="AA44" s="78">
        <v>6276742.7199999997</v>
      </c>
      <c r="AB44" s="78">
        <v>6339531.4900000002</v>
      </c>
      <c r="AC44" s="78">
        <v>6410077.6799999997</v>
      </c>
      <c r="AD44" s="78">
        <v>5926544.2999999998</v>
      </c>
      <c r="AE44" s="78">
        <v>5966266.1600000001</v>
      </c>
      <c r="AF44" s="78">
        <v>6032467.5300000003</v>
      </c>
      <c r="AG44" s="78">
        <v>6069227.8799999999</v>
      </c>
      <c r="AH44" s="78">
        <v>6135999.04</v>
      </c>
      <c r="AI44" s="78">
        <v>6195281.0800000001</v>
      </c>
      <c r="AJ44" s="78">
        <v>5333696.25</v>
      </c>
      <c r="AK44" s="78">
        <v>4900552.63</v>
      </c>
      <c r="AL44" s="78">
        <v>3728537.6000000001</v>
      </c>
      <c r="AM44" s="78">
        <v>3282173.83</v>
      </c>
      <c r="AN44" s="111">
        <v>3354741.27</v>
      </c>
      <c r="AO44" s="78">
        <v>3259129.83</v>
      </c>
      <c r="AP44" s="78">
        <v>2393019.75</v>
      </c>
      <c r="AQ44" s="78">
        <v>2506226.6453360599</v>
      </c>
      <c r="AR44" s="79">
        <v>2453494.44</v>
      </c>
      <c r="AS44" s="79">
        <v>2428331</v>
      </c>
      <c r="AT44" s="122">
        <v>2393529.2930000001</v>
      </c>
      <c r="AU44" s="122">
        <v>2411427.62</v>
      </c>
      <c r="AV44" s="122">
        <v>2420223.5639999998</v>
      </c>
    </row>
    <row r="45" spans="1:51">
      <c r="A45" s="1" t="s">
        <v>48</v>
      </c>
      <c r="B45" s="5" t="s">
        <v>257</v>
      </c>
      <c r="C45" s="5" t="s">
        <v>257</v>
      </c>
      <c r="D45" s="5" t="s">
        <v>257</v>
      </c>
      <c r="E45" s="3" t="s">
        <v>50</v>
      </c>
      <c r="F45" s="3" t="s">
        <v>51</v>
      </c>
      <c r="G45" s="5" t="s">
        <v>258</v>
      </c>
      <c r="H45" s="6">
        <v>576471</v>
      </c>
      <c r="I45" s="2" t="s">
        <v>86</v>
      </c>
      <c r="J45" s="2" t="s">
        <v>87</v>
      </c>
      <c r="K45" s="7">
        <v>46162</v>
      </c>
      <c r="L45" s="7" t="s">
        <v>55</v>
      </c>
      <c r="M45" s="3"/>
      <c r="N45" s="3" t="s">
        <v>67</v>
      </c>
      <c r="O45" s="112">
        <v>45411</v>
      </c>
      <c r="P45" s="112">
        <v>46690</v>
      </c>
      <c r="Q45" s="112" t="s">
        <v>58</v>
      </c>
      <c r="R45" s="3" t="str">
        <f ca="1">IF(M45="Arrojado","IPCA+6%",IF(M45="Arrojado Renda Construção","IPCA+6%",IF(M45="Arrojado Renda Usufruto","IPCA+6%",IF(M45="Moderado","IPCA+5%",IF(M45="Moderado Renda Construção","IPCA+5%",IF(M45="Moderado Renda Usufruto","IPCA+5%",IF(M45="Conservador","IPCA+4%",IF(M45="Conservador Renda Construção","IPCA+4%",IF(M45="Conservador Renda Usufruto","IPCA+4%",IF(M45="Ultraconservador","IPCA+4%",""))))))))))</f>
        <v/>
      </c>
      <c r="S45" s="3" t="s">
        <v>59</v>
      </c>
      <c r="T45" s="3"/>
      <c r="U45" s="3"/>
      <c r="V45" s="130"/>
      <c r="W45" s="3"/>
      <c r="X45" s="3"/>
      <c r="Y45" s="3"/>
      <c r="Z45" s="114" t="s">
        <v>259</v>
      </c>
      <c r="AA45" s="79">
        <v>0</v>
      </c>
      <c r="AB45" s="79">
        <v>0</v>
      </c>
      <c r="AC45" s="79">
        <v>0</v>
      </c>
      <c r="AD45" s="79">
        <v>0</v>
      </c>
      <c r="AE45" s="79">
        <v>0</v>
      </c>
      <c r="AF45" s="79">
        <v>0</v>
      </c>
      <c r="AG45" s="79">
        <v>0</v>
      </c>
      <c r="AH45" s="79">
        <v>0</v>
      </c>
      <c r="AI45" s="79">
        <v>0</v>
      </c>
      <c r="AJ45" s="79">
        <v>0</v>
      </c>
      <c r="AK45" s="79">
        <v>0</v>
      </c>
      <c r="AL45" s="79">
        <v>0</v>
      </c>
      <c r="AM45" s="79">
        <v>0</v>
      </c>
      <c r="AN45" s="79">
        <v>54.41</v>
      </c>
      <c r="AO45" s="79">
        <v>0</v>
      </c>
      <c r="AP45" s="79">
        <v>0</v>
      </c>
      <c r="AQ45" s="79">
        <v>0</v>
      </c>
      <c r="AR45" s="79">
        <v>50</v>
      </c>
      <c r="AS45" s="79">
        <v>50</v>
      </c>
      <c r="AT45" s="122">
        <v>79.41</v>
      </c>
      <c r="AU45" s="122">
        <v>51446.09</v>
      </c>
      <c r="AV45" s="122">
        <v>369.64</v>
      </c>
    </row>
    <row r="46" spans="1:51">
      <c r="A46" s="1" t="s">
        <v>106</v>
      </c>
      <c r="B46" s="5" t="s">
        <v>257</v>
      </c>
      <c r="C46" s="5" t="s">
        <v>257</v>
      </c>
      <c r="D46" s="5" t="s">
        <v>257</v>
      </c>
      <c r="E46" s="3" t="s">
        <v>50</v>
      </c>
      <c r="F46" s="3" t="s">
        <v>51</v>
      </c>
      <c r="G46" s="5" t="s">
        <v>258</v>
      </c>
      <c r="H46" s="155" t="s">
        <v>260</v>
      </c>
      <c r="I46" s="2" t="s">
        <v>86</v>
      </c>
      <c r="J46" s="2" t="s">
        <v>87</v>
      </c>
      <c r="K46" s="7"/>
      <c r="L46" s="7" t="s">
        <v>55</v>
      </c>
      <c r="M46" s="3"/>
      <c r="N46" s="3" t="s">
        <v>67</v>
      </c>
      <c r="O46" s="112"/>
      <c r="P46" s="112"/>
      <c r="Q46" s="112" t="s">
        <v>58</v>
      </c>
      <c r="R46" s="3" t="str">
        <f ca="1">IF(M46="Arrojado","IPCA+6%",IF(M46="Arrojado Renda Construção","IPCA+6%",IF(M46="Arrojado Renda Usufruto","IPCA+6%",IF(M46="Moderado","IPCA+5%",IF(M46="Moderado Renda Construção","IPCA+5%",IF(M46="Moderado Renda Usufruto","IPCA+5%",IF(M46="Conservador","IPCA+4%",IF(M46="Conservador Renda Construção","IPCA+4%",IF(M46="Conservador Renda Usufruto","IPCA+4%",IF(M46="Ultraconservador","IPCA+4%",""))))))))))</f>
        <v/>
      </c>
      <c r="S46" s="3" t="s">
        <v>59</v>
      </c>
      <c r="T46" s="3"/>
      <c r="U46" s="3"/>
      <c r="V46" s="130"/>
      <c r="W46" s="3"/>
      <c r="X46" s="3"/>
      <c r="Y46" s="3"/>
      <c r="Z46" s="114" t="s">
        <v>259</v>
      </c>
      <c r="AA46" s="79">
        <v>0</v>
      </c>
      <c r="AB46" s="79">
        <v>0</v>
      </c>
      <c r="AC46" s="79">
        <v>0</v>
      </c>
      <c r="AD46" s="79">
        <v>0</v>
      </c>
      <c r="AE46" s="79">
        <v>0</v>
      </c>
      <c r="AF46" s="79">
        <v>0</v>
      </c>
      <c r="AG46" s="79">
        <v>0</v>
      </c>
      <c r="AH46" s="79">
        <v>0</v>
      </c>
      <c r="AI46" s="79">
        <v>0</v>
      </c>
      <c r="AJ46" s="79">
        <v>0</v>
      </c>
      <c r="AK46" s="79">
        <v>0</v>
      </c>
      <c r="AL46" s="79">
        <v>0</v>
      </c>
      <c r="AM46" s="79">
        <v>0</v>
      </c>
      <c r="AN46" s="79">
        <v>54.41</v>
      </c>
      <c r="AO46" s="79">
        <v>0</v>
      </c>
      <c r="AP46" s="79">
        <v>0</v>
      </c>
      <c r="AQ46" s="79">
        <v>0</v>
      </c>
      <c r="AR46" s="79">
        <v>0</v>
      </c>
      <c r="AS46" s="79">
        <v>0</v>
      </c>
      <c r="AT46" s="79">
        <v>0</v>
      </c>
      <c r="AU46" s="79">
        <v>103408.99</v>
      </c>
      <c r="AV46" s="79">
        <v>115220.4</v>
      </c>
    </row>
    <row r="47" spans="1:51" ht="15">
      <c r="A47" s="1" t="s">
        <v>48</v>
      </c>
      <c r="B47" s="5" t="s">
        <v>224</v>
      </c>
      <c r="C47" s="5" t="s">
        <v>122</v>
      </c>
      <c r="D47" s="5" t="s">
        <v>224</v>
      </c>
      <c r="E47" s="3" t="s">
        <v>50</v>
      </c>
      <c r="F47" s="3" t="s">
        <v>123</v>
      </c>
      <c r="G47" s="5" t="s">
        <v>261</v>
      </c>
      <c r="H47" s="6">
        <v>7777265</v>
      </c>
      <c r="I47" s="2" t="s">
        <v>78</v>
      </c>
      <c r="J47" s="2" t="s">
        <v>54</v>
      </c>
      <c r="K47" s="7">
        <v>45659</v>
      </c>
      <c r="L47" s="7" t="s">
        <v>55</v>
      </c>
      <c r="M47" s="3" t="s">
        <v>146</v>
      </c>
      <c r="N47" s="3" t="s">
        <v>57</v>
      </c>
      <c r="O47" s="112">
        <v>47398</v>
      </c>
      <c r="P47" s="112">
        <v>46776</v>
      </c>
      <c r="Q47" s="112" t="s">
        <v>118</v>
      </c>
      <c r="R47" s="3" t="str">
        <f ca="1">IF(M47="Arrojado","IPCA+6%",IF(M47="Arrojado Renda Construção","IPCA+6%",IF(M47="Arrojado Renda Usufruto","IPCA+6%",IF(M47="Moderado","IPCA+5%",IF(M47="Moderado Renda Construção","IPCA+5%",IF(M47="Moderado Renda Usufruto","IPCA+5%",IF(M47="Conservador","IPCA+4%",IF(M47="Conservador Renda Construção","IPCA+4%",IF(M47="Conservador Renda Usufruto","IPCA+4%",IF(M47="Ultraconservador","IPCA+4%",""))))))))))</f>
        <v>IPCA+5%</v>
      </c>
      <c r="S47" s="3" t="s">
        <v>59</v>
      </c>
      <c r="T47" s="3" t="s">
        <v>59</v>
      </c>
      <c r="U47" s="3" t="s">
        <v>59</v>
      </c>
      <c r="V47" s="130" t="s">
        <v>262</v>
      </c>
      <c r="W47" s="3" t="s">
        <v>59</v>
      </c>
      <c r="X47" s="3" t="s">
        <v>69</v>
      </c>
      <c r="Y47" s="3" t="s">
        <v>203</v>
      </c>
      <c r="Z47" s="114" t="s">
        <v>227</v>
      </c>
      <c r="AA47" s="78">
        <v>74783.87</v>
      </c>
      <c r="AB47" s="78">
        <v>73731.509999999995</v>
      </c>
      <c r="AC47" s="78">
        <v>81549.81</v>
      </c>
      <c r="AD47" s="78">
        <v>87611.22</v>
      </c>
      <c r="AE47" s="78">
        <v>99224.26</v>
      </c>
      <c r="AF47" s="78">
        <v>91968.5</v>
      </c>
      <c r="AG47" s="78">
        <v>89210.86</v>
      </c>
      <c r="AH47" s="78">
        <v>101385.15</v>
      </c>
      <c r="AI47" s="78">
        <v>106835.96</v>
      </c>
      <c r="AJ47" s="78">
        <v>146657.87</v>
      </c>
      <c r="AK47" s="78">
        <v>154914.57999999999</v>
      </c>
      <c r="AL47" s="78">
        <v>164746.91</v>
      </c>
      <c r="AM47" s="78">
        <v>183479.76</v>
      </c>
      <c r="AN47" s="111">
        <v>185286.1</v>
      </c>
      <c r="AO47" s="78">
        <v>150856.13</v>
      </c>
      <c r="AP47" s="78">
        <v>170506.05</v>
      </c>
      <c r="AQ47" s="78">
        <v>183713.81709890001</v>
      </c>
      <c r="AR47" s="79">
        <v>183730.65</v>
      </c>
      <c r="AS47" s="79">
        <v>277218.09999999998</v>
      </c>
      <c r="AT47" s="122">
        <v>288693.67</v>
      </c>
      <c r="AU47" s="122">
        <v>356861.02</v>
      </c>
      <c r="AV47" s="122">
        <v>384262.12</v>
      </c>
      <c r="AW47" s="152"/>
      <c r="AX47" s="152"/>
      <c r="AY47" s="152"/>
    </row>
    <row r="48" spans="1:51">
      <c r="A48" s="1" t="s">
        <v>73</v>
      </c>
      <c r="B48" s="5" t="s">
        <v>98</v>
      </c>
      <c r="C48" s="5" t="s">
        <v>98</v>
      </c>
      <c r="D48" s="5" t="s">
        <v>98</v>
      </c>
      <c r="E48" s="3" t="s">
        <v>50</v>
      </c>
      <c r="F48" s="3" t="s">
        <v>51</v>
      </c>
      <c r="G48" s="5" t="s">
        <v>263</v>
      </c>
      <c r="H48" s="6">
        <v>23147291</v>
      </c>
      <c r="I48" s="2" t="s">
        <v>53</v>
      </c>
      <c r="J48" s="2" t="s">
        <v>54</v>
      </c>
      <c r="K48" s="7"/>
      <c r="L48" s="7" t="s">
        <v>55</v>
      </c>
      <c r="M48" s="3" t="s">
        <v>102</v>
      </c>
      <c r="N48" s="3" t="s">
        <v>67</v>
      </c>
      <c r="O48" s="112">
        <v>46843</v>
      </c>
      <c r="P48" s="112">
        <v>47573</v>
      </c>
      <c r="Q48" s="112" t="s">
        <v>58</v>
      </c>
      <c r="R48" s="3" t="str">
        <f ca="1">IF(M48="Arrojado","IPCA+6%",IF(M48="Arrojado Renda Construção","IPCA+6%",IF(M48="Arrojado Renda Usufruto","IPCA+6%",IF(M48="Moderado","IPCA+5%",IF(M48="Moderado Renda Construção","IPCA+5%",IF(M48="Moderado Renda Usufruto","IPCA+5%",IF(M48="Conservador","IPCA+4%",IF(M48="Conservador Renda Construção","IPCA+4%",IF(M48="Conservador Renda Usufruto","IPCA+4%",IF(M48="Ultraconservador","IPCA+4%",""))))))))))</f>
        <v>IPCA+4%</v>
      </c>
      <c r="S48" s="3" t="s">
        <v>69</v>
      </c>
      <c r="T48" s="3" t="s">
        <v>59</v>
      </c>
      <c r="U48" s="3" t="s">
        <v>59</v>
      </c>
      <c r="V48" s="130"/>
      <c r="W48" s="3" t="s">
        <v>59</v>
      </c>
      <c r="X48" s="3" t="s">
        <v>59</v>
      </c>
      <c r="Y48" s="3" t="s">
        <v>71</v>
      </c>
      <c r="Z48" s="114" t="s">
        <v>103</v>
      </c>
      <c r="AA48" s="78">
        <v>0</v>
      </c>
      <c r="AB48" s="78">
        <v>0</v>
      </c>
      <c r="AC48" s="78">
        <v>0</v>
      </c>
      <c r="AD48" s="78">
        <v>0</v>
      </c>
      <c r="AE48" s="78">
        <v>0</v>
      </c>
      <c r="AF48" s="78">
        <v>0</v>
      </c>
      <c r="AG48" s="78">
        <v>0</v>
      </c>
      <c r="AH48" s="78">
        <v>0</v>
      </c>
      <c r="AI48" s="78">
        <v>0</v>
      </c>
      <c r="AJ48" s="78">
        <v>0</v>
      </c>
      <c r="AK48" s="78">
        <v>0</v>
      </c>
      <c r="AL48" s="78">
        <v>0</v>
      </c>
      <c r="AM48" s="78">
        <v>0</v>
      </c>
      <c r="AN48" s="111" t="s">
        <v>104</v>
      </c>
      <c r="AO48" s="78">
        <v>1999501.09</v>
      </c>
      <c r="AP48" s="78">
        <v>2554699.2800000003</v>
      </c>
      <c r="AQ48" s="78">
        <v>2532132.7300000004</v>
      </c>
      <c r="AR48" s="111">
        <v>2532595.8600000003</v>
      </c>
      <c r="AS48" s="111">
        <v>2547460.7599999998</v>
      </c>
      <c r="AT48" s="122">
        <v>2534757.06</v>
      </c>
      <c r="AU48" s="122">
        <v>2348838.65</v>
      </c>
      <c r="AV48" s="122">
        <v>2280090.19</v>
      </c>
    </row>
    <row r="49" spans="1:51">
      <c r="A49" s="1" t="s">
        <v>48</v>
      </c>
      <c r="B49" s="5" t="s">
        <v>98</v>
      </c>
      <c r="C49" s="5" t="s">
        <v>98</v>
      </c>
      <c r="D49" s="5" t="s">
        <v>98</v>
      </c>
      <c r="E49" s="3" t="s">
        <v>50</v>
      </c>
      <c r="F49" s="3" t="s">
        <v>51</v>
      </c>
      <c r="G49" s="5" t="s">
        <v>264</v>
      </c>
      <c r="H49" s="6">
        <v>19251578</v>
      </c>
      <c r="I49" s="2" t="s">
        <v>53</v>
      </c>
      <c r="J49" s="2" t="s">
        <v>54</v>
      </c>
      <c r="K49" s="7">
        <v>46100</v>
      </c>
      <c r="L49" s="7" t="s">
        <v>55</v>
      </c>
      <c r="M49" s="3" t="s">
        <v>102</v>
      </c>
      <c r="N49" s="3" t="s">
        <v>67</v>
      </c>
      <c r="O49" s="112">
        <v>47196</v>
      </c>
      <c r="P49" s="112">
        <v>47208</v>
      </c>
      <c r="Q49" s="112" t="s">
        <v>58</v>
      </c>
      <c r="R49" s="3" t="str">
        <f ca="1">IF(M49="Arrojado","IPCA+6%",IF(M49="Arrojado Renda Construção","IPCA+6%",IF(M49="Arrojado Renda Usufruto","IPCA+6%",IF(M49="Moderado","IPCA+5%",IF(M49="Moderado Renda Construção","IPCA+5%",IF(M49="Moderado Renda Usufruto","IPCA+5%",IF(M49="Conservador","IPCA+4%",IF(M49="Conservador Renda Construção","IPCA+4%",IF(M49="Conservador Renda Usufruto","IPCA+4%",IF(M49="Ultraconservador","IPCA+4%",""))))))))))</f>
        <v>IPCA+4%</v>
      </c>
      <c r="S49" s="3" t="s">
        <v>69</v>
      </c>
      <c r="T49" s="3" t="s">
        <v>59</v>
      </c>
      <c r="U49" s="3" t="s">
        <v>59</v>
      </c>
      <c r="V49" s="130"/>
      <c r="W49" s="3" t="s">
        <v>59</v>
      </c>
      <c r="X49" s="3" t="s">
        <v>59</v>
      </c>
      <c r="Y49" s="3" t="s">
        <v>71</v>
      </c>
      <c r="Z49" s="114" t="s">
        <v>265</v>
      </c>
      <c r="AA49" s="78">
        <v>0</v>
      </c>
      <c r="AB49" s="78">
        <v>0</v>
      </c>
      <c r="AC49" s="78">
        <v>0</v>
      </c>
      <c r="AD49" s="78">
        <v>0</v>
      </c>
      <c r="AE49" s="78">
        <v>0</v>
      </c>
      <c r="AF49" s="78">
        <v>0</v>
      </c>
      <c r="AG49" s="78">
        <v>0</v>
      </c>
      <c r="AH49" s="78">
        <v>0</v>
      </c>
      <c r="AI49" s="78">
        <v>0</v>
      </c>
      <c r="AJ49" s="78">
        <v>0</v>
      </c>
      <c r="AK49" s="78">
        <v>0</v>
      </c>
      <c r="AL49" s="78">
        <v>0</v>
      </c>
      <c r="AM49" s="78">
        <v>0</v>
      </c>
      <c r="AN49" s="111" t="s">
        <v>104</v>
      </c>
      <c r="AO49" s="78">
        <v>2390000</v>
      </c>
      <c r="AP49" s="78">
        <v>1629018.59</v>
      </c>
      <c r="AQ49" s="78">
        <v>1979450.1688939999</v>
      </c>
      <c r="AR49" s="79">
        <v>1997643.41</v>
      </c>
      <c r="AS49" s="79">
        <v>1926130</v>
      </c>
      <c r="AT49" s="122">
        <v>1847701.4240000001</v>
      </c>
      <c r="AU49" s="122">
        <v>1699145.2</v>
      </c>
      <c r="AV49" s="122">
        <v>1611693.8</v>
      </c>
    </row>
    <row r="50" spans="1:51">
      <c r="A50" s="1" t="s">
        <v>106</v>
      </c>
      <c r="B50" s="5" t="s">
        <v>98</v>
      </c>
      <c r="C50" s="5" t="s">
        <v>98</v>
      </c>
      <c r="D50" s="5" t="s">
        <v>266</v>
      </c>
      <c r="E50" s="3" t="s">
        <v>50</v>
      </c>
      <c r="F50" s="3" t="s">
        <v>51</v>
      </c>
      <c r="G50" s="5" t="s">
        <v>267</v>
      </c>
      <c r="H50" s="6">
        <v>23638180</v>
      </c>
      <c r="I50" s="2" t="s">
        <v>53</v>
      </c>
      <c r="J50" s="2" t="s">
        <v>54</v>
      </c>
      <c r="K50" s="7"/>
      <c r="L50" s="7" t="s">
        <v>55</v>
      </c>
      <c r="M50" s="3" t="s">
        <v>102</v>
      </c>
      <c r="N50" s="3" t="s">
        <v>67</v>
      </c>
      <c r="O50" s="112"/>
      <c r="P50" s="112"/>
      <c r="Q50" s="112" t="s">
        <v>58</v>
      </c>
      <c r="R50" s="3" t="str">
        <f ca="1">IF(M50="Arrojado","IPCA+6%",IF(M50="Arrojado Renda Construção","IPCA+6%",IF(M50="Arrojado Renda Usufruto","IPCA+6%",IF(M50="Moderado","IPCA+5%",IF(M50="Moderado Renda Construção","IPCA+5%",IF(M50="Moderado Renda Usufruto","IPCA+5%",IF(M50="Conservador","IPCA+4%",IF(M50="Conservador Renda Construção","IPCA+4%",IF(M50="Conservador Renda Usufruto","IPCA+4%",IF(M50="Ultraconservador","IPCA+4%",""))))))))))</f>
        <v>IPCA+4%</v>
      </c>
      <c r="S50" s="3" t="s">
        <v>69</v>
      </c>
      <c r="T50" s="3" t="s">
        <v>59</v>
      </c>
      <c r="U50" s="3" t="s">
        <v>59</v>
      </c>
      <c r="V50" s="130"/>
      <c r="W50" s="3" t="s">
        <v>59</v>
      </c>
      <c r="X50" s="3" t="s">
        <v>59</v>
      </c>
      <c r="Y50" s="3" t="s">
        <v>71</v>
      </c>
      <c r="Z50" s="114" t="s">
        <v>268</v>
      </c>
      <c r="AA50" s="77">
        <v>0</v>
      </c>
      <c r="AB50" s="77">
        <v>0</v>
      </c>
      <c r="AC50" s="77">
        <v>0</v>
      </c>
      <c r="AD50" s="77">
        <v>0</v>
      </c>
      <c r="AE50" s="77">
        <v>0</v>
      </c>
      <c r="AF50" s="77">
        <v>0</v>
      </c>
      <c r="AG50" s="77">
        <v>0</v>
      </c>
      <c r="AH50" s="77">
        <v>0</v>
      </c>
      <c r="AI50" s="77">
        <v>0</v>
      </c>
      <c r="AJ50" s="77">
        <v>0</v>
      </c>
      <c r="AK50" s="77">
        <v>0</v>
      </c>
      <c r="AL50" s="77">
        <v>0</v>
      </c>
      <c r="AM50" s="77">
        <v>0</v>
      </c>
      <c r="AN50" s="77" t="s">
        <v>185</v>
      </c>
      <c r="AO50" s="77">
        <v>0</v>
      </c>
      <c r="AP50" s="77">
        <v>231075.28</v>
      </c>
      <c r="AQ50" s="80">
        <v>229887.28</v>
      </c>
      <c r="AR50" s="80">
        <v>232245.67</v>
      </c>
      <c r="AS50" s="80">
        <v>228686.62</v>
      </c>
      <c r="AT50" s="132">
        <v>230161.58</v>
      </c>
      <c r="AU50" s="132">
        <v>223086.9</v>
      </c>
      <c r="AV50" s="132">
        <v>224326.1</v>
      </c>
    </row>
    <row r="51" spans="1:51">
      <c r="A51" s="1" t="s">
        <v>48</v>
      </c>
      <c r="B51" s="5" t="s">
        <v>61</v>
      </c>
      <c r="C51" s="5" t="s">
        <v>61</v>
      </c>
      <c r="D51" s="5" t="s">
        <v>269</v>
      </c>
      <c r="E51" s="3" t="s">
        <v>50</v>
      </c>
      <c r="F51" s="3" t="s">
        <v>63</v>
      </c>
      <c r="G51" s="5" t="s">
        <v>270</v>
      </c>
      <c r="H51" s="6">
        <v>7983962</v>
      </c>
      <c r="I51" s="2" t="s">
        <v>65</v>
      </c>
      <c r="J51" s="2" t="s">
        <v>54</v>
      </c>
      <c r="K51" s="7">
        <v>46051</v>
      </c>
      <c r="L51" s="7" t="s">
        <v>55</v>
      </c>
      <c r="M51" s="3" t="s">
        <v>66</v>
      </c>
      <c r="N51" s="3" t="s">
        <v>67</v>
      </c>
      <c r="O51" s="112">
        <v>46873</v>
      </c>
      <c r="P51" s="112">
        <v>46458</v>
      </c>
      <c r="Q51" s="112" t="s">
        <v>68</v>
      </c>
      <c r="R51" s="3" t="str">
        <f ca="1">IF(M51="Arrojado","IPCA+6%",IF(M51="Arrojado Renda Construção","IPCA+6%",IF(M51="Arrojado Renda Usufruto","IPCA+6%",IF(M51="Moderado","IPCA+5%",IF(M51="Moderado Renda Construção","IPCA+5%",IF(M51="Moderado Renda Usufruto","IPCA+5%",IF(M51="Conservador","IPCA+4%",IF(M51="Conservador Renda Construção","IPCA+4%",IF(M51="Conservador Renda Usufruto","IPCA+4%",IF(M51="Ultraconservador","IPCA+4%",""))))))))))</f>
        <v>IPCA+4%</v>
      </c>
      <c r="S51" s="3" t="s">
        <v>69</v>
      </c>
      <c r="T51" s="3" t="s">
        <v>69</v>
      </c>
      <c r="U51" s="3" t="s">
        <v>59</v>
      </c>
      <c r="V51" s="130" t="s">
        <v>70</v>
      </c>
      <c r="W51" s="3" t="s">
        <v>59</v>
      </c>
      <c r="X51" s="3" t="s">
        <v>59</v>
      </c>
      <c r="Y51" s="3" t="s">
        <v>71</v>
      </c>
      <c r="Z51" s="114" t="s">
        <v>177</v>
      </c>
      <c r="AA51" s="78">
        <v>19342113.16</v>
      </c>
      <c r="AB51" s="78">
        <v>24969936.530000001</v>
      </c>
      <c r="AC51" s="78">
        <v>27207788.190000001</v>
      </c>
      <c r="AD51" s="78">
        <v>12609936.189999999</v>
      </c>
      <c r="AE51" s="78">
        <v>6919180.1900000004</v>
      </c>
      <c r="AF51" s="78">
        <v>9364048.8599999994</v>
      </c>
      <c r="AG51" s="78">
        <v>9844325.8200000003</v>
      </c>
      <c r="AH51" s="78">
        <v>1200000</v>
      </c>
      <c r="AI51" s="78">
        <v>0</v>
      </c>
      <c r="AJ51" s="78">
        <v>0</v>
      </c>
      <c r="AK51" s="78">
        <v>2414781.2599999998</v>
      </c>
      <c r="AL51" s="78">
        <v>9530300.6600000001</v>
      </c>
      <c r="AM51" s="78">
        <v>7800000</v>
      </c>
      <c r="AN51" s="111">
        <v>6385009.0700000003</v>
      </c>
      <c r="AO51" s="78">
        <v>5523153.2599999998</v>
      </c>
      <c r="AP51" s="78">
        <v>8563067.0299999993</v>
      </c>
      <c r="AQ51" s="78">
        <v>15874810.50362788</v>
      </c>
      <c r="AR51" s="79">
        <v>5866852.3799999999</v>
      </c>
      <c r="AS51" s="79">
        <v>2814513</v>
      </c>
      <c r="AT51" s="122">
        <v>5253848.6500000004</v>
      </c>
      <c r="AU51" s="122">
        <v>9477814.6199999992</v>
      </c>
      <c r="AV51" s="122">
        <v>10865140.560000001</v>
      </c>
    </row>
    <row r="52" spans="1:51">
      <c r="A52" s="1" t="s">
        <v>48</v>
      </c>
      <c r="B52" s="5" t="s">
        <v>271</v>
      </c>
      <c r="C52" s="5" t="s">
        <v>271</v>
      </c>
      <c r="D52" s="5" t="s">
        <v>271</v>
      </c>
      <c r="E52" s="3" t="s">
        <v>50</v>
      </c>
      <c r="F52" s="3" t="s">
        <v>51</v>
      </c>
      <c r="G52" s="5" t="s">
        <v>272</v>
      </c>
      <c r="H52" s="6">
        <v>3686769</v>
      </c>
      <c r="I52" s="2" t="s">
        <v>78</v>
      </c>
      <c r="J52" s="2" t="s">
        <v>54</v>
      </c>
      <c r="K52" s="7">
        <v>46084</v>
      </c>
      <c r="L52" s="7" t="s">
        <v>55</v>
      </c>
      <c r="M52" s="3" t="s">
        <v>102</v>
      </c>
      <c r="N52" s="3" t="s">
        <v>57</v>
      </c>
      <c r="O52" s="112">
        <v>46815</v>
      </c>
      <c r="P52" s="112">
        <v>46564</v>
      </c>
      <c r="Q52" s="112" t="s">
        <v>58</v>
      </c>
      <c r="R52" s="3" t="str">
        <f ca="1">IF(M52="Arrojado","IPCA+6%",IF(M52="Arrojado Renda Construção","IPCA+6%",IF(M52="Arrojado Renda Usufruto","IPCA+6%",IF(M52="Moderado","IPCA+5%",IF(M52="Moderado Renda Construção","IPCA+5%",IF(M52="Moderado Renda Usufruto","IPCA+5%",IF(M52="Conservador","IPCA+4%",IF(M52="Conservador Renda Construção","IPCA+4%",IF(M52="Conservador Renda Usufruto","IPCA+4%",IF(M52="Ultraconservador","IPCA+4%",""))))))))))</f>
        <v>IPCA+4%</v>
      </c>
      <c r="S52" s="3" t="s">
        <v>59</v>
      </c>
      <c r="T52" s="3" t="s">
        <v>59</v>
      </c>
      <c r="U52" s="3" t="s">
        <v>59</v>
      </c>
      <c r="V52" s="130"/>
      <c r="W52" s="3" t="s">
        <v>59</v>
      </c>
      <c r="X52" s="3" t="s">
        <v>59</v>
      </c>
      <c r="Y52" s="3" t="s">
        <v>71</v>
      </c>
      <c r="Z52" s="114" t="s">
        <v>273</v>
      </c>
      <c r="AA52" s="78">
        <v>16.89</v>
      </c>
      <c r="AB52" s="78">
        <v>16.89</v>
      </c>
      <c r="AC52" s="78">
        <v>16.89</v>
      </c>
      <c r="AD52" s="78">
        <v>16.89</v>
      </c>
      <c r="AE52" s="78">
        <v>16.89</v>
      </c>
      <c r="AF52" s="78">
        <v>16.89</v>
      </c>
      <c r="AG52" s="78">
        <v>16.89</v>
      </c>
      <c r="AH52" s="78">
        <v>16.89</v>
      </c>
      <c r="AI52" s="78">
        <v>16.89</v>
      </c>
      <c r="AJ52" s="78">
        <v>16.89</v>
      </c>
      <c r="AK52" s="78">
        <v>16.89</v>
      </c>
      <c r="AL52" s="78">
        <v>16.89</v>
      </c>
      <c r="AM52" s="78">
        <v>16.89</v>
      </c>
      <c r="AN52" s="111">
        <v>16.89</v>
      </c>
      <c r="AO52" s="78">
        <v>500016.89</v>
      </c>
      <c r="AP52" s="78">
        <v>502148.1</v>
      </c>
      <c r="AQ52" s="78">
        <v>502148.68754299998</v>
      </c>
      <c r="AR52" s="79">
        <v>506034.41</v>
      </c>
      <c r="AS52" s="79">
        <v>522803.5</v>
      </c>
      <c r="AT52" s="122">
        <v>524654.59230000002</v>
      </c>
      <c r="AU52" s="122">
        <v>526293.94999999995</v>
      </c>
      <c r="AV52" s="122">
        <v>527316.69209999999</v>
      </c>
    </row>
    <row r="53" spans="1:51" ht="15">
      <c r="A53" s="133" t="s">
        <v>48</v>
      </c>
      <c r="B53" s="127" t="s">
        <v>274</v>
      </c>
      <c r="C53" s="127" t="s">
        <v>274</v>
      </c>
      <c r="D53" s="127" t="s">
        <v>274</v>
      </c>
      <c r="E53" s="134" t="s">
        <v>50</v>
      </c>
      <c r="F53" s="134" t="s">
        <v>51</v>
      </c>
      <c r="G53" s="127" t="s">
        <v>275</v>
      </c>
      <c r="H53" s="126">
        <v>339991</v>
      </c>
      <c r="I53" s="135"/>
      <c r="J53" s="135" t="s">
        <v>54</v>
      </c>
      <c r="K53" s="136"/>
      <c r="L53" s="136" t="s">
        <v>55</v>
      </c>
      <c r="M53" s="134"/>
      <c r="N53" s="134" t="s">
        <v>67</v>
      </c>
      <c r="O53" s="136">
        <v>46769</v>
      </c>
      <c r="P53" s="136">
        <v>46738</v>
      </c>
      <c r="Q53" s="112" t="s">
        <v>58</v>
      </c>
      <c r="R53" s="134" t="str">
        <f ca="1">IF(M53="Arrojado","IPCA+6%",IF(M53="Arrojado Renda Construção","IPCA+6%",IF(M53="Arrojado Renda Usufruto","IPCA+6%",IF(M53="Moderado","IPCA+5%",IF(M53="Moderado Renda Construção","IPCA+5%",IF(M53="Moderado Renda Usufruto","IPCA+5%",IF(M53="Conservador","IPCA+4%",IF(M53="Conservador Renda Construção","IPCA+4%",IF(M53="Conservador Renda Usufruto","IPCA+4%",IF(M53="Ultraconservador","IPCA+4%",""))))))))))</f>
        <v/>
      </c>
      <c r="S53" s="134" t="s">
        <v>59</v>
      </c>
      <c r="T53" s="134"/>
      <c r="U53" s="134"/>
      <c r="V53" s="137" t="s">
        <v>276</v>
      </c>
      <c r="W53" s="134"/>
      <c r="X53" s="134"/>
      <c r="Y53" s="134"/>
      <c r="Z53" s="138" t="s">
        <v>277</v>
      </c>
      <c r="AA53" s="139">
        <v>1827423.75</v>
      </c>
      <c r="AB53" s="139">
        <v>1816950.75</v>
      </c>
      <c r="AC53" s="139">
        <v>2004828.54</v>
      </c>
      <c r="AD53" s="139">
        <v>2065417.33</v>
      </c>
      <c r="AE53" s="139">
        <v>2104258.9900000002</v>
      </c>
      <c r="AF53" s="139">
        <v>2072942.92</v>
      </c>
      <c r="AG53" s="139">
        <v>1965551.35</v>
      </c>
      <c r="AH53" s="139">
        <v>2002723.26</v>
      </c>
      <c r="AI53" s="139">
        <v>2048938.09</v>
      </c>
      <c r="AJ53" s="139">
        <v>1944272.23</v>
      </c>
      <c r="AK53" s="139">
        <v>1960569.32</v>
      </c>
      <c r="AL53" s="139">
        <v>1945395.23</v>
      </c>
      <c r="AM53" s="139">
        <v>2079323.67</v>
      </c>
      <c r="AN53" s="140">
        <v>2143715.9900000002</v>
      </c>
      <c r="AO53" s="139">
        <v>2237262.59</v>
      </c>
      <c r="AP53" s="139">
        <v>2292977.4500000002</v>
      </c>
      <c r="AQ53" s="139">
        <v>2401770.1791579998</v>
      </c>
      <c r="AR53" s="141">
        <v>2439688.9</v>
      </c>
      <c r="AS53" s="141">
        <v>0</v>
      </c>
      <c r="AT53" s="140">
        <v>0</v>
      </c>
      <c r="AU53" s="140" t="s">
        <v>105</v>
      </c>
      <c r="AV53" s="140">
        <v>0</v>
      </c>
      <c r="AW53" s="152"/>
      <c r="AX53" s="152"/>
      <c r="AY53" s="152"/>
    </row>
    <row r="54" spans="1:51">
      <c r="A54" s="1" t="s">
        <v>106</v>
      </c>
      <c r="B54" s="5" t="s">
        <v>278</v>
      </c>
      <c r="C54" s="5" t="s">
        <v>278</v>
      </c>
      <c r="D54" s="5" t="s">
        <v>279</v>
      </c>
      <c r="E54" s="3" t="s">
        <v>100</v>
      </c>
      <c r="F54" s="3" t="s">
        <v>51</v>
      </c>
      <c r="G54" s="5" t="s">
        <v>280</v>
      </c>
      <c r="H54" s="6">
        <v>61663347</v>
      </c>
      <c r="I54" s="2" t="s">
        <v>117</v>
      </c>
      <c r="J54" s="2" t="s">
        <v>54</v>
      </c>
      <c r="K54" s="7"/>
      <c r="L54" s="7" t="s">
        <v>55</v>
      </c>
      <c r="M54" s="3" t="s">
        <v>146</v>
      </c>
      <c r="N54" s="3" t="s">
        <v>67</v>
      </c>
      <c r="O54" s="112"/>
      <c r="P54" s="112"/>
      <c r="Q54" s="112" t="s">
        <v>118</v>
      </c>
      <c r="R54" s="3" t="str">
        <f ca="1">IF(M54="Arrojado","IPCA+6%",IF(M54="Arrojado Renda Construção","IPCA+6%",IF(M54="Arrojado Renda Usufruto","IPCA+6%",IF(M54="Moderado","IPCA+5%",IF(M54="Moderado Renda Construção","IPCA+5%",IF(M54="Moderado Renda Usufruto","IPCA+5%",IF(M54="Conservador","IPCA+4%",IF(M54="Conservador Renda Construção","IPCA+4%",IF(M54="Conservador Renda Usufruto","IPCA+4%",IF(M54="Ultraconservador","IPCA+4%",""))))))))))</f>
        <v>IPCA+5%</v>
      </c>
      <c r="S54" s="3" t="s">
        <v>69</v>
      </c>
      <c r="T54" s="3" t="s">
        <v>69</v>
      </c>
      <c r="U54" s="3" t="s">
        <v>69</v>
      </c>
      <c r="V54" s="130" t="s">
        <v>281</v>
      </c>
      <c r="W54" s="3" t="s">
        <v>69</v>
      </c>
      <c r="X54" s="3" t="s">
        <v>59</v>
      </c>
      <c r="Y54" s="3" t="s">
        <v>203</v>
      </c>
      <c r="Z54" s="4"/>
      <c r="AA54" s="77">
        <v>897483.54</v>
      </c>
      <c r="AB54" s="77">
        <v>919728.16</v>
      </c>
      <c r="AC54" s="77">
        <v>908972.24</v>
      </c>
      <c r="AD54" s="77">
        <v>891420.21</v>
      </c>
      <c r="AE54" s="77">
        <v>900078.77</v>
      </c>
      <c r="AF54" s="77">
        <v>924836.21</v>
      </c>
      <c r="AG54" s="77">
        <v>929044.08</v>
      </c>
      <c r="AH54" s="77">
        <v>962034.43</v>
      </c>
      <c r="AI54" s="77">
        <v>985328.36</v>
      </c>
      <c r="AJ54" s="77">
        <v>986364.77</v>
      </c>
      <c r="AK54" s="77">
        <v>1007175.55</v>
      </c>
      <c r="AL54" s="77">
        <v>997454.76</v>
      </c>
      <c r="AM54" s="77">
        <v>1017838.81</v>
      </c>
      <c r="AN54" s="77">
        <v>1037471.08</v>
      </c>
      <c r="AO54" s="77">
        <v>996943.52</v>
      </c>
      <c r="AP54" s="77">
        <v>1024731.8</v>
      </c>
      <c r="AQ54" s="80">
        <v>1023027.96</v>
      </c>
      <c r="AR54" s="80">
        <v>1027649.14</v>
      </c>
      <c r="AS54" s="80">
        <v>1026159.04</v>
      </c>
      <c r="AT54" s="132">
        <v>1026368.44</v>
      </c>
      <c r="AU54" s="132">
        <v>994936.84</v>
      </c>
      <c r="AV54" s="132">
        <v>1013989.43</v>
      </c>
    </row>
    <row r="55" spans="1:51" ht="15">
      <c r="A55" s="1" t="s">
        <v>48</v>
      </c>
      <c r="B55" s="5" t="s">
        <v>278</v>
      </c>
      <c r="C55" s="5" t="s">
        <v>278</v>
      </c>
      <c r="D55" s="5" t="s">
        <v>278</v>
      </c>
      <c r="E55" s="3" t="s">
        <v>50</v>
      </c>
      <c r="F55" s="3" t="s">
        <v>51</v>
      </c>
      <c r="G55" s="5" t="s">
        <v>282</v>
      </c>
      <c r="H55" s="6">
        <v>11466830</v>
      </c>
      <c r="I55" s="2" t="s">
        <v>117</v>
      </c>
      <c r="J55" s="2" t="s">
        <v>54</v>
      </c>
      <c r="K55" s="7">
        <v>45569</v>
      </c>
      <c r="L55" s="7" t="s">
        <v>55</v>
      </c>
      <c r="M55" s="3" t="s">
        <v>146</v>
      </c>
      <c r="N55" s="3" t="s">
        <v>67</v>
      </c>
      <c r="O55" s="112">
        <v>46598</v>
      </c>
      <c r="P55" s="112">
        <v>47222</v>
      </c>
      <c r="Q55" s="112" t="s">
        <v>118</v>
      </c>
      <c r="R55" s="3" t="str">
        <f ca="1">IF(M55="Arrojado","IPCA+6%",IF(M55="Arrojado Renda Construção","IPCA+6%",IF(M55="Arrojado Renda Usufruto","IPCA+6%",IF(M55="Moderado","IPCA+5%",IF(M55="Moderado Renda Construção","IPCA+5%",IF(M55="Moderado Renda Usufruto","IPCA+5%",IF(M55="Conservador","IPCA+4%",IF(M55="Conservador Renda Construção","IPCA+4%",IF(M55="Conservador Renda Usufruto","IPCA+4%",IF(M55="Ultraconservador","IPCA+4%",""))))))))))</f>
        <v>IPCA+5%</v>
      </c>
      <c r="S55" s="3" t="s">
        <v>69</v>
      </c>
      <c r="T55" s="3" t="s">
        <v>69</v>
      </c>
      <c r="U55" s="3" t="s">
        <v>69</v>
      </c>
      <c r="V55" s="130" t="s">
        <v>281</v>
      </c>
      <c r="W55" s="3" t="s">
        <v>69</v>
      </c>
      <c r="X55" s="3" t="s">
        <v>59</v>
      </c>
      <c r="Y55" s="3" t="s">
        <v>203</v>
      </c>
      <c r="Z55" s="114" t="s">
        <v>283</v>
      </c>
      <c r="AA55" s="78">
        <v>4559472.09</v>
      </c>
      <c r="AB55" s="78">
        <v>4639434.57</v>
      </c>
      <c r="AC55" s="78">
        <v>4734741.43</v>
      </c>
      <c r="AD55" s="78">
        <v>4802746.75</v>
      </c>
      <c r="AE55" s="78">
        <v>4767652.05</v>
      </c>
      <c r="AF55" s="78">
        <v>4792920.97</v>
      </c>
      <c r="AG55" s="78">
        <v>4763872.3899999997</v>
      </c>
      <c r="AH55" s="78">
        <v>4779999.37</v>
      </c>
      <c r="AI55" s="78">
        <v>4830909.16</v>
      </c>
      <c r="AJ55" s="78">
        <v>4838258.8600000003</v>
      </c>
      <c r="AK55" s="78">
        <v>4843377.29</v>
      </c>
      <c r="AL55" s="78">
        <v>4904594.22</v>
      </c>
      <c r="AM55" s="78">
        <v>4950882.37</v>
      </c>
      <c r="AN55" s="111">
        <v>4967838.82</v>
      </c>
      <c r="AO55" s="78">
        <v>4930228.5599999996</v>
      </c>
      <c r="AP55" s="78">
        <v>4935704.7699999996</v>
      </c>
      <c r="AQ55" s="78">
        <v>4890476.0270175599</v>
      </c>
      <c r="AR55" s="79">
        <v>4782553.63</v>
      </c>
      <c r="AS55" s="79">
        <v>4741292</v>
      </c>
      <c r="AT55" s="122">
        <v>4705602.415</v>
      </c>
      <c r="AU55" s="122">
        <v>4702161.96</v>
      </c>
      <c r="AV55" s="122">
        <v>4792190.3459999999</v>
      </c>
      <c r="AW55" s="152"/>
      <c r="AX55" s="152"/>
      <c r="AY55" s="152"/>
    </row>
    <row r="56" spans="1:51" ht="15">
      <c r="A56" s="1" t="s">
        <v>284</v>
      </c>
      <c r="B56" s="5" t="s">
        <v>285</v>
      </c>
      <c r="C56" s="5" t="s">
        <v>286</v>
      </c>
      <c r="D56" s="5" t="s">
        <v>285</v>
      </c>
      <c r="E56" s="3" t="s">
        <v>50</v>
      </c>
      <c r="F56" s="3" t="s">
        <v>51</v>
      </c>
      <c r="G56" s="5" t="s">
        <v>287</v>
      </c>
      <c r="H56" s="6" t="s">
        <v>288</v>
      </c>
      <c r="I56" s="2" t="s">
        <v>117</v>
      </c>
      <c r="J56" s="2" t="s">
        <v>54</v>
      </c>
      <c r="K56" s="7">
        <v>45659</v>
      </c>
      <c r="L56" s="7" t="s">
        <v>55</v>
      </c>
      <c r="M56" s="3" t="s">
        <v>146</v>
      </c>
      <c r="N56" s="3" t="s">
        <v>57</v>
      </c>
      <c r="O56" s="112">
        <v>46708</v>
      </c>
      <c r="P56" s="112">
        <v>46534</v>
      </c>
      <c r="Q56" s="112" t="s">
        <v>118</v>
      </c>
      <c r="R56" s="3" t="str">
        <f ca="1">IF(M56="Arrojado","IPCA+6%",IF(M56="Arrojado Renda Construção","IPCA+6%",IF(M56="Arrojado Renda Usufruto","IPCA+6%",IF(M56="Moderado","IPCA+5%",IF(M56="Moderado Renda Construção","IPCA+5%",IF(M56="Moderado Renda Usufruto","IPCA+5%",IF(M56="Conservador","IPCA+4%",IF(M56="Conservador Renda Construção","IPCA+4%",IF(M56="Conservador Renda Usufruto","IPCA+4%",IF(M56="Ultraconservador","IPCA+4%",""))))))))))</f>
        <v>IPCA+5%</v>
      </c>
      <c r="S56" s="3" t="s">
        <v>59</v>
      </c>
      <c r="T56" s="3" t="s">
        <v>69</v>
      </c>
      <c r="U56" s="3" t="s">
        <v>69</v>
      </c>
      <c r="V56" s="130" t="s">
        <v>289</v>
      </c>
      <c r="W56" s="3" t="s">
        <v>59</v>
      </c>
      <c r="X56" s="3" t="s">
        <v>59</v>
      </c>
      <c r="Y56" s="3" t="s">
        <v>203</v>
      </c>
      <c r="Z56" s="114" t="s">
        <v>290</v>
      </c>
      <c r="AA56" s="78"/>
      <c r="AB56" s="78"/>
      <c r="AC56" s="78"/>
      <c r="AD56" s="78"/>
      <c r="AE56" s="78"/>
      <c r="AF56" s="78"/>
      <c r="AG56" s="78"/>
      <c r="AH56" s="78"/>
      <c r="AI56" s="78"/>
      <c r="AJ56" s="78"/>
      <c r="AK56" s="78"/>
      <c r="AL56" s="78"/>
      <c r="AM56" s="78"/>
      <c r="AN56" s="111"/>
      <c r="AO56" s="78"/>
      <c r="AP56" s="78"/>
      <c r="AQ56" s="78"/>
      <c r="AR56" s="79"/>
      <c r="AS56" s="79"/>
      <c r="AT56" s="122"/>
      <c r="AU56" s="122">
        <v>58084.82</v>
      </c>
      <c r="AV56" s="122">
        <v>57802.84</v>
      </c>
      <c r="AW56" s="152"/>
      <c r="AX56" s="152"/>
      <c r="AY56" s="152"/>
    </row>
    <row r="57" spans="1:51">
      <c r="A57" s="1" t="s">
        <v>89</v>
      </c>
      <c r="B57" s="5" t="s">
        <v>285</v>
      </c>
      <c r="C57" s="5" t="s">
        <v>286</v>
      </c>
      <c r="D57" s="5" t="s">
        <v>285</v>
      </c>
      <c r="E57" s="3" t="s">
        <v>50</v>
      </c>
      <c r="F57" s="3" t="s">
        <v>51</v>
      </c>
      <c r="G57" s="5" t="s">
        <v>291</v>
      </c>
      <c r="H57" s="6" t="s">
        <v>292</v>
      </c>
      <c r="I57" s="2" t="s">
        <v>117</v>
      </c>
      <c r="J57" s="2" t="s">
        <v>54</v>
      </c>
      <c r="K57" s="7"/>
      <c r="L57" s="7" t="s">
        <v>55</v>
      </c>
      <c r="M57" s="3" t="s">
        <v>146</v>
      </c>
      <c r="N57" s="3" t="s">
        <v>57</v>
      </c>
      <c r="O57" s="112"/>
      <c r="P57" s="112"/>
      <c r="Q57" s="112" t="s">
        <v>118</v>
      </c>
      <c r="R57" s="3" t="str">
        <f ca="1">IF(M57="Arrojado","IPCA+6%",IF(M57="Arrojado Renda Construção","IPCA+6%",IF(M57="Arrojado Renda Usufruto","IPCA+6%",IF(M57="Moderado","IPCA+5%",IF(M57="Moderado Renda Construção","IPCA+5%",IF(M57="Moderado Renda Usufruto","IPCA+5%",IF(M57="Conservador","IPCA+4%",IF(M57="Conservador Renda Construção","IPCA+4%",IF(M57="Conservador Renda Usufruto","IPCA+4%",IF(M57="Ultraconservador","IPCA+4%",""))))))))))</f>
        <v>IPCA+5%</v>
      </c>
      <c r="S57" s="3" t="s">
        <v>59</v>
      </c>
      <c r="T57" s="3" t="s">
        <v>69</v>
      </c>
      <c r="U57" s="3" t="s">
        <v>69</v>
      </c>
      <c r="V57" s="130" t="s">
        <v>289</v>
      </c>
      <c r="W57" s="3" t="s">
        <v>59</v>
      </c>
      <c r="X57" s="3" t="s">
        <v>59</v>
      </c>
      <c r="Y57" s="3" t="s">
        <v>203</v>
      </c>
      <c r="Z57" s="114" t="s">
        <v>290</v>
      </c>
      <c r="AA57" s="78"/>
      <c r="AB57" s="78"/>
      <c r="AC57" s="78"/>
      <c r="AD57" s="78"/>
      <c r="AE57" s="78"/>
      <c r="AF57" s="78"/>
      <c r="AG57" s="78"/>
      <c r="AH57" s="78"/>
      <c r="AI57" s="78"/>
      <c r="AJ57" s="78"/>
      <c r="AK57" s="78"/>
      <c r="AL57" s="78"/>
      <c r="AM57" s="78"/>
      <c r="AN57" s="111"/>
      <c r="AO57" s="78"/>
      <c r="AP57" s="78"/>
      <c r="AQ57" s="78"/>
      <c r="AR57" s="79"/>
      <c r="AS57" s="79"/>
      <c r="AT57" s="122"/>
      <c r="AU57" s="122">
        <v>0</v>
      </c>
      <c r="AV57" s="122">
        <v>0</v>
      </c>
    </row>
    <row r="58" spans="1:51">
      <c r="A58" s="1" t="s">
        <v>48</v>
      </c>
      <c r="B58" s="5" t="s">
        <v>285</v>
      </c>
      <c r="C58" s="5" t="s">
        <v>286</v>
      </c>
      <c r="D58" s="5" t="s">
        <v>285</v>
      </c>
      <c r="E58" s="3" t="s">
        <v>50</v>
      </c>
      <c r="F58" s="3" t="s">
        <v>51</v>
      </c>
      <c r="G58" s="5" t="s">
        <v>293</v>
      </c>
      <c r="H58" s="6">
        <v>6696173</v>
      </c>
      <c r="I58" s="2" t="s">
        <v>117</v>
      </c>
      <c r="J58" s="2" t="s">
        <v>54</v>
      </c>
      <c r="K58" s="7">
        <v>45659</v>
      </c>
      <c r="L58" s="7" t="s">
        <v>55</v>
      </c>
      <c r="M58" s="3" t="s">
        <v>146</v>
      </c>
      <c r="N58" s="3" t="s">
        <v>57</v>
      </c>
      <c r="O58" s="112">
        <v>46708</v>
      </c>
      <c r="P58" s="112">
        <v>46534</v>
      </c>
      <c r="Q58" s="112" t="s">
        <v>118</v>
      </c>
      <c r="R58" s="3" t="str">
        <f ca="1">IF(M58="Arrojado","IPCA+6%",IF(M58="Arrojado Renda Construção","IPCA+6%",IF(M58="Arrojado Renda Usufruto","IPCA+6%",IF(M58="Moderado","IPCA+5%",IF(M58="Moderado Renda Construção","IPCA+5%",IF(M58="Moderado Renda Usufruto","IPCA+5%",IF(M58="Conservador","IPCA+4%",IF(M58="Conservador Renda Construção","IPCA+4%",IF(M58="Conservador Renda Usufruto","IPCA+4%",IF(M58="Ultraconservador","IPCA+4%",""))))))))))</f>
        <v>IPCA+5%</v>
      </c>
      <c r="S58" s="3" t="s">
        <v>59</v>
      </c>
      <c r="T58" s="3" t="s">
        <v>69</v>
      </c>
      <c r="U58" s="3" t="s">
        <v>69</v>
      </c>
      <c r="V58" s="130" t="s">
        <v>289</v>
      </c>
      <c r="W58" s="3" t="s">
        <v>59</v>
      </c>
      <c r="X58" s="3" t="s">
        <v>59</v>
      </c>
      <c r="Y58" s="3" t="s">
        <v>203</v>
      </c>
      <c r="Z58" s="114" t="s">
        <v>290</v>
      </c>
      <c r="AA58" s="78">
        <v>1998006.74</v>
      </c>
      <c r="AB58" s="78">
        <v>2009862.44</v>
      </c>
      <c r="AC58" s="78">
        <v>2083141.34</v>
      </c>
      <c r="AD58" s="78">
        <v>2234298.54</v>
      </c>
      <c r="AE58" s="78">
        <v>2263326.63</v>
      </c>
      <c r="AF58" s="78">
        <v>2333037.06</v>
      </c>
      <c r="AG58" s="78">
        <v>2332614.09</v>
      </c>
      <c r="AH58" s="78">
        <v>2367748.5499999998</v>
      </c>
      <c r="AI58" s="78">
        <v>2390376.04</v>
      </c>
      <c r="AJ58" s="78">
        <v>2454502.5699999998</v>
      </c>
      <c r="AK58" s="78">
        <v>2491364.69</v>
      </c>
      <c r="AL58" s="78">
        <v>2530541.63</v>
      </c>
      <c r="AM58" s="78">
        <v>2576606.56</v>
      </c>
      <c r="AN58" s="111">
        <v>2694446.9</v>
      </c>
      <c r="AO58" s="78">
        <v>2936016.51</v>
      </c>
      <c r="AP58" s="78">
        <v>3020783.5</v>
      </c>
      <c r="AQ58" s="78">
        <v>3054097.2905880399</v>
      </c>
      <c r="AR58" s="79">
        <v>3030789.66</v>
      </c>
      <c r="AS58" s="79">
        <v>3047919</v>
      </c>
      <c r="AT58" s="122">
        <v>3074212.6490000002</v>
      </c>
      <c r="AU58" s="122">
        <v>3094654.95</v>
      </c>
      <c r="AV58" s="122">
        <v>3162277.8110000002</v>
      </c>
    </row>
    <row r="59" spans="1:51" ht="15">
      <c r="A59" s="1" t="s">
        <v>73</v>
      </c>
      <c r="B59" s="5" t="s">
        <v>294</v>
      </c>
      <c r="C59" s="5" t="s">
        <v>156</v>
      </c>
      <c r="D59" s="5" t="s">
        <v>295</v>
      </c>
      <c r="E59" s="3" t="s">
        <v>100</v>
      </c>
      <c r="F59" s="3" t="s">
        <v>123</v>
      </c>
      <c r="G59" s="116" t="s">
        <v>296</v>
      </c>
      <c r="H59" s="6">
        <v>21272927</v>
      </c>
      <c r="I59" s="2" t="s">
        <v>78</v>
      </c>
      <c r="J59" s="2" t="s">
        <v>54</v>
      </c>
      <c r="K59" s="7"/>
      <c r="L59" s="7" t="s">
        <v>55</v>
      </c>
      <c r="M59" s="3" t="s">
        <v>66</v>
      </c>
      <c r="N59" s="3" t="s">
        <v>57</v>
      </c>
      <c r="O59" s="136">
        <v>46199</v>
      </c>
      <c r="P59" s="112">
        <v>47646</v>
      </c>
      <c r="Q59" s="112" t="s">
        <v>158</v>
      </c>
      <c r="R59" s="3" t="str">
        <f ca="1">IF(M59="Arrojado","IPCA+6%",IF(M59="Arrojado Renda Construção","IPCA+6%",IF(M59="Arrojado Renda Usufruto","IPCA+6%",IF(M59="Moderado","IPCA+5%",IF(M59="Moderado Renda Construção","IPCA+5%",IF(M59="Moderado Renda Usufruto","IPCA+5%",IF(M59="Conservador","IPCA+4%",IF(M59="Conservador Renda Construção","IPCA+4%",IF(M59="Conservador Renda Usufruto","IPCA+4%",IF(M59="Ultraconservador","IPCA+4%",""))))))))))</f>
        <v>IPCA+4%</v>
      </c>
      <c r="S59" s="3" t="s">
        <v>69</v>
      </c>
      <c r="T59" s="3"/>
      <c r="U59" s="3"/>
      <c r="V59" s="130"/>
      <c r="W59" s="3"/>
      <c r="X59" s="3"/>
      <c r="Y59" s="3"/>
      <c r="Z59" s="114" t="s">
        <v>297</v>
      </c>
      <c r="AA59" s="78">
        <v>0</v>
      </c>
      <c r="AB59" s="78">
        <v>0</v>
      </c>
      <c r="AC59" s="78">
        <v>0</v>
      </c>
      <c r="AD59" s="78">
        <v>0</v>
      </c>
      <c r="AE59" s="78">
        <v>0</v>
      </c>
      <c r="AF59" s="78">
        <v>0</v>
      </c>
      <c r="AG59" s="78">
        <v>0</v>
      </c>
      <c r="AH59" s="78">
        <v>0</v>
      </c>
      <c r="AI59" s="78">
        <v>0</v>
      </c>
      <c r="AJ59" s="78">
        <v>0</v>
      </c>
      <c r="AK59" s="78">
        <v>0</v>
      </c>
      <c r="AL59" s="78">
        <v>0</v>
      </c>
      <c r="AM59" s="78">
        <v>0</v>
      </c>
      <c r="AN59" s="111" t="s">
        <v>104</v>
      </c>
      <c r="AO59" s="78">
        <v>0</v>
      </c>
      <c r="AP59" s="78">
        <v>0</v>
      </c>
      <c r="AQ59" s="78">
        <v>0</v>
      </c>
      <c r="AR59" s="111">
        <v>0</v>
      </c>
      <c r="AS59" s="111">
        <v>0</v>
      </c>
      <c r="AT59" s="122">
        <v>0</v>
      </c>
      <c r="AU59" s="122">
        <v>0</v>
      </c>
      <c r="AV59" s="122">
        <v>0</v>
      </c>
      <c r="AW59" s="152"/>
      <c r="AX59" s="152"/>
      <c r="AY59" s="152"/>
    </row>
    <row r="60" spans="1:51">
      <c r="A60" s="1" t="s">
        <v>48</v>
      </c>
      <c r="B60" s="5" t="s">
        <v>228</v>
      </c>
      <c r="C60" s="5" t="s">
        <v>122</v>
      </c>
      <c r="D60" s="5" t="s">
        <v>228</v>
      </c>
      <c r="E60" s="3" t="s">
        <v>50</v>
      </c>
      <c r="F60" s="3" t="s">
        <v>123</v>
      </c>
      <c r="G60" s="5" t="s">
        <v>298</v>
      </c>
      <c r="H60" s="6">
        <v>17624003</v>
      </c>
      <c r="I60" s="2" t="s">
        <v>78</v>
      </c>
      <c r="J60" s="2" t="s">
        <v>54</v>
      </c>
      <c r="K60" s="7">
        <v>45684</v>
      </c>
      <c r="L60" s="7" t="s">
        <v>55</v>
      </c>
      <c r="M60" s="3" t="s">
        <v>192</v>
      </c>
      <c r="N60" s="3" t="s">
        <v>57</v>
      </c>
      <c r="O60" s="112">
        <v>46642</v>
      </c>
      <c r="P60" s="112">
        <v>46492</v>
      </c>
      <c r="Q60" s="112" t="s">
        <v>118</v>
      </c>
      <c r="R60" s="3" t="str">
        <f ca="1">IF(M60="Arrojado","IPCA+6%",IF(M60="Arrojado Renda Construção","IPCA+6%",IF(M60="Arrojado Renda Usufruto","IPCA+6%",IF(M60="Moderado","IPCA+5%",IF(M60="Moderado Renda Construção","IPCA+5%",IF(M60="Moderado Renda Usufruto","IPCA+5%",IF(M60="Conservador","IPCA+4%",IF(M60="Conservador Renda Construção","IPCA+4%",IF(M60="Conservador Renda Usufruto","IPCA+4%",IF(M60="Ultraconservador","IPCA+4%",""))))))))))</f>
        <v>IPCA+4%</v>
      </c>
      <c r="S60" s="3" t="s">
        <v>59</v>
      </c>
      <c r="T60" s="3" t="s">
        <v>69</v>
      </c>
      <c r="U60" s="3" t="s">
        <v>69</v>
      </c>
      <c r="V60" s="130"/>
      <c r="W60" s="3" t="s">
        <v>59</v>
      </c>
      <c r="X60" s="3" t="s">
        <v>59</v>
      </c>
      <c r="Y60" s="3" t="s">
        <v>71</v>
      </c>
      <c r="Z60" s="114" t="s">
        <v>231</v>
      </c>
      <c r="AA60" s="78">
        <v>0</v>
      </c>
      <c r="AB60" s="78">
        <v>0</v>
      </c>
      <c r="AC60" s="78">
        <v>0</v>
      </c>
      <c r="AD60" s="78">
        <v>10079.540000000001</v>
      </c>
      <c r="AE60" s="78">
        <v>18306.259999999998</v>
      </c>
      <c r="AF60" s="78">
        <v>26628.82</v>
      </c>
      <c r="AG60" s="78">
        <v>36082.22</v>
      </c>
      <c r="AH60" s="78">
        <v>46671.37</v>
      </c>
      <c r="AI60" s="78">
        <v>58492.22</v>
      </c>
      <c r="AJ60" s="78">
        <v>105493.65</v>
      </c>
      <c r="AK60" s="78">
        <v>112498.46</v>
      </c>
      <c r="AL60" s="78">
        <v>114801.64</v>
      </c>
      <c r="AM60" s="78">
        <v>126880.95</v>
      </c>
      <c r="AN60" s="111">
        <v>137711.39000000001</v>
      </c>
      <c r="AO60" s="78">
        <v>148012.59</v>
      </c>
      <c r="AP60" s="78">
        <v>149230.79</v>
      </c>
      <c r="AQ60" s="78">
        <v>358171.48793800001</v>
      </c>
      <c r="AR60" s="79">
        <v>359404.07</v>
      </c>
      <c r="AS60" s="79">
        <v>373405.6</v>
      </c>
      <c r="AT60" s="122">
        <v>394467.14480000001</v>
      </c>
      <c r="AU60" s="122">
        <v>404541.34</v>
      </c>
      <c r="AV60" s="122">
        <v>408307.40659999999</v>
      </c>
    </row>
    <row r="61" spans="1:51">
      <c r="A61" s="1" t="s">
        <v>73</v>
      </c>
      <c r="B61" s="5" t="s">
        <v>299</v>
      </c>
      <c r="C61" s="5" t="s">
        <v>299</v>
      </c>
      <c r="D61" s="5" t="s">
        <v>299</v>
      </c>
      <c r="E61" s="3" t="s">
        <v>50</v>
      </c>
      <c r="F61" s="3" t="s">
        <v>51</v>
      </c>
      <c r="G61" s="5" t="s">
        <v>300</v>
      </c>
      <c r="H61" s="6">
        <v>2758096</v>
      </c>
      <c r="I61" s="2" t="s">
        <v>78</v>
      </c>
      <c r="J61" s="2" t="s">
        <v>54</v>
      </c>
      <c r="K61" s="7"/>
      <c r="L61" s="7" t="s">
        <v>226</v>
      </c>
      <c r="M61" s="3" t="s">
        <v>201</v>
      </c>
      <c r="N61" s="3" t="s">
        <v>57</v>
      </c>
      <c r="O61" s="112">
        <v>46679</v>
      </c>
      <c r="P61" s="112">
        <v>47586</v>
      </c>
      <c r="Q61" s="112" t="s">
        <v>118</v>
      </c>
      <c r="R61" s="3" t="str">
        <f ca="1">IF(M61="Arrojado","IPCA+6%",IF(M61="Arrojado Renda Construção","IPCA+6%",IF(M61="Arrojado Renda Usufruto","IPCA+6%",IF(M61="Moderado","IPCA+5%",IF(M61="Moderado Renda Construção","IPCA+5%",IF(M61="Moderado Renda Usufruto","IPCA+5%",IF(M61="Conservador","IPCA+4%",IF(M61="Conservador Renda Construção","IPCA+4%",IF(M61="Conservador Renda Usufruto","IPCA+4%",IF(M61="Ultraconservador","IPCA+4%",""))))))))))</f>
        <v>IPCA+6%</v>
      </c>
      <c r="S61" s="3" t="s">
        <v>69</v>
      </c>
      <c r="T61" s="3" t="s">
        <v>69</v>
      </c>
      <c r="U61" s="3" t="s">
        <v>59</v>
      </c>
      <c r="V61" s="130" t="s">
        <v>301</v>
      </c>
      <c r="W61" s="3" t="s">
        <v>59</v>
      </c>
      <c r="X61" s="3" t="s">
        <v>69</v>
      </c>
      <c r="Y61" s="3" t="s">
        <v>138</v>
      </c>
      <c r="Z61" s="114" t="s">
        <v>302</v>
      </c>
      <c r="AA61" s="78">
        <v>207935.91</v>
      </c>
      <c r="AB61" s="78" t="s">
        <v>303</v>
      </c>
      <c r="AC61" s="78">
        <v>454005.04</v>
      </c>
      <c r="AD61" s="78">
        <v>561840.41</v>
      </c>
      <c r="AE61" s="78">
        <v>986973.09</v>
      </c>
      <c r="AF61" s="78">
        <v>1109182.8899999999</v>
      </c>
      <c r="AG61" s="78">
        <v>1105980.1599999999</v>
      </c>
      <c r="AH61" s="78">
        <v>1130914.8</v>
      </c>
      <c r="AI61" s="78">
        <v>1102199.8799999999</v>
      </c>
      <c r="AJ61" s="78">
        <v>1111747.75</v>
      </c>
      <c r="AK61" s="78">
        <v>908279.83</v>
      </c>
      <c r="AL61" s="78">
        <v>924832.94</v>
      </c>
      <c r="AM61" s="78">
        <v>958204.44000000006</v>
      </c>
      <c r="AN61" s="111">
        <v>970850.23</v>
      </c>
      <c r="AO61" s="78">
        <v>959444.02</v>
      </c>
      <c r="AP61" s="78">
        <v>964407.11</v>
      </c>
      <c r="AQ61" s="78">
        <v>951537.41000000015</v>
      </c>
      <c r="AR61" s="111">
        <v>957353.01</v>
      </c>
      <c r="AS61" s="111">
        <v>951402.08000000007</v>
      </c>
      <c r="AT61" s="122">
        <v>936165.79</v>
      </c>
      <c r="AU61" s="122">
        <v>963903.36</v>
      </c>
      <c r="AV61" s="122">
        <v>1013594.11</v>
      </c>
    </row>
    <row r="62" spans="1:51">
      <c r="A62" s="1" t="s">
        <v>106</v>
      </c>
      <c r="B62" s="5" t="s">
        <v>299</v>
      </c>
      <c r="C62" s="5" t="s">
        <v>299</v>
      </c>
      <c r="D62" s="5" t="s">
        <v>299</v>
      </c>
      <c r="E62" s="3" t="s">
        <v>100</v>
      </c>
      <c r="F62" s="3" t="s">
        <v>51</v>
      </c>
      <c r="G62" s="5" t="s">
        <v>304</v>
      </c>
      <c r="H62" s="6">
        <v>79451840</v>
      </c>
      <c r="I62" s="2" t="s">
        <v>78</v>
      </c>
      <c r="J62" s="2" t="s">
        <v>54</v>
      </c>
      <c r="K62" s="7"/>
      <c r="L62" s="7" t="s">
        <v>55</v>
      </c>
      <c r="M62" s="3" t="s">
        <v>201</v>
      </c>
      <c r="N62" s="3" t="s">
        <v>57</v>
      </c>
      <c r="O62" s="112"/>
      <c r="P62" s="112"/>
      <c r="Q62" s="112" t="s">
        <v>118</v>
      </c>
      <c r="R62" s="3" t="str">
        <f ca="1">IF(M62="Arrojado","IPCA+6%",IF(M62="Arrojado Renda Construção","IPCA+6%",IF(M62="Arrojado Renda Usufruto","IPCA+6%",IF(M62="Moderado","IPCA+5%",IF(M62="Moderado Renda Construção","IPCA+5%",IF(M62="Moderado Renda Usufruto","IPCA+5%",IF(M62="Conservador","IPCA+4%",IF(M62="Conservador Renda Construção","IPCA+4%",IF(M62="Conservador Renda Usufruto","IPCA+4%",IF(M62="Ultraconservador","IPCA+4%",""))))))))))</f>
        <v>IPCA+6%</v>
      </c>
      <c r="S62" s="3" t="s">
        <v>69</v>
      </c>
      <c r="T62" s="3" t="s">
        <v>69</v>
      </c>
      <c r="U62" s="3" t="s">
        <v>59</v>
      </c>
      <c r="V62" s="130" t="s">
        <v>301</v>
      </c>
      <c r="W62" s="3" t="s">
        <v>59</v>
      </c>
      <c r="X62" s="3" t="s">
        <v>69</v>
      </c>
      <c r="Y62" s="3" t="s">
        <v>138</v>
      </c>
      <c r="Z62" s="114" t="s">
        <v>305</v>
      </c>
      <c r="AA62" s="77">
        <v>195880.28</v>
      </c>
      <c r="AB62" s="77">
        <v>197458.74</v>
      </c>
      <c r="AC62" s="77">
        <v>189299.32</v>
      </c>
      <c r="AD62" s="77">
        <v>185812.84</v>
      </c>
      <c r="AE62" s="77">
        <v>194617.58</v>
      </c>
      <c r="AF62" s="77">
        <v>200649.41</v>
      </c>
      <c r="AG62" s="77">
        <v>202523.36</v>
      </c>
      <c r="AH62" s="77">
        <v>210248.28</v>
      </c>
      <c r="AI62" s="77">
        <v>215923.68</v>
      </c>
      <c r="AJ62" s="77">
        <v>216598.79</v>
      </c>
      <c r="AK62" s="77">
        <v>220146.95</v>
      </c>
      <c r="AL62" s="77">
        <v>216659.09</v>
      </c>
      <c r="AM62" s="77">
        <v>223437.5</v>
      </c>
      <c r="AN62" s="77">
        <v>224236.86</v>
      </c>
      <c r="AO62" s="77">
        <v>214801.85</v>
      </c>
      <c r="AP62" s="77">
        <v>227095.82</v>
      </c>
      <c r="AQ62" s="80">
        <v>228619.97</v>
      </c>
      <c r="AR62" s="80">
        <v>229746.14</v>
      </c>
      <c r="AS62" s="80">
        <v>231131.71</v>
      </c>
      <c r="AT62" s="132">
        <v>232251.47</v>
      </c>
      <c r="AU62" s="132">
        <v>226490.57</v>
      </c>
      <c r="AV62" s="132">
        <v>231809.84</v>
      </c>
    </row>
    <row r="63" spans="1:51">
      <c r="A63" s="1" t="s">
        <v>48</v>
      </c>
      <c r="B63" s="5" t="s">
        <v>299</v>
      </c>
      <c r="C63" s="5" t="s">
        <v>299</v>
      </c>
      <c r="D63" s="5" t="s">
        <v>299</v>
      </c>
      <c r="E63" s="3" t="s">
        <v>50</v>
      </c>
      <c r="F63" s="3" t="s">
        <v>51</v>
      </c>
      <c r="G63" s="5" t="s">
        <v>306</v>
      </c>
      <c r="H63" s="6">
        <v>2497441</v>
      </c>
      <c r="I63" s="2" t="s">
        <v>78</v>
      </c>
      <c r="J63" s="2" t="s">
        <v>54</v>
      </c>
      <c r="K63" s="7">
        <v>45565</v>
      </c>
      <c r="L63" s="7" t="s">
        <v>226</v>
      </c>
      <c r="M63" s="3" t="s">
        <v>201</v>
      </c>
      <c r="N63" s="3" t="s">
        <v>57</v>
      </c>
      <c r="O63" s="112">
        <v>46487</v>
      </c>
      <c r="P63" s="112">
        <v>46503</v>
      </c>
      <c r="Q63" s="112" t="s">
        <v>118</v>
      </c>
      <c r="R63" s="3" t="str">
        <f ca="1">IF(M63="Arrojado","IPCA+6%",IF(M63="Arrojado Renda Construção","IPCA+6%",IF(M63="Arrojado Renda Usufruto","IPCA+6%",IF(M63="Moderado","IPCA+5%",IF(M63="Moderado Renda Construção","IPCA+5%",IF(M63="Moderado Renda Usufruto","IPCA+5%",IF(M63="Conservador","IPCA+4%",IF(M63="Conservador Renda Construção","IPCA+4%",IF(M63="Conservador Renda Usufruto","IPCA+4%",IF(M63="Ultraconservador","IPCA+4%",""))))))))))</f>
        <v>IPCA+6%</v>
      </c>
      <c r="S63" s="3" t="s">
        <v>69</v>
      </c>
      <c r="T63" s="3" t="s">
        <v>69</v>
      </c>
      <c r="U63" s="3" t="s">
        <v>59</v>
      </c>
      <c r="V63" s="130" t="s">
        <v>301</v>
      </c>
      <c r="W63" s="3" t="s">
        <v>59</v>
      </c>
      <c r="X63" s="3" t="s">
        <v>69</v>
      </c>
      <c r="Y63" s="3" t="s">
        <v>138</v>
      </c>
      <c r="Z63" s="114" t="s">
        <v>302</v>
      </c>
      <c r="AA63" s="78">
        <v>1907464.91</v>
      </c>
      <c r="AB63" s="78">
        <v>1909606.85</v>
      </c>
      <c r="AC63" s="78">
        <v>1767880.41</v>
      </c>
      <c r="AD63" s="78">
        <v>1734727.78</v>
      </c>
      <c r="AE63" s="78">
        <v>1248933.43</v>
      </c>
      <c r="AF63" s="78">
        <v>1565700.08</v>
      </c>
      <c r="AG63" s="78">
        <v>1668568.37</v>
      </c>
      <c r="AH63" s="78">
        <v>2007135.09</v>
      </c>
      <c r="AI63" s="78">
        <v>1540363.7</v>
      </c>
      <c r="AJ63" s="78">
        <v>1469564.55</v>
      </c>
      <c r="AK63" s="78">
        <v>1483373.17</v>
      </c>
      <c r="AL63" s="78">
        <v>1498345.73</v>
      </c>
      <c r="AM63" s="78">
        <v>1523815.83</v>
      </c>
      <c r="AN63" s="111">
        <v>1533228.96</v>
      </c>
      <c r="AO63" s="78">
        <v>1338958.69</v>
      </c>
      <c r="AP63" s="78">
        <v>1347187.16</v>
      </c>
      <c r="AQ63" s="78">
        <v>1137388.6576626</v>
      </c>
      <c r="AR63" s="79">
        <v>1078118.9099999999</v>
      </c>
      <c r="AS63" s="79">
        <v>1037671</v>
      </c>
      <c r="AT63" s="122">
        <v>1039967.204</v>
      </c>
      <c r="AU63" s="122">
        <v>1032490.74</v>
      </c>
      <c r="AV63" s="122">
        <v>1050529.202</v>
      </c>
    </row>
    <row r="64" spans="1:51">
      <c r="A64" s="1" t="s">
        <v>48</v>
      </c>
      <c r="B64" s="5" t="s">
        <v>307</v>
      </c>
      <c r="C64" s="161" t="s">
        <v>240</v>
      </c>
      <c r="D64" s="5" t="s">
        <v>307</v>
      </c>
      <c r="E64" s="3" t="s">
        <v>50</v>
      </c>
      <c r="F64" s="3" t="s">
        <v>51</v>
      </c>
      <c r="G64" s="5" t="s">
        <v>308</v>
      </c>
      <c r="H64" s="6">
        <v>3133112</v>
      </c>
      <c r="I64" s="2" t="s">
        <v>78</v>
      </c>
      <c r="J64" s="2" t="s">
        <v>54</v>
      </c>
      <c r="K64" s="7">
        <v>45644</v>
      </c>
      <c r="L64" s="7" t="s">
        <v>55</v>
      </c>
      <c r="M64" s="3" t="s">
        <v>146</v>
      </c>
      <c r="N64" s="3" t="s">
        <v>57</v>
      </c>
      <c r="O64" s="112">
        <v>46522</v>
      </c>
      <c r="P64" s="112">
        <v>46528</v>
      </c>
      <c r="Q64" s="112" t="s">
        <v>118</v>
      </c>
      <c r="R64" s="3" t="str">
        <f ca="1">IF(M64="Arrojado","IPCA+6%",IF(M64="Arrojado Renda Construção","IPCA+6%",IF(M64="Arrojado Renda Usufruto","IPCA+6%",IF(M64="Moderado","IPCA+5%",IF(M64="Moderado Renda Construção","IPCA+5%",IF(M64="Moderado Renda Usufruto","IPCA+5%",IF(M64="Conservador","IPCA+4%",IF(M64="Conservador Renda Construção","IPCA+4%",IF(M64="Conservador Renda Usufruto","IPCA+4%",IF(M64="Ultraconservador","IPCA+4%",""))))))))))</f>
        <v>IPCA+5%</v>
      </c>
      <c r="S64" s="3" t="s">
        <v>69</v>
      </c>
      <c r="T64" s="3" t="s">
        <v>69</v>
      </c>
      <c r="U64" s="3" t="s">
        <v>59</v>
      </c>
      <c r="V64" s="130" t="s">
        <v>309</v>
      </c>
      <c r="W64" s="3" t="s">
        <v>59</v>
      </c>
      <c r="X64" s="3" t="s">
        <v>69</v>
      </c>
      <c r="Y64" s="3" t="s">
        <v>203</v>
      </c>
      <c r="Z64" s="114" t="s">
        <v>310</v>
      </c>
      <c r="AA64" s="78">
        <v>1118603.27</v>
      </c>
      <c r="AB64" s="78">
        <v>1136137.33</v>
      </c>
      <c r="AC64" s="78">
        <v>1149432.05</v>
      </c>
      <c r="AD64" s="78">
        <v>1226341.68</v>
      </c>
      <c r="AE64" s="78">
        <v>1245521.28</v>
      </c>
      <c r="AF64" s="78">
        <v>1263737.3600000001</v>
      </c>
      <c r="AG64" s="78">
        <v>1283797.6599999999</v>
      </c>
      <c r="AH64" s="78">
        <v>1344571.74</v>
      </c>
      <c r="AI64" s="78">
        <v>1378881.4</v>
      </c>
      <c r="AJ64" s="78">
        <v>1418711.79</v>
      </c>
      <c r="AK64" s="78">
        <v>1448074.52</v>
      </c>
      <c r="AL64" s="78">
        <v>1499095.69</v>
      </c>
      <c r="AM64" s="78">
        <v>1562310.38</v>
      </c>
      <c r="AN64" s="111">
        <v>1597947.67</v>
      </c>
      <c r="AO64" s="78">
        <v>1926562.22</v>
      </c>
      <c r="AP64" s="78">
        <v>1952356.39</v>
      </c>
      <c r="AQ64" s="78">
        <v>1986392.6858847528</v>
      </c>
      <c r="AR64" s="79">
        <v>1963216.08</v>
      </c>
      <c r="AS64" s="79">
        <v>1988633</v>
      </c>
      <c r="AT64" s="122">
        <v>2031043.1780000001</v>
      </c>
      <c r="AU64" s="122">
        <v>2060067.88</v>
      </c>
      <c r="AV64" s="122">
        <v>2138389.7519999999</v>
      </c>
    </row>
    <row r="65" spans="1:51">
      <c r="A65" s="1" t="s">
        <v>106</v>
      </c>
      <c r="B65" s="5" t="s">
        <v>311</v>
      </c>
      <c r="C65" s="5" t="s">
        <v>312</v>
      </c>
      <c r="D65" s="5" t="s">
        <v>313</v>
      </c>
      <c r="E65" s="3" t="s">
        <v>50</v>
      </c>
      <c r="F65" s="3" t="s">
        <v>51</v>
      </c>
      <c r="G65" s="81" t="s">
        <v>314</v>
      </c>
      <c r="H65" s="6">
        <v>87523267</v>
      </c>
      <c r="I65" s="2" t="s">
        <v>78</v>
      </c>
      <c r="J65" s="2" t="s">
        <v>54</v>
      </c>
      <c r="K65" s="7"/>
      <c r="L65" s="7" t="s">
        <v>55</v>
      </c>
      <c r="M65" s="3" t="s">
        <v>192</v>
      </c>
      <c r="N65" s="3" t="s">
        <v>67</v>
      </c>
      <c r="O65" s="112"/>
      <c r="P65" s="112"/>
      <c r="Q65" s="112" t="s">
        <v>118</v>
      </c>
      <c r="R65" s="3" t="str">
        <f ca="1">IF(M65="Arrojado","IPCA+6%",IF(M65="Arrojado Renda Construção","IPCA+6%",IF(M65="Arrojado Renda Usufruto","IPCA+6%",IF(M65="Moderado","IPCA+5%",IF(M65="Moderado Renda Construção","IPCA+5%",IF(M65="Moderado Renda Usufruto","IPCA+5%",IF(M65="Conservador","IPCA+4%",IF(M65="Conservador Renda Construção","IPCA+4%",IF(M65="Conservador Renda Usufruto","IPCA+4%",IF(M65="Ultraconservador","IPCA+4%",""))))))))))</f>
        <v>IPCA+4%</v>
      </c>
      <c r="S65" s="3" t="s">
        <v>69</v>
      </c>
      <c r="T65" s="3" t="s">
        <v>59</v>
      </c>
      <c r="U65" s="3" t="s">
        <v>59</v>
      </c>
      <c r="V65" s="130" t="s">
        <v>315</v>
      </c>
      <c r="W65" s="3" t="s">
        <v>69</v>
      </c>
      <c r="X65" s="3" t="s">
        <v>59</v>
      </c>
      <c r="Y65" s="3" t="s">
        <v>71</v>
      </c>
      <c r="Z65" s="114" t="s">
        <v>316</v>
      </c>
      <c r="AA65" s="77"/>
      <c r="AB65" s="77"/>
      <c r="AC65" s="77"/>
      <c r="AD65" s="77"/>
      <c r="AE65" s="77"/>
      <c r="AF65" s="77"/>
      <c r="AG65" s="77"/>
      <c r="AH65" s="77"/>
      <c r="AI65" s="77"/>
      <c r="AJ65" s="77"/>
      <c r="AK65" s="77"/>
      <c r="AL65" s="77"/>
      <c r="AM65" s="77"/>
      <c r="AN65" s="77"/>
      <c r="AO65" s="77"/>
      <c r="AP65" s="77"/>
      <c r="AQ65" s="80">
        <v>4.2699999999999996</v>
      </c>
      <c r="AR65" s="80">
        <v>4.2699999999999996</v>
      </c>
      <c r="AS65" s="80">
        <v>4.2699999999999996</v>
      </c>
      <c r="AT65" s="132">
        <v>4.2699999999999996</v>
      </c>
      <c r="AU65" s="132">
        <v>4.2699999999999996</v>
      </c>
      <c r="AV65" s="132">
        <v>4.2699999999999996</v>
      </c>
    </row>
    <row r="66" spans="1:51">
      <c r="A66" s="1" t="s">
        <v>106</v>
      </c>
      <c r="B66" s="5" t="s">
        <v>311</v>
      </c>
      <c r="C66" s="158" t="s">
        <v>312</v>
      </c>
      <c r="D66" s="5" t="s">
        <v>317</v>
      </c>
      <c r="E66" s="3" t="s">
        <v>100</v>
      </c>
      <c r="F66" s="3" t="s">
        <v>51</v>
      </c>
      <c r="G66" s="5" t="s">
        <v>314</v>
      </c>
      <c r="H66" s="6">
        <v>92343302</v>
      </c>
      <c r="I66" s="2" t="s">
        <v>78</v>
      </c>
      <c r="J66" s="2" t="s">
        <v>54</v>
      </c>
      <c r="K66" s="7"/>
      <c r="L66" s="7" t="s">
        <v>55</v>
      </c>
      <c r="M66" s="3" t="s">
        <v>192</v>
      </c>
      <c r="N66" s="3" t="s">
        <v>67</v>
      </c>
      <c r="O66" s="112"/>
      <c r="P66" s="112"/>
      <c r="Q66" s="112" t="s">
        <v>118</v>
      </c>
      <c r="R66" s="3" t="str">
        <f ca="1">IF(M66="Arrojado","IPCA+6%",IF(M66="Arrojado Renda Construção","IPCA+6%",IF(M66="Arrojado Renda Usufruto","IPCA+6%",IF(M66="Moderado","IPCA+5%",IF(M66="Moderado Renda Construção","IPCA+5%",IF(M66="Moderado Renda Usufruto","IPCA+5%",IF(M66="Conservador","IPCA+4%",IF(M66="Conservador Renda Construção","IPCA+4%",IF(M66="Conservador Renda Usufruto","IPCA+4%",IF(M66="Ultraconservador","IPCA+4%",""))))))))))</f>
        <v>IPCA+4%</v>
      </c>
      <c r="S66" s="3" t="s">
        <v>69</v>
      </c>
      <c r="T66" s="3" t="s">
        <v>59</v>
      </c>
      <c r="U66" s="3" t="s">
        <v>59</v>
      </c>
      <c r="V66" s="130" t="s">
        <v>315</v>
      </c>
      <c r="W66" s="3" t="s">
        <v>69</v>
      </c>
      <c r="X66" s="3" t="s">
        <v>59</v>
      </c>
      <c r="Y66" s="3" t="s">
        <v>71</v>
      </c>
      <c r="Z66" s="114" t="s">
        <v>316</v>
      </c>
      <c r="AA66" s="77">
        <v>1064848.23</v>
      </c>
      <c r="AB66" s="77">
        <v>1096126.33</v>
      </c>
      <c r="AC66" s="77">
        <v>1093869.5900000001</v>
      </c>
      <c r="AD66" s="77">
        <v>1076932.3899999999</v>
      </c>
      <c r="AE66" s="77">
        <v>1072812.32</v>
      </c>
      <c r="AF66" s="77">
        <v>1092198.51</v>
      </c>
      <c r="AG66" s="77">
        <v>1088327.76</v>
      </c>
      <c r="AH66" s="77">
        <v>1117395.97</v>
      </c>
      <c r="AI66" s="77">
        <v>1145920.02</v>
      </c>
      <c r="AJ66" s="77">
        <v>1158903.95</v>
      </c>
      <c r="AK66" s="77">
        <v>1179510.76</v>
      </c>
      <c r="AL66" s="77">
        <v>1165860.4099999999</v>
      </c>
      <c r="AM66" s="77">
        <v>1194080.8500000001</v>
      </c>
      <c r="AN66" s="77">
        <v>1228093.77</v>
      </c>
      <c r="AO66" s="77">
        <v>1180617.33</v>
      </c>
      <c r="AP66" s="77">
        <v>1197451.17</v>
      </c>
      <c r="AQ66" s="80">
        <v>1183604.8899999999</v>
      </c>
      <c r="AR66" s="80">
        <v>1192137.8400000001</v>
      </c>
      <c r="AS66" s="80">
        <v>1182982.06</v>
      </c>
      <c r="AT66" s="132">
        <v>1188997.72</v>
      </c>
      <c r="AU66" s="132">
        <v>1139818.8400000001</v>
      </c>
      <c r="AV66" s="132">
        <v>1157408.6399999999</v>
      </c>
    </row>
    <row r="67" spans="1:51" ht="15">
      <c r="A67" s="1" t="s">
        <v>48</v>
      </c>
      <c r="B67" s="5" t="s">
        <v>311</v>
      </c>
      <c r="C67" s="5" t="s">
        <v>312</v>
      </c>
      <c r="D67" s="5" t="s">
        <v>311</v>
      </c>
      <c r="E67" s="3" t="s">
        <v>50</v>
      </c>
      <c r="F67" s="3" t="s">
        <v>51</v>
      </c>
      <c r="G67" s="5" t="s">
        <v>318</v>
      </c>
      <c r="H67" s="6">
        <v>7758450</v>
      </c>
      <c r="I67" s="2" t="s">
        <v>78</v>
      </c>
      <c r="J67" s="2" t="s">
        <v>54</v>
      </c>
      <c r="K67" s="7">
        <v>45656</v>
      </c>
      <c r="L67" s="7" t="s">
        <v>55</v>
      </c>
      <c r="M67" s="3" t="s">
        <v>192</v>
      </c>
      <c r="N67" s="3" t="s">
        <v>67</v>
      </c>
      <c r="O67" s="112">
        <v>46624</v>
      </c>
      <c r="P67" s="112">
        <v>46358</v>
      </c>
      <c r="Q67" s="112" t="s">
        <v>118</v>
      </c>
      <c r="R67" s="3" t="str">
        <f ca="1">IF(M67="Arrojado","IPCA+6%",IF(M67="Arrojado Renda Construção","IPCA+6%",IF(M67="Arrojado Renda Usufruto","IPCA+6%",IF(M67="Moderado","IPCA+5%",IF(M67="Moderado Renda Construção","IPCA+5%",IF(M67="Moderado Renda Usufruto","IPCA+5%",IF(M67="Conservador","IPCA+4%",IF(M67="Conservador Renda Construção","IPCA+4%",IF(M67="Conservador Renda Usufruto","IPCA+4%",IF(M67="Ultraconservador","IPCA+4%",""))))))))))</f>
        <v>IPCA+4%</v>
      </c>
      <c r="S67" s="3" t="s">
        <v>69</v>
      </c>
      <c r="T67" s="3" t="s">
        <v>59</v>
      </c>
      <c r="U67" s="3" t="s">
        <v>59</v>
      </c>
      <c r="V67" s="130" t="s">
        <v>315</v>
      </c>
      <c r="W67" s="3" t="s">
        <v>69</v>
      </c>
      <c r="X67" s="3" t="s">
        <v>59</v>
      </c>
      <c r="Y67" s="3" t="s">
        <v>71</v>
      </c>
      <c r="Z67" s="114" t="s">
        <v>319</v>
      </c>
      <c r="AA67" s="78">
        <v>3037862.46</v>
      </c>
      <c r="AB67" s="78">
        <v>3082808.99</v>
      </c>
      <c r="AC67" s="78">
        <v>3130494.56</v>
      </c>
      <c r="AD67" s="78">
        <v>3107192.27</v>
      </c>
      <c r="AE67" s="78">
        <v>3146425.57</v>
      </c>
      <c r="AF67" s="78">
        <v>3167756.1</v>
      </c>
      <c r="AG67" s="78">
        <v>3187051.2</v>
      </c>
      <c r="AH67" s="78">
        <v>3229190.43</v>
      </c>
      <c r="AI67" s="78">
        <v>3255300.75</v>
      </c>
      <c r="AJ67" s="78">
        <v>3267491.52</v>
      </c>
      <c r="AK67" s="78">
        <v>3309579.18</v>
      </c>
      <c r="AL67" s="78">
        <v>3311157.74</v>
      </c>
      <c r="AM67" s="78">
        <v>2995111.69</v>
      </c>
      <c r="AN67" s="111">
        <v>3050437.52</v>
      </c>
      <c r="AO67" s="78">
        <v>2823091.28</v>
      </c>
      <c r="AP67" s="78">
        <v>2866487.47</v>
      </c>
      <c r="AQ67" s="78">
        <v>2900751.7209999999</v>
      </c>
      <c r="AR67" s="79">
        <v>2902979.01</v>
      </c>
      <c r="AS67" s="79">
        <v>2964869</v>
      </c>
      <c r="AT67" s="122">
        <v>2989497.6409999998</v>
      </c>
      <c r="AU67" s="122">
        <v>2959516.66</v>
      </c>
      <c r="AV67" s="122">
        <v>2986929.02</v>
      </c>
      <c r="AW67" s="152"/>
      <c r="AX67" s="152"/>
      <c r="AY67" s="152"/>
    </row>
    <row r="68" spans="1:51" ht="15">
      <c r="A68" s="1" t="s">
        <v>73</v>
      </c>
      <c r="B68" s="5" t="s">
        <v>294</v>
      </c>
      <c r="C68" s="5" t="s">
        <v>156</v>
      </c>
      <c r="D68" s="5" t="s">
        <v>294</v>
      </c>
      <c r="E68" s="3" t="s">
        <v>50</v>
      </c>
      <c r="F68" s="3" t="s">
        <v>123</v>
      </c>
      <c r="G68" s="116" t="s">
        <v>320</v>
      </c>
      <c r="H68" s="6">
        <v>14668131</v>
      </c>
      <c r="I68" s="2" t="s">
        <v>78</v>
      </c>
      <c r="J68" s="2" t="s">
        <v>54</v>
      </c>
      <c r="K68" s="7"/>
      <c r="L68" s="7" t="s">
        <v>55</v>
      </c>
      <c r="M68" s="3" t="s">
        <v>192</v>
      </c>
      <c r="N68" s="3" t="s">
        <v>57</v>
      </c>
      <c r="O68" s="112">
        <v>46879</v>
      </c>
      <c r="P68" s="112">
        <v>47393</v>
      </c>
      <c r="Q68" s="112" t="s">
        <v>158</v>
      </c>
      <c r="R68" s="3" t="str">
        <f ca="1">IF(M68="Arrojado","IPCA+6%",IF(M68="Arrojado Renda Construção","IPCA+6%",IF(M68="Arrojado Renda Usufruto","IPCA+6%",IF(M68="Moderado","IPCA+5%",IF(M68="Moderado Renda Construção","IPCA+5%",IF(M68="Moderado Renda Usufruto","IPCA+5%",IF(M68="Conservador","IPCA+4%",IF(M68="Conservador Renda Construção","IPCA+4%",IF(M68="Conservador Renda Usufruto","IPCA+4%",IF(M68="Ultraconservador","IPCA+4%",""))))))))))</f>
        <v>IPCA+4%</v>
      </c>
      <c r="S68" s="3" t="s">
        <v>69</v>
      </c>
      <c r="T68" s="3" t="s">
        <v>59</v>
      </c>
      <c r="U68" s="3" t="s">
        <v>59</v>
      </c>
      <c r="V68" s="130" t="s">
        <v>321</v>
      </c>
      <c r="W68" s="3" t="s">
        <v>59</v>
      </c>
      <c r="X68" s="3" t="s">
        <v>59</v>
      </c>
      <c r="Y68" s="3" t="s">
        <v>203</v>
      </c>
      <c r="Z68" s="114" t="s">
        <v>297</v>
      </c>
      <c r="AA68" s="78">
        <v>0</v>
      </c>
      <c r="AB68" s="78">
        <v>0</v>
      </c>
      <c r="AC68" s="78">
        <v>0</v>
      </c>
      <c r="AD68" s="78">
        <v>0</v>
      </c>
      <c r="AE68" s="78">
        <v>0</v>
      </c>
      <c r="AF68" s="78">
        <v>0</v>
      </c>
      <c r="AG68" s="78">
        <v>0</v>
      </c>
      <c r="AH68" s="78">
        <v>0</v>
      </c>
      <c r="AI68" s="78">
        <v>0</v>
      </c>
      <c r="AJ68" s="78">
        <v>0</v>
      </c>
      <c r="AK68" s="78">
        <v>0</v>
      </c>
      <c r="AL68" s="78">
        <v>1.64</v>
      </c>
      <c r="AM68" s="78">
        <v>1.64</v>
      </c>
      <c r="AN68" s="111">
        <v>1.64</v>
      </c>
      <c r="AO68" s="78">
        <v>1.64</v>
      </c>
      <c r="AP68" s="78">
        <v>1.64</v>
      </c>
      <c r="AQ68" s="78">
        <v>1.64</v>
      </c>
      <c r="AR68" s="111">
        <v>0</v>
      </c>
      <c r="AS68" s="111">
        <v>0</v>
      </c>
      <c r="AT68" s="122">
        <v>0</v>
      </c>
      <c r="AU68" s="122">
        <v>0</v>
      </c>
      <c r="AV68" s="122">
        <v>0</v>
      </c>
      <c r="AW68" s="152"/>
      <c r="AX68" s="152"/>
      <c r="AY68" s="152"/>
    </row>
    <row r="69" spans="1:51" ht="15">
      <c r="A69" s="1" t="s">
        <v>106</v>
      </c>
      <c r="B69" s="5" t="s">
        <v>294</v>
      </c>
      <c r="C69" s="5" t="s">
        <v>156</v>
      </c>
      <c r="D69" s="5" t="s">
        <v>322</v>
      </c>
      <c r="E69" s="3" t="s">
        <v>100</v>
      </c>
      <c r="F69" s="3" t="s">
        <v>123</v>
      </c>
      <c r="G69" s="5" t="s">
        <v>323</v>
      </c>
      <c r="H69" s="6">
        <v>17789609</v>
      </c>
      <c r="I69" s="2" t="s">
        <v>78</v>
      </c>
      <c r="J69" s="2" t="s">
        <v>54</v>
      </c>
      <c r="K69" s="7"/>
      <c r="L69" s="7" t="s">
        <v>55</v>
      </c>
      <c r="M69" s="3" t="s">
        <v>192</v>
      </c>
      <c r="N69" s="3" t="s">
        <v>57</v>
      </c>
      <c r="O69" s="112"/>
      <c r="P69" s="112"/>
      <c r="Q69" s="112" t="s">
        <v>158</v>
      </c>
      <c r="R69" s="3" t="str">
        <f ca="1">IF(M69="Arrojado","IPCA+6%",IF(M69="Arrojado Renda Construção","IPCA+6%",IF(M69="Arrojado Renda Usufruto","IPCA+6%",IF(M69="Moderado","IPCA+5%",IF(M69="Moderado Renda Construção","IPCA+5%",IF(M69="Moderado Renda Usufruto","IPCA+5%",IF(M69="Conservador","IPCA+4%",IF(M69="Conservador Renda Construção","IPCA+4%",IF(M69="Conservador Renda Usufruto","IPCA+4%",IF(M69="Ultraconservador","IPCA+4%",""))))))))))</f>
        <v>IPCA+4%</v>
      </c>
      <c r="S69" s="3" t="s">
        <v>69</v>
      </c>
      <c r="T69" s="3" t="s">
        <v>59</v>
      </c>
      <c r="U69" s="3" t="s">
        <v>59</v>
      </c>
      <c r="V69" s="130" t="s">
        <v>321</v>
      </c>
      <c r="W69" s="3" t="s">
        <v>59</v>
      </c>
      <c r="X69" s="3" t="s">
        <v>59</v>
      </c>
      <c r="Y69" s="3" t="s">
        <v>203</v>
      </c>
      <c r="Z69" s="114" t="s">
        <v>297</v>
      </c>
      <c r="AA69" s="77">
        <v>0</v>
      </c>
      <c r="AB69" s="77">
        <v>0</v>
      </c>
      <c r="AC69" s="77">
        <v>0</v>
      </c>
      <c r="AD69" s="77">
        <v>0</v>
      </c>
      <c r="AE69" s="77">
        <v>0</v>
      </c>
      <c r="AF69" s="77">
        <v>101684.66</v>
      </c>
      <c r="AG69" s="77">
        <v>101941.91</v>
      </c>
      <c r="AH69" s="77">
        <v>556088.76</v>
      </c>
      <c r="AI69" s="77">
        <v>515969.46</v>
      </c>
      <c r="AJ69" s="77">
        <v>522448.75</v>
      </c>
      <c r="AK69" s="77">
        <v>523788.7</v>
      </c>
      <c r="AL69" s="77">
        <v>1612688.92</v>
      </c>
      <c r="AM69" s="77">
        <v>1616080.27</v>
      </c>
      <c r="AN69" s="77">
        <v>1641094.17</v>
      </c>
      <c r="AO69" s="77">
        <v>1615420.94</v>
      </c>
      <c r="AP69" s="77">
        <v>1612979.77</v>
      </c>
      <c r="AQ69" s="80">
        <v>1618144.39</v>
      </c>
      <c r="AR69" s="80">
        <v>1633864.14</v>
      </c>
      <c r="AS69" s="80">
        <v>1587560.9</v>
      </c>
      <c r="AT69" s="132">
        <v>1598773.79</v>
      </c>
      <c r="AU69" s="132">
        <v>1530639.11</v>
      </c>
      <c r="AV69" s="132">
        <v>1539686.79</v>
      </c>
      <c r="AW69" s="152"/>
      <c r="AX69" s="152"/>
      <c r="AY69" s="152"/>
    </row>
    <row r="70" spans="1:51">
      <c r="A70" s="1" t="s">
        <v>106</v>
      </c>
      <c r="B70" s="5" t="s">
        <v>294</v>
      </c>
      <c r="C70" s="5" t="s">
        <v>156</v>
      </c>
      <c r="D70" s="5" t="s">
        <v>324</v>
      </c>
      <c r="E70" s="3" t="s">
        <v>100</v>
      </c>
      <c r="F70" s="3" t="s">
        <v>123</v>
      </c>
      <c r="G70" s="5" t="s">
        <v>323</v>
      </c>
      <c r="H70" s="6" t="s">
        <v>325</v>
      </c>
      <c r="I70" s="2" t="s">
        <v>78</v>
      </c>
      <c r="J70" s="2" t="s">
        <v>54</v>
      </c>
      <c r="K70" s="7"/>
      <c r="L70" s="7" t="s">
        <v>55</v>
      </c>
      <c r="M70" s="3" t="s">
        <v>192</v>
      </c>
      <c r="N70" s="3" t="s">
        <v>57</v>
      </c>
      <c r="O70" s="112"/>
      <c r="P70" s="112"/>
      <c r="Q70" s="112" t="s">
        <v>158</v>
      </c>
      <c r="R70" s="3" t="str">
        <f ca="1">IF(M70="Arrojado","IPCA+6%",IF(M70="Arrojado Renda Construção","IPCA+6%",IF(M70="Arrojado Renda Usufruto","IPCA+6%",IF(M70="Moderado","IPCA+5%",IF(M70="Moderado Renda Construção","IPCA+5%",IF(M70="Moderado Renda Usufruto","IPCA+5%",IF(M70="Conservador","IPCA+4%",IF(M70="Conservador Renda Construção","IPCA+4%",IF(M70="Conservador Renda Usufruto","IPCA+4%",IF(M70="Ultraconservador","IPCA+4%",""))))))))))</f>
        <v>IPCA+4%</v>
      </c>
      <c r="S70" s="3" t="s">
        <v>69</v>
      </c>
      <c r="T70" s="3" t="s">
        <v>59</v>
      </c>
      <c r="U70" s="3" t="s">
        <v>59</v>
      </c>
      <c r="V70" s="130" t="s">
        <v>321</v>
      </c>
      <c r="W70" s="3" t="s">
        <v>59</v>
      </c>
      <c r="X70" s="3" t="s">
        <v>59</v>
      </c>
      <c r="Y70" s="3" t="s">
        <v>203</v>
      </c>
      <c r="Z70" s="114" t="s">
        <v>297</v>
      </c>
      <c r="AA70" s="77">
        <v>0</v>
      </c>
      <c r="AB70" s="77">
        <v>0</v>
      </c>
      <c r="AC70" s="77">
        <v>0</v>
      </c>
      <c r="AD70" s="77">
        <v>0</v>
      </c>
      <c r="AE70" s="77">
        <v>0</v>
      </c>
      <c r="AF70" s="77">
        <v>0</v>
      </c>
      <c r="AG70" s="77">
        <v>0</v>
      </c>
      <c r="AH70" s="77">
        <v>0</v>
      </c>
      <c r="AI70" s="77">
        <v>0</v>
      </c>
      <c r="AJ70" s="77">
        <v>0</v>
      </c>
      <c r="AK70" s="77">
        <v>0</v>
      </c>
      <c r="AL70" s="77">
        <v>0</v>
      </c>
      <c r="AM70" s="77">
        <v>0</v>
      </c>
      <c r="AN70" s="77">
        <v>0</v>
      </c>
      <c r="AO70" s="77">
        <v>0</v>
      </c>
      <c r="AP70" s="77">
        <v>0</v>
      </c>
      <c r="AQ70" s="77">
        <v>0</v>
      </c>
      <c r="AR70" s="77">
        <v>0</v>
      </c>
      <c r="AS70" s="77">
        <v>0</v>
      </c>
      <c r="AT70" s="77">
        <v>0</v>
      </c>
      <c r="AU70" s="77">
        <v>0</v>
      </c>
      <c r="AV70" s="77">
        <v>0</v>
      </c>
    </row>
    <row r="71" spans="1:51">
      <c r="A71" s="1" t="s">
        <v>48</v>
      </c>
      <c r="B71" s="5" t="s">
        <v>294</v>
      </c>
      <c r="C71" s="5" t="s">
        <v>156</v>
      </c>
      <c r="D71" s="5" t="s">
        <v>294</v>
      </c>
      <c r="E71" s="3" t="s">
        <v>50</v>
      </c>
      <c r="F71" s="3" t="s">
        <v>123</v>
      </c>
      <c r="G71" s="5" t="s">
        <v>326</v>
      </c>
      <c r="H71" s="6">
        <v>3371553</v>
      </c>
      <c r="I71" s="2" t="s">
        <v>78</v>
      </c>
      <c r="J71" s="2" t="s">
        <v>54</v>
      </c>
      <c r="K71" s="7">
        <v>45812</v>
      </c>
      <c r="L71" s="7" t="s">
        <v>226</v>
      </c>
      <c r="M71" s="3" t="s">
        <v>192</v>
      </c>
      <c r="N71" s="3" t="s">
        <v>57</v>
      </c>
      <c r="O71" s="112">
        <v>46551</v>
      </c>
      <c r="P71" s="112">
        <v>46875</v>
      </c>
      <c r="Q71" s="112" t="s">
        <v>80</v>
      </c>
      <c r="R71" s="3" t="str">
        <f ca="1">IF(M71="Arrojado","IPCA+6%",IF(M71="Arrojado Renda Construção","IPCA+6%",IF(M71="Arrojado Renda Usufruto","IPCA+6%",IF(M71="Moderado","IPCA+5%",IF(M71="Moderado Renda Construção","IPCA+5%",IF(M71="Moderado Renda Usufruto","IPCA+5%",IF(M71="Conservador","IPCA+4%",IF(M71="Conservador Renda Construção","IPCA+4%",IF(M71="Conservador Renda Usufruto","IPCA+4%",IF(M71="Ultraconservador","IPCA+4%",""))))))))))</f>
        <v>IPCA+4%</v>
      </c>
      <c r="S71" s="3" t="s">
        <v>69</v>
      </c>
      <c r="T71" s="3" t="s">
        <v>59</v>
      </c>
      <c r="U71" s="3" t="s">
        <v>59</v>
      </c>
      <c r="V71" s="130" t="s">
        <v>321</v>
      </c>
      <c r="W71" s="3" t="s">
        <v>59</v>
      </c>
      <c r="X71" s="3" t="s">
        <v>59</v>
      </c>
      <c r="Y71" s="3" t="s">
        <v>203</v>
      </c>
      <c r="Z71" s="114" t="s">
        <v>297</v>
      </c>
      <c r="AA71" s="78">
        <v>1252379.1499999999</v>
      </c>
      <c r="AB71" s="78">
        <v>1365242.27</v>
      </c>
      <c r="AC71" s="78">
        <v>1524889.97</v>
      </c>
      <c r="AD71" s="78">
        <v>1804649.87</v>
      </c>
      <c r="AE71" s="78">
        <v>1842628.05</v>
      </c>
      <c r="AF71" s="78">
        <v>1962879.33</v>
      </c>
      <c r="AG71" s="78">
        <v>1907840.69</v>
      </c>
      <c r="AH71" s="78">
        <v>2180412.9</v>
      </c>
      <c r="AI71" s="78">
        <v>2283791.92</v>
      </c>
      <c r="AJ71" s="78">
        <v>2335865.21</v>
      </c>
      <c r="AK71" s="78">
        <v>2474273.92</v>
      </c>
      <c r="AL71" s="78">
        <v>2505769.54</v>
      </c>
      <c r="AM71" s="78">
        <v>4777319.74</v>
      </c>
      <c r="AN71" s="111">
        <v>6991573.0800000001</v>
      </c>
      <c r="AO71" s="78">
        <v>6843841.9800000004</v>
      </c>
      <c r="AP71" s="78">
        <v>6917503.8499999996</v>
      </c>
      <c r="AQ71" s="78">
        <v>6803520.8099999996</v>
      </c>
      <c r="AR71" s="79">
        <v>4995401.3600000003</v>
      </c>
      <c r="AS71" s="79">
        <v>5124169</v>
      </c>
      <c r="AT71" s="122">
        <v>5976380.9500000002</v>
      </c>
      <c r="AU71" s="122">
        <v>2651873.5499999998</v>
      </c>
      <c r="AV71" s="122">
        <v>2743250.12</v>
      </c>
    </row>
    <row r="72" spans="1:51">
      <c r="A72" s="1" t="s">
        <v>48</v>
      </c>
      <c r="B72" s="5" t="s">
        <v>294</v>
      </c>
      <c r="C72" s="5" t="s">
        <v>156</v>
      </c>
      <c r="D72" s="5" t="s">
        <v>294</v>
      </c>
      <c r="E72" s="3" t="s">
        <v>50</v>
      </c>
      <c r="F72" s="3" t="s">
        <v>123</v>
      </c>
      <c r="G72" s="5" t="s">
        <v>327</v>
      </c>
      <c r="H72" s="6">
        <v>4619413</v>
      </c>
      <c r="I72" s="2" t="s">
        <v>78</v>
      </c>
      <c r="J72" s="2" t="s">
        <v>54</v>
      </c>
      <c r="K72" s="7">
        <v>45862</v>
      </c>
      <c r="L72" s="7" t="s">
        <v>55</v>
      </c>
      <c r="M72" s="3" t="s">
        <v>192</v>
      </c>
      <c r="N72" s="3" t="s">
        <v>57</v>
      </c>
      <c r="O72" s="112">
        <v>46551</v>
      </c>
      <c r="P72" s="112">
        <v>46875</v>
      </c>
      <c r="Q72" s="112" t="s">
        <v>158</v>
      </c>
      <c r="R72" s="3" t="str">
        <f ca="1">IF(M72="Arrojado","IPCA+6%",IF(M72="Arrojado Renda Construção","IPCA+6%",IF(M72="Arrojado Renda Usufruto","IPCA+6%",IF(M72="Moderado","IPCA+5%",IF(M72="Moderado Renda Construção","IPCA+5%",IF(M72="Moderado Renda Usufruto","IPCA+5%",IF(M72="Conservador","IPCA+4%",IF(M72="Conservador Renda Construção","IPCA+4%",IF(M72="Conservador Renda Usufruto","IPCA+4%",IF(M72="Ultraconservador","IPCA+4%",""))))))))))</f>
        <v>IPCA+4%</v>
      </c>
      <c r="S72" s="3" t="s">
        <v>69</v>
      </c>
      <c r="T72" s="3" t="s">
        <v>59</v>
      </c>
      <c r="U72" s="3" t="s">
        <v>59</v>
      </c>
      <c r="V72" s="130" t="s">
        <v>321</v>
      </c>
      <c r="W72" s="3" t="s">
        <v>59</v>
      </c>
      <c r="X72" s="3" t="s">
        <v>59</v>
      </c>
      <c r="Y72" s="3" t="s">
        <v>203</v>
      </c>
      <c r="Z72" s="114" t="s">
        <v>297</v>
      </c>
      <c r="AA72" s="78">
        <v>0</v>
      </c>
      <c r="AB72" s="78">
        <v>0</v>
      </c>
      <c r="AC72" s="78">
        <v>0</v>
      </c>
      <c r="AD72" s="78">
        <v>0</v>
      </c>
      <c r="AE72" s="78">
        <v>0</v>
      </c>
      <c r="AF72" s="78">
        <v>0</v>
      </c>
      <c r="AG72" s="78">
        <v>0</v>
      </c>
      <c r="AH72" s="78">
        <v>0.23</v>
      </c>
      <c r="AI72" s="78">
        <v>0.23</v>
      </c>
      <c r="AJ72" s="78">
        <v>1306573.08</v>
      </c>
      <c r="AK72" s="78">
        <v>3031106.38</v>
      </c>
      <c r="AL72" s="78">
        <v>5062170.18</v>
      </c>
      <c r="AM72" s="78">
        <v>7126278.3300000001</v>
      </c>
      <c r="AN72" s="111">
        <v>4589702.42</v>
      </c>
      <c r="AO72" s="78">
        <v>4620244.96</v>
      </c>
      <c r="AP72" s="78">
        <v>3453306.82</v>
      </c>
      <c r="AQ72" s="78">
        <v>3185016.9794799299</v>
      </c>
      <c r="AR72" s="79">
        <v>5684634.71</v>
      </c>
      <c r="AS72" s="79">
        <v>5694165</v>
      </c>
      <c r="AT72" s="122">
        <v>5831076.4119999995</v>
      </c>
      <c r="AU72" s="122">
        <v>802210.69</v>
      </c>
      <c r="AV72" s="122">
        <v>799695.68</v>
      </c>
    </row>
    <row r="73" spans="1:51" ht="15">
      <c r="A73" s="1" t="s">
        <v>73</v>
      </c>
      <c r="B73" s="5" t="s">
        <v>328</v>
      </c>
      <c r="C73" s="5" t="s">
        <v>328</v>
      </c>
      <c r="D73" s="5" t="s">
        <v>329</v>
      </c>
      <c r="E73" s="3" t="s">
        <v>100</v>
      </c>
      <c r="F73" s="3" t="s">
        <v>51</v>
      </c>
      <c r="G73" s="116" t="s">
        <v>330</v>
      </c>
      <c r="H73" s="6">
        <v>5949720</v>
      </c>
      <c r="I73" s="2" t="s">
        <v>86</v>
      </c>
      <c r="J73" s="2" t="s">
        <v>54</v>
      </c>
      <c r="K73" s="7"/>
      <c r="L73" s="7" t="s">
        <v>55</v>
      </c>
      <c r="M73" s="3" t="s">
        <v>112</v>
      </c>
      <c r="N73" s="3" t="s">
        <v>57</v>
      </c>
      <c r="O73" s="136">
        <v>46157</v>
      </c>
      <c r="P73" s="112">
        <v>47418</v>
      </c>
      <c r="Q73" s="112" t="s">
        <v>80</v>
      </c>
      <c r="R73" s="3" t="str">
        <f ca="1">IF(M73="Arrojado","IPCA+6%",IF(M73="Arrojado Renda Construção","IPCA+6%",IF(M73="Arrojado Renda Usufruto","IPCA+6%",IF(M73="Moderado","IPCA+5%",IF(M73="Moderado Renda Construção","IPCA+5%",IF(M73="Moderado Renda Usufruto","IPCA+5%",IF(M73="Conservador","IPCA+4%",IF(M73="Conservador Renda Construção","IPCA+4%",IF(M73="Conservador Renda Usufruto","IPCA+4%",IF(M73="Ultraconservador","IPCA+4%",""))))))))))</f>
        <v>IPCA+4%</v>
      </c>
      <c r="S73" s="3" t="s">
        <v>59</v>
      </c>
      <c r="T73" s="3"/>
      <c r="U73" s="3"/>
      <c r="V73" s="130"/>
      <c r="W73" s="3"/>
      <c r="X73" s="3"/>
      <c r="Y73" s="3"/>
      <c r="Z73" s="114" t="s">
        <v>331</v>
      </c>
      <c r="AA73" s="78">
        <v>0</v>
      </c>
      <c r="AB73" s="78">
        <v>0</v>
      </c>
      <c r="AC73" s="78">
        <v>0</v>
      </c>
      <c r="AD73" s="78">
        <v>0</v>
      </c>
      <c r="AE73" s="78">
        <v>0</v>
      </c>
      <c r="AF73" s="78">
        <v>0</v>
      </c>
      <c r="AG73" s="78">
        <v>0</v>
      </c>
      <c r="AH73" s="78">
        <v>0</v>
      </c>
      <c r="AI73" s="78">
        <v>0</v>
      </c>
      <c r="AJ73" s="78">
        <v>0</v>
      </c>
      <c r="AK73" s="78">
        <v>0</v>
      </c>
      <c r="AL73" s="78">
        <v>0</v>
      </c>
      <c r="AM73" s="78">
        <v>0</v>
      </c>
      <c r="AN73" s="111" t="s">
        <v>104</v>
      </c>
      <c r="AO73" s="78">
        <v>0</v>
      </c>
      <c r="AP73" s="78">
        <v>0</v>
      </c>
      <c r="AQ73" s="78" t="s">
        <v>154</v>
      </c>
      <c r="AR73" s="111">
        <v>0</v>
      </c>
      <c r="AS73" s="111">
        <v>0</v>
      </c>
      <c r="AT73" s="122">
        <v>0</v>
      </c>
      <c r="AU73" s="122">
        <v>0</v>
      </c>
      <c r="AV73" s="122">
        <v>0</v>
      </c>
      <c r="AW73" s="152"/>
      <c r="AX73" s="152"/>
      <c r="AY73" s="152"/>
    </row>
    <row r="74" spans="1:51">
      <c r="A74" s="1" t="s">
        <v>48</v>
      </c>
      <c r="B74" s="5" t="s">
        <v>328</v>
      </c>
      <c r="C74" s="5" t="s">
        <v>328</v>
      </c>
      <c r="D74" s="5" t="s">
        <v>329</v>
      </c>
      <c r="E74" s="3" t="s">
        <v>100</v>
      </c>
      <c r="F74" s="3" t="s">
        <v>51</v>
      </c>
      <c r="G74" s="5" t="s">
        <v>332</v>
      </c>
      <c r="H74" s="6" t="s">
        <v>333</v>
      </c>
      <c r="I74" s="2" t="s">
        <v>86</v>
      </c>
      <c r="J74" s="2" t="s">
        <v>54</v>
      </c>
      <c r="K74" s="7">
        <v>45555</v>
      </c>
      <c r="L74" s="7" t="s">
        <v>55</v>
      </c>
      <c r="M74" s="3" t="s">
        <v>112</v>
      </c>
      <c r="N74" s="3"/>
      <c r="O74" s="112">
        <v>45729</v>
      </c>
      <c r="P74" s="112">
        <v>46424</v>
      </c>
      <c r="Q74" s="112" t="s">
        <v>80</v>
      </c>
      <c r="R74" s="3" t="str">
        <f ca="1">IF(M74="Arrojado","IPCA+6%",IF(M74="Arrojado Renda Construção","IPCA+6%",IF(M74="Arrojado Renda Usufruto","IPCA+6%",IF(M74="Moderado","IPCA+5%",IF(M74="Moderado Renda Construção","IPCA+5%",IF(M74="Moderado Renda Usufruto","IPCA+5%",IF(M74="Conservador","IPCA+4%",IF(M74="Conservador Renda Construção","IPCA+4%",IF(M74="Conservador Renda Usufruto","IPCA+4%",IF(M74="Ultraconservador","IPCA+4%",""))))))))))</f>
        <v>IPCA+4%</v>
      </c>
      <c r="S74" s="3" t="s">
        <v>59</v>
      </c>
      <c r="T74" s="3"/>
      <c r="U74" s="3"/>
      <c r="V74" s="130"/>
      <c r="W74" s="3"/>
      <c r="X74" s="3"/>
      <c r="Y74" s="3"/>
      <c r="Z74" s="114" t="s">
        <v>334</v>
      </c>
      <c r="AA74" s="78">
        <v>0</v>
      </c>
      <c r="AB74" s="78">
        <v>0</v>
      </c>
      <c r="AC74" s="78">
        <v>0</v>
      </c>
      <c r="AD74" s="78">
        <v>541.75</v>
      </c>
      <c r="AE74" s="78">
        <v>0</v>
      </c>
      <c r="AF74" s="78">
        <v>0</v>
      </c>
      <c r="AG74" s="78">
        <v>0</v>
      </c>
      <c r="AH74" s="78">
        <v>0</v>
      </c>
      <c r="AI74" s="78">
        <v>0</v>
      </c>
      <c r="AJ74" s="78">
        <v>0</v>
      </c>
      <c r="AK74" s="78">
        <v>0</v>
      </c>
      <c r="AL74" s="78">
        <v>0</v>
      </c>
      <c r="AM74" s="78">
        <v>0</v>
      </c>
      <c r="AN74" s="111" t="s">
        <v>104</v>
      </c>
      <c r="AO74" s="78">
        <v>0</v>
      </c>
      <c r="AP74" s="78">
        <v>0</v>
      </c>
      <c r="AQ74" s="78">
        <v>0</v>
      </c>
      <c r="AR74" s="79">
        <v>0</v>
      </c>
      <c r="AS74" s="79">
        <v>0</v>
      </c>
      <c r="AT74" s="122">
        <v>0</v>
      </c>
      <c r="AU74" s="122" t="s">
        <v>105</v>
      </c>
      <c r="AV74" s="122">
        <v>0</v>
      </c>
    </row>
    <row r="75" spans="1:51">
      <c r="A75" s="1" t="s">
        <v>284</v>
      </c>
      <c r="B75" s="5" t="s">
        <v>335</v>
      </c>
      <c r="C75" s="5" t="s">
        <v>286</v>
      </c>
      <c r="D75" s="5" t="s">
        <v>335</v>
      </c>
      <c r="E75" s="3" t="s">
        <v>50</v>
      </c>
      <c r="F75" s="3" t="s">
        <v>51</v>
      </c>
      <c r="G75" s="5" t="s">
        <v>336</v>
      </c>
      <c r="H75" s="6" t="s">
        <v>337</v>
      </c>
      <c r="I75" s="2" t="s">
        <v>117</v>
      </c>
      <c r="J75" s="2" t="s">
        <v>54</v>
      </c>
      <c r="K75" s="7"/>
      <c r="L75" s="7" t="s">
        <v>55</v>
      </c>
      <c r="M75" s="3" t="s">
        <v>146</v>
      </c>
      <c r="N75" s="3" t="s">
        <v>57</v>
      </c>
      <c r="O75" s="112"/>
      <c r="P75" s="112"/>
      <c r="Q75" s="112" t="s">
        <v>118</v>
      </c>
      <c r="R75" s="3"/>
      <c r="S75" s="3"/>
      <c r="T75" s="3"/>
      <c r="U75" s="3"/>
      <c r="V75" s="130"/>
      <c r="W75" s="3"/>
      <c r="X75" s="3"/>
      <c r="Y75" s="3"/>
      <c r="Z75" s="114" t="s">
        <v>338</v>
      </c>
      <c r="AA75" s="79">
        <v>0</v>
      </c>
      <c r="AB75" s="79">
        <v>0</v>
      </c>
      <c r="AC75" s="79">
        <v>0</v>
      </c>
      <c r="AD75" s="79">
        <v>0</v>
      </c>
      <c r="AE75" s="79">
        <v>0</v>
      </c>
      <c r="AF75" s="79">
        <v>0</v>
      </c>
      <c r="AG75" s="79">
        <v>0</v>
      </c>
      <c r="AH75" s="79">
        <v>0</v>
      </c>
      <c r="AI75" s="79">
        <v>0</v>
      </c>
      <c r="AJ75" s="79">
        <v>0</v>
      </c>
      <c r="AK75" s="79">
        <v>0</v>
      </c>
      <c r="AL75" s="79">
        <v>0</v>
      </c>
      <c r="AM75" s="79">
        <v>0</v>
      </c>
      <c r="AN75" s="79">
        <v>0</v>
      </c>
      <c r="AO75" s="79">
        <v>0</v>
      </c>
      <c r="AP75" s="79">
        <v>0</v>
      </c>
      <c r="AQ75" s="79">
        <v>0</v>
      </c>
      <c r="AR75" s="79">
        <v>0</v>
      </c>
      <c r="AS75" s="79">
        <v>0</v>
      </c>
      <c r="AT75" s="79">
        <v>0</v>
      </c>
      <c r="AU75" s="79">
        <v>0</v>
      </c>
      <c r="AV75" s="79">
        <v>38606</v>
      </c>
    </row>
    <row r="76" spans="1:51" ht="15">
      <c r="A76" s="1" t="s">
        <v>73</v>
      </c>
      <c r="B76" s="5" t="s">
        <v>339</v>
      </c>
      <c r="C76" s="5" t="s">
        <v>240</v>
      </c>
      <c r="D76" s="5" t="s">
        <v>339</v>
      </c>
      <c r="E76" s="3" t="s">
        <v>50</v>
      </c>
      <c r="F76" s="3" t="s">
        <v>51</v>
      </c>
      <c r="G76" s="5" t="s">
        <v>340</v>
      </c>
      <c r="H76" s="6">
        <v>4252546</v>
      </c>
      <c r="I76" s="2" t="s">
        <v>78</v>
      </c>
      <c r="J76" s="2" t="s">
        <v>54</v>
      </c>
      <c r="K76" s="7"/>
      <c r="L76" s="7" t="s">
        <v>226</v>
      </c>
      <c r="M76" s="3" t="s">
        <v>146</v>
      </c>
      <c r="N76" s="3" t="s">
        <v>57</v>
      </c>
      <c r="O76" s="112">
        <v>46365</v>
      </c>
      <c r="P76" s="112">
        <v>46879</v>
      </c>
      <c r="Q76" s="112" t="s">
        <v>118</v>
      </c>
      <c r="R76" s="3" t="str">
        <f ca="1">IF(M76="Arrojado","IPCA+6%",IF(M76="Arrojado Renda Construção","IPCA+6%",IF(M76="Arrojado Renda Usufruto","IPCA+6%",IF(M76="Moderado","IPCA+5%",IF(M76="Moderado Renda Construção","IPCA+5%",IF(M76="Moderado Renda Usufruto","IPCA+5%",IF(M76="Conservador","IPCA+4%",IF(M76="Conservador Renda Construção","IPCA+4%",IF(M76="Conservador Renda Usufruto","IPCA+4%",IF(M76="Ultraconservador","IPCA+4%",""))))))))))</f>
        <v>IPCA+5%</v>
      </c>
      <c r="S76" s="3" t="s">
        <v>69</v>
      </c>
      <c r="T76" s="3" t="s">
        <v>59</v>
      </c>
      <c r="U76" s="3" t="s">
        <v>59</v>
      </c>
      <c r="V76" s="130" t="s">
        <v>341</v>
      </c>
      <c r="W76" s="3" t="s">
        <v>59</v>
      </c>
      <c r="X76" s="3" t="s">
        <v>69</v>
      </c>
      <c r="Y76" s="3" t="s">
        <v>203</v>
      </c>
      <c r="Z76" s="114" t="s">
        <v>342</v>
      </c>
      <c r="AA76" s="78">
        <v>2239392.6800000002</v>
      </c>
      <c r="AB76" s="78">
        <v>2541494.65</v>
      </c>
      <c r="AC76" s="78">
        <v>2592711.9700000002</v>
      </c>
      <c r="AD76" s="78">
        <v>2650890.7400000002</v>
      </c>
      <c r="AE76" s="78">
        <v>2164253.66</v>
      </c>
      <c r="AF76" s="78">
        <v>2176611.29</v>
      </c>
      <c r="AG76" s="78">
        <v>2152075.52</v>
      </c>
      <c r="AH76" s="78">
        <v>2223808.67</v>
      </c>
      <c r="AI76" s="78">
        <v>2224827.36</v>
      </c>
      <c r="AJ76" s="78">
        <v>2280508.1800000002</v>
      </c>
      <c r="AK76" s="78">
        <v>2262536.15</v>
      </c>
      <c r="AL76" s="78">
        <v>2337905.86</v>
      </c>
      <c r="AM76" s="78">
        <v>2348938.7600000002</v>
      </c>
      <c r="AN76" s="111">
        <v>2523835.8199999998</v>
      </c>
      <c r="AO76" s="78">
        <v>2519858.5</v>
      </c>
      <c r="AP76" s="78">
        <v>2543913.1399999997</v>
      </c>
      <c r="AQ76" s="78">
        <v>2549244.5100000002</v>
      </c>
      <c r="AR76" s="78">
        <v>2560785.5500000003</v>
      </c>
      <c r="AS76" s="78">
        <v>2564888.2000000002</v>
      </c>
      <c r="AT76" s="122">
        <v>2514964.2400000002</v>
      </c>
      <c r="AU76" s="122">
        <v>2593693.61</v>
      </c>
      <c r="AV76" s="122">
        <v>2634296.62</v>
      </c>
      <c r="AW76" s="152"/>
      <c r="AX76" s="152"/>
      <c r="AY76" s="152"/>
    </row>
    <row r="77" spans="1:51" ht="15">
      <c r="A77" s="1" t="s">
        <v>48</v>
      </c>
      <c r="B77" s="5" t="s">
        <v>339</v>
      </c>
      <c r="C77" s="5" t="s">
        <v>240</v>
      </c>
      <c r="D77" s="5" t="s">
        <v>339</v>
      </c>
      <c r="E77" s="3" t="s">
        <v>50</v>
      </c>
      <c r="F77" s="3" t="s">
        <v>51</v>
      </c>
      <c r="G77" s="5" t="s">
        <v>343</v>
      </c>
      <c r="H77" s="6">
        <v>3101560</v>
      </c>
      <c r="I77" s="2" t="s">
        <v>78</v>
      </c>
      <c r="J77" s="2" t="s">
        <v>54</v>
      </c>
      <c r="K77" s="7">
        <v>45636</v>
      </c>
      <c r="L77" s="7" t="s">
        <v>55</v>
      </c>
      <c r="M77" s="3" t="s">
        <v>146</v>
      </c>
      <c r="N77" s="3" t="s">
        <v>67</v>
      </c>
      <c r="O77" s="112">
        <v>46468</v>
      </c>
      <c r="P77" s="112">
        <v>46444</v>
      </c>
      <c r="Q77" s="112" t="s">
        <v>118</v>
      </c>
      <c r="R77" s="3" t="str">
        <f ca="1">IF(M77="Arrojado","IPCA+6%",IF(M77="Arrojado Renda Construção","IPCA+6%",IF(M77="Arrojado Renda Usufruto","IPCA+6%",IF(M77="Moderado","IPCA+5%",IF(M77="Moderado Renda Construção","IPCA+5%",IF(M77="Moderado Renda Usufruto","IPCA+5%",IF(M77="Conservador","IPCA+4%",IF(M77="Conservador Renda Construção","IPCA+4%",IF(M77="Conservador Renda Usufruto","IPCA+4%",IF(M77="Ultraconservador","IPCA+4%",""))))))))))</f>
        <v>IPCA+5%</v>
      </c>
      <c r="S77" s="3" t="s">
        <v>69</v>
      </c>
      <c r="T77" s="3" t="s">
        <v>59</v>
      </c>
      <c r="U77" s="3" t="s">
        <v>59</v>
      </c>
      <c r="V77" s="130" t="s">
        <v>344</v>
      </c>
      <c r="W77" s="3" t="s">
        <v>59</v>
      </c>
      <c r="X77" s="3" t="s">
        <v>69</v>
      </c>
      <c r="Y77" s="3" t="s">
        <v>203</v>
      </c>
      <c r="Z77" s="114" t="s">
        <v>345</v>
      </c>
      <c r="AA77" s="78">
        <v>394414.07</v>
      </c>
      <c r="AB77" s="78">
        <v>426505.04</v>
      </c>
      <c r="AC77" s="78">
        <v>419183.49</v>
      </c>
      <c r="AD77" s="78">
        <v>419188</v>
      </c>
      <c r="AE77" s="78">
        <v>428438.44</v>
      </c>
      <c r="AF77" s="78">
        <v>423238.12</v>
      </c>
      <c r="AG77" s="78">
        <v>428478.12</v>
      </c>
      <c r="AH77" s="78">
        <v>434764.59</v>
      </c>
      <c r="AI77" s="78">
        <v>444304.44</v>
      </c>
      <c r="AJ77" s="78">
        <v>445294.08000000002</v>
      </c>
      <c r="AK77" s="78">
        <v>438345.3</v>
      </c>
      <c r="AL77" s="78">
        <v>447317.77</v>
      </c>
      <c r="AM77" s="78">
        <v>449734.89</v>
      </c>
      <c r="AN77" s="111">
        <v>444257.61</v>
      </c>
      <c r="AO77" s="78">
        <v>472437.06</v>
      </c>
      <c r="AP77" s="78">
        <v>501168.68</v>
      </c>
      <c r="AQ77" s="78">
        <v>523152.15467895998</v>
      </c>
      <c r="AR77" s="79">
        <v>516136.61</v>
      </c>
      <c r="AS77" s="79">
        <v>546068.80000000005</v>
      </c>
      <c r="AT77" s="122">
        <v>556221.33160000003</v>
      </c>
      <c r="AU77" s="122">
        <v>554775.18000000005</v>
      </c>
      <c r="AV77" s="122">
        <v>558599.29799999995</v>
      </c>
      <c r="AW77" s="152"/>
      <c r="AX77" s="152"/>
      <c r="AY77" s="152"/>
    </row>
    <row r="78" spans="1:51">
      <c r="A78" s="1" t="s">
        <v>106</v>
      </c>
      <c r="B78" s="5" t="s">
        <v>346</v>
      </c>
      <c r="C78" s="5" t="s">
        <v>346</v>
      </c>
      <c r="D78" s="5" t="s">
        <v>347</v>
      </c>
      <c r="E78" s="3" t="s">
        <v>50</v>
      </c>
      <c r="F78" s="3" t="s">
        <v>51</v>
      </c>
      <c r="G78" s="5" t="s">
        <v>348</v>
      </c>
      <c r="H78" s="6">
        <v>22391056</v>
      </c>
      <c r="I78" s="2" t="s">
        <v>117</v>
      </c>
      <c r="J78" s="2" t="s">
        <v>54</v>
      </c>
      <c r="K78" s="7"/>
      <c r="L78" s="7" t="s">
        <v>55</v>
      </c>
      <c r="M78" s="3" t="s">
        <v>192</v>
      </c>
      <c r="N78" s="3" t="s">
        <v>67</v>
      </c>
      <c r="O78" s="112"/>
      <c r="P78" s="112"/>
      <c r="Q78" s="112" t="s">
        <v>136</v>
      </c>
      <c r="R78" s="3" t="str">
        <f ca="1">IF(M78="Arrojado","IPCA+6%",IF(M78="Arrojado Renda Construção","IPCA+6%",IF(M78="Arrojado Renda Usufruto","IPCA+6%",IF(M78="Moderado","IPCA+5%",IF(M78="Moderado Renda Construção","IPCA+5%",IF(M78="Moderado Renda Usufruto","IPCA+5%",IF(M78="Conservador","IPCA+4%",IF(M78="Conservador Renda Construção","IPCA+4%",IF(M78="Conservador Renda Usufruto","IPCA+4%",IF(M78="Ultraconservador","IPCA+4%",""))))))))))</f>
        <v>IPCA+4%</v>
      </c>
      <c r="S78" s="3" t="s">
        <v>69</v>
      </c>
      <c r="T78" s="3" t="s">
        <v>69</v>
      </c>
      <c r="U78" s="3" t="s">
        <v>69</v>
      </c>
      <c r="V78" s="130" t="s">
        <v>349</v>
      </c>
      <c r="W78" s="3" t="s">
        <v>59</v>
      </c>
      <c r="X78" s="3" t="s">
        <v>59</v>
      </c>
      <c r="Y78" s="3" t="s">
        <v>138</v>
      </c>
      <c r="Z78" s="114" t="s">
        <v>350</v>
      </c>
      <c r="AA78" s="77">
        <v>0</v>
      </c>
      <c r="AB78" s="77">
        <v>0</v>
      </c>
      <c r="AC78" s="77">
        <v>0</v>
      </c>
      <c r="AD78" s="77">
        <v>0</v>
      </c>
      <c r="AE78" s="77">
        <v>0</v>
      </c>
      <c r="AF78" s="77">
        <v>199.72</v>
      </c>
      <c r="AG78" s="77">
        <v>0.84</v>
      </c>
      <c r="AH78" s="77">
        <v>0.84</v>
      </c>
      <c r="AI78" s="77">
        <v>0.84</v>
      </c>
      <c r="AJ78" s="77">
        <v>0.84</v>
      </c>
      <c r="AK78" s="77">
        <v>0.84</v>
      </c>
      <c r="AL78" s="77">
        <v>0.84</v>
      </c>
      <c r="AM78" s="77">
        <v>0.84</v>
      </c>
      <c r="AN78" s="77">
        <v>0.84</v>
      </c>
      <c r="AO78" s="77">
        <v>0.84</v>
      </c>
      <c r="AP78" s="77">
        <v>0.84</v>
      </c>
      <c r="AQ78" s="80">
        <v>0.84</v>
      </c>
      <c r="AR78" s="80">
        <v>0.84</v>
      </c>
      <c r="AS78" s="80">
        <v>0.84</v>
      </c>
      <c r="AT78" s="132">
        <v>0.84</v>
      </c>
      <c r="AU78" s="132">
        <v>0.84</v>
      </c>
      <c r="AV78" s="132">
        <v>0.84</v>
      </c>
    </row>
    <row r="79" spans="1:51" ht="15">
      <c r="A79" s="1" t="s">
        <v>106</v>
      </c>
      <c r="B79" s="5" t="s">
        <v>346</v>
      </c>
      <c r="C79" s="5" t="s">
        <v>346</v>
      </c>
      <c r="D79" s="5" t="s">
        <v>351</v>
      </c>
      <c r="E79" s="3" t="s">
        <v>100</v>
      </c>
      <c r="F79" s="3" t="s">
        <v>51</v>
      </c>
      <c r="G79" s="5" t="s">
        <v>348</v>
      </c>
      <c r="H79" s="6">
        <v>65431389</v>
      </c>
      <c r="I79" s="2" t="s">
        <v>117</v>
      </c>
      <c r="J79" s="2" t="s">
        <v>54</v>
      </c>
      <c r="K79" s="7"/>
      <c r="L79" s="7" t="s">
        <v>55</v>
      </c>
      <c r="M79" s="3" t="s">
        <v>192</v>
      </c>
      <c r="N79" s="3" t="s">
        <v>67</v>
      </c>
      <c r="O79" s="112"/>
      <c r="P79" s="112"/>
      <c r="Q79" s="112" t="s">
        <v>136</v>
      </c>
      <c r="R79" s="3" t="str">
        <f ca="1">IF(M79="Arrojado","IPCA+6%",IF(M79="Arrojado Renda Construção","IPCA+6%",IF(M79="Arrojado Renda Usufruto","IPCA+6%",IF(M79="Moderado","IPCA+5%",IF(M79="Moderado Renda Construção","IPCA+5%",IF(M79="Moderado Renda Usufruto","IPCA+5%",IF(M79="Conservador","IPCA+4%",IF(M79="Conservador Renda Construção","IPCA+4%",IF(M79="Conservador Renda Usufruto","IPCA+4%",IF(M79="Ultraconservador","IPCA+4%",""))))))))))</f>
        <v>IPCA+4%</v>
      </c>
      <c r="S79" s="3" t="s">
        <v>69</v>
      </c>
      <c r="T79" s="3" t="s">
        <v>69</v>
      </c>
      <c r="U79" s="3" t="s">
        <v>69</v>
      </c>
      <c r="V79" s="130" t="s">
        <v>349</v>
      </c>
      <c r="W79" s="3" t="s">
        <v>59</v>
      </c>
      <c r="X79" s="3" t="s">
        <v>59</v>
      </c>
      <c r="Y79" s="3" t="s">
        <v>138</v>
      </c>
      <c r="Z79" s="114" t="s">
        <v>350</v>
      </c>
      <c r="AA79" s="77">
        <v>0</v>
      </c>
      <c r="AB79" s="77">
        <v>0</v>
      </c>
      <c r="AC79" s="77">
        <v>0</v>
      </c>
      <c r="AD79" s="77">
        <v>0</v>
      </c>
      <c r="AE79" s="77">
        <v>0</v>
      </c>
      <c r="AF79" s="77">
        <v>0</v>
      </c>
      <c r="AG79" s="77">
        <v>128044.75</v>
      </c>
      <c r="AH79" s="77">
        <v>128688.7</v>
      </c>
      <c r="AI79" s="77">
        <v>126611.81</v>
      </c>
      <c r="AJ79" s="77">
        <v>126987.79</v>
      </c>
      <c r="AK79" s="77">
        <v>124093.7</v>
      </c>
      <c r="AL79" s="77">
        <v>124475.96</v>
      </c>
      <c r="AM79" s="77">
        <v>124761.51</v>
      </c>
      <c r="AN79" s="77">
        <v>125027.49</v>
      </c>
      <c r="AO79" s="77">
        <v>120193.67</v>
      </c>
      <c r="AP79" s="77">
        <v>120443.58</v>
      </c>
      <c r="AQ79" s="80">
        <v>119600.89</v>
      </c>
      <c r="AR79" s="80">
        <v>119493.43</v>
      </c>
      <c r="AS79" s="80">
        <v>120646.84</v>
      </c>
      <c r="AT79" s="132">
        <v>118452.45</v>
      </c>
      <c r="AU79" s="132">
        <v>118787.24</v>
      </c>
      <c r="AV79" s="132">
        <v>118026.37</v>
      </c>
      <c r="AW79" s="152"/>
      <c r="AX79" s="152"/>
      <c r="AY79" s="152"/>
    </row>
    <row r="80" spans="1:51" ht="15">
      <c r="A80" s="1" t="s">
        <v>106</v>
      </c>
      <c r="B80" s="5" t="s">
        <v>346</v>
      </c>
      <c r="C80" s="5" t="s">
        <v>346</v>
      </c>
      <c r="D80" s="5" t="s">
        <v>352</v>
      </c>
      <c r="E80" s="3" t="s">
        <v>50</v>
      </c>
      <c r="F80" s="3" t="s">
        <v>51</v>
      </c>
      <c r="G80" s="81" t="s">
        <v>348</v>
      </c>
      <c r="H80" s="6">
        <v>98061659</v>
      </c>
      <c r="I80" s="2" t="s">
        <v>117</v>
      </c>
      <c r="J80" s="2" t="s">
        <v>54</v>
      </c>
      <c r="K80" s="7"/>
      <c r="L80" s="7" t="s">
        <v>55</v>
      </c>
      <c r="M80" s="3" t="s">
        <v>192</v>
      </c>
      <c r="N80" s="3" t="s">
        <v>67</v>
      </c>
      <c r="O80" s="112"/>
      <c r="P80" s="112"/>
      <c r="Q80" s="112" t="s">
        <v>136</v>
      </c>
      <c r="R80" s="3" t="str">
        <f ca="1">IF(M80="Arrojado","IPCA+6%",IF(M80="Arrojado Renda Construção","IPCA+6%",IF(M80="Arrojado Renda Usufruto","IPCA+6%",IF(M80="Moderado","IPCA+5%",IF(M80="Moderado Renda Construção","IPCA+5%",IF(M80="Moderado Renda Usufruto","IPCA+5%",IF(M80="Conservador","IPCA+4%",IF(M80="Conservador Renda Construção","IPCA+4%",IF(M80="Conservador Renda Usufruto","IPCA+4%",IF(M80="Ultraconservador","IPCA+4%",""))))))))))</f>
        <v>IPCA+4%</v>
      </c>
      <c r="S80" s="3" t="s">
        <v>69</v>
      </c>
      <c r="T80" s="3" t="s">
        <v>69</v>
      </c>
      <c r="U80" s="3" t="s">
        <v>69</v>
      </c>
      <c r="V80" s="130" t="s">
        <v>349</v>
      </c>
      <c r="W80" s="3" t="s">
        <v>59</v>
      </c>
      <c r="X80" s="3" t="s">
        <v>59</v>
      </c>
      <c r="Y80" s="3" t="s">
        <v>138</v>
      </c>
      <c r="Z80" s="114" t="s">
        <v>350</v>
      </c>
      <c r="AA80" s="77"/>
      <c r="AB80" s="77"/>
      <c r="AC80" s="77"/>
      <c r="AD80" s="77"/>
      <c r="AE80" s="77"/>
      <c r="AF80" s="77"/>
      <c r="AG80" s="77"/>
      <c r="AH80" s="77"/>
      <c r="AI80" s="77"/>
      <c r="AJ80" s="77"/>
      <c r="AK80" s="77"/>
      <c r="AL80" s="77"/>
      <c r="AM80" s="77"/>
      <c r="AN80" s="77"/>
      <c r="AO80" s="77"/>
      <c r="AP80" s="77"/>
      <c r="AQ80" s="80">
        <v>0</v>
      </c>
      <c r="AR80" s="80">
        <v>0</v>
      </c>
      <c r="AS80" s="80">
        <v>0</v>
      </c>
      <c r="AT80" s="132">
        <v>0</v>
      </c>
      <c r="AU80" s="132">
        <v>0</v>
      </c>
      <c r="AV80" s="132">
        <v>0</v>
      </c>
      <c r="AW80" s="152"/>
      <c r="AX80" s="152"/>
      <c r="AY80" s="152"/>
    </row>
    <row r="81" spans="1:51">
      <c r="A81" s="1" t="s">
        <v>48</v>
      </c>
      <c r="B81" s="5" t="s">
        <v>346</v>
      </c>
      <c r="C81" s="5" t="s">
        <v>346</v>
      </c>
      <c r="D81" s="5" t="s">
        <v>346</v>
      </c>
      <c r="E81" s="3" t="s">
        <v>50</v>
      </c>
      <c r="F81" s="3" t="s">
        <v>51</v>
      </c>
      <c r="G81" s="5" t="s">
        <v>353</v>
      </c>
      <c r="H81" s="6">
        <v>18129345</v>
      </c>
      <c r="I81" s="2" t="s">
        <v>117</v>
      </c>
      <c r="J81" s="2" t="s">
        <v>54</v>
      </c>
      <c r="K81" s="7">
        <v>45799</v>
      </c>
      <c r="L81" s="7" t="s">
        <v>55</v>
      </c>
      <c r="M81" s="3" t="s">
        <v>192</v>
      </c>
      <c r="N81" s="3" t="s">
        <v>67</v>
      </c>
      <c r="O81" s="112">
        <v>46535</v>
      </c>
      <c r="P81" s="112">
        <v>46521</v>
      </c>
      <c r="Q81" s="112" t="s">
        <v>136</v>
      </c>
      <c r="R81" s="3" t="str">
        <f ca="1">IF(M81="Arrojado","IPCA+6%",IF(M81="Arrojado Renda Construção","IPCA+6%",IF(M81="Arrojado Renda Usufruto","IPCA+6%",IF(M81="Moderado","IPCA+5%",IF(M81="Moderado Renda Construção","IPCA+5%",IF(M81="Moderado Renda Usufruto","IPCA+5%",IF(M81="Conservador","IPCA+4%",IF(M81="Conservador Renda Construção","IPCA+4%",IF(M81="Conservador Renda Usufruto","IPCA+4%",IF(M81="Ultraconservador","IPCA+4%",""))))))))))</f>
        <v>IPCA+4%</v>
      </c>
      <c r="S81" s="3" t="s">
        <v>69</v>
      </c>
      <c r="T81" s="3" t="s">
        <v>69</v>
      </c>
      <c r="U81" s="3" t="s">
        <v>69</v>
      </c>
      <c r="V81" s="130" t="s">
        <v>349</v>
      </c>
      <c r="W81" s="3" t="s">
        <v>59</v>
      </c>
      <c r="X81" s="3" t="s">
        <v>59</v>
      </c>
      <c r="Y81" s="3" t="s">
        <v>138</v>
      </c>
      <c r="Z81" s="114" t="s">
        <v>354</v>
      </c>
      <c r="AA81" s="78">
        <v>0</v>
      </c>
      <c r="AB81" s="78">
        <v>0</v>
      </c>
      <c r="AC81" s="78">
        <v>0</v>
      </c>
      <c r="AD81" s="78">
        <v>0</v>
      </c>
      <c r="AE81" s="78">
        <v>3954149.39</v>
      </c>
      <c r="AF81" s="78">
        <v>7202483.2300000004</v>
      </c>
      <c r="AG81" s="78">
        <v>7175432.0300000003</v>
      </c>
      <c r="AH81" s="78">
        <v>7179234.5099999998</v>
      </c>
      <c r="AI81" s="78">
        <v>7206792.2800000003</v>
      </c>
      <c r="AJ81" s="78">
        <v>7217513.9299999997</v>
      </c>
      <c r="AK81" s="78">
        <v>7174705.5899999999</v>
      </c>
      <c r="AL81" s="78">
        <v>5462219.6699999999</v>
      </c>
      <c r="AM81" s="78">
        <v>5442961.4699999997</v>
      </c>
      <c r="AN81" s="111">
        <v>5434206.2800000003</v>
      </c>
      <c r="AO81" s="78">
        <v>5874744.0499999998</v>
      </c>
      <c r="AP81" s="78">
        <v>5961124.9500000002</v>
      </c>
      <c r="AQ81" s="78">
        <v>5586603.8700000001</v>
      </c>
      <c r="AR81" s="79">
        <v>5588492.9800000004</v>
      </c>
      <c r="AS81" s="79">
        <v>5705739</v>
      </c>
      <c r="AT81" s="122">
        <v>5715362.1500000004</v>
      </c>
      <c r="AU81" s="122">
        <v>5736701.2199999997</v>
      </c>
      <c r="AV81" s="122">
        <v>5802199</v>
      </c>
    </row>
    <row r="82" spans="1:51" ht="15">
      <c r="A82" s="1" t="s">
        <v>355</v>
      </c>
      <c r="B82" s="5" t="s">
        <v>346</v>
      </c>
      <c r="C82" s="5" t="s">
        <v>346</v>
      </c>
      <c r="D82" s="5" t="s">
        <v>356</v>
      </c>
      <c r="E82" s="3" t="s">
        <v>100</v>
      </c>
      <c r="F82" s="3" t="s">
        <v>51</v>
      </c>
      <c r="G82" s="5" t="s">
        <v>357</v>
      </c>
      <c r="H82" s="6" t="s">
        <v>358</v>
      </c>
      <c r="I82" s="2" t="s">
        <v>117</v>
      </c>
      <c r="J82" s="2" t="s">
        <v>54</v>
      </c>
      <c r="K82" s="7"/>
      <c r="L82" s="7" t="s">
        <v>55</v>
      </c>
      <c r="M82" s="3"/>
      <c r="N82" s="3" t="s">
        <v>67</v>
      </c>
      <c r="O82" s="112"/>
      <c r="P82" s="112"/>
      <c r="Q82" s="112" t="s">
        <v>136</v>
      </c>
      <c r="R82" s="3" t="str">
        <f ca="1">IF(M82="Arrojado","IPCA+6%",IF(M82="Arrojado Renda Construção","IPCA+6%",IF(M82="Arrojado Renda Usufruto","IPCA+6%",IF(M82="Moderado","IPCA+5%",IF(M82="Moderado Renda Construção","IPCA+5%",IF(M82="Moderado Renda Usufruto","IPCA+5%",IF(M82="Conservador","IPCA+4%",IF(M82="Conservador Renda Construção","IPCA+4%",IF(M82="Conservador Renda Usufruto","IPCA+4%",IF(M82="Ultraconservador","IPCA+4%",""))))))))))</f>
        <v/>
      </c>
      <c r="S82" s="3" t="s">
        <v>69</v>
      </c>
      <c r="T82" s="3" t="s">
        <v>69</v>
      </c>
      <c r="U82" s="3" t="s">
        <v>69</v>
      </c>
      <c r="V82" s="130" t="s">
        <v>349</v>
      </c>
      <c r="W82" s="3" t="s">
        <v>59</v>
      </c>
      <c r="X82" s="3" t="s">
        <v>59</v>
      </c>
      <c r="Y82" s="3" t="s">
        <v>138</v>
      </c>
      <c r="Z82" s="4"/>
      <c r="AA82" s="77">
        <v>0</v>
      </c>
      <c r="AB82" s="77">
        <v>0</v>
      </c>
      <c r="AC82" s="77">
        <v>0</v>
      </c>
      <c r="AD82" s="77">
        <v>0</v>
      </c>
      <c r="AE82" s="77">
        <v>0</v>
      </c>
      <c r="AF82" s="77">
        <v>0</v>
      </c>
      <c r="AG82" s="77">
        <v>0</v>
      </c>
      <c r="AH82" s="77">
        <v>0</v>
      </c>
      <c r="AI82" s="77">
        <v>0</v>
      </c>
      <c r="AJ82" s="77">
        <v>0</v>
      </c>
      <c r="AK82" s="77">
        <v>0</v>
      </c>
      <c r="AL82" s="77">
        <v>300149.43</v>
      </c>
      <c r="AM82" s="77">
        <v>394905.63</v>
      </c>
      <c r="AN82" s="77">
        <v>295552.89</v>
      </c>
      <c r="AO82" s="77">
        <v>296263.08</v>
      </c>
      <c r="AP82" s="77">
        <v>1017882.07</v>
      </c>
      <c r="AQ82" s="77">
        <v>1504913.21</v>
      </c>
      <c r="AR82" s="77">
        <v>1501298.11</v>
      </c>
      <c r="AS82" s="77">
        <v>1506604.08</v>
      </c>
      <c r="AT82" s="77">
        <v>1515545.49</v>
      </c>
      <c r="AU82" s="77">
        <v>1474057.22</v>
      </c>
      <c r="AV82" s="77">
        <v>1474057.22</v>
      </c>
      <c r="AW82" s="152"/>
      <c r="AX82" s="152"/>
      <c r="AY82" s="152"/>
    </row>
    <row r="83" spans="1:51" ht="15">
      <c r="A83" s="1" t="s">
        <v>73</v>
      </c>
      <c r="B83" s="5" t="s">
        <v>198</v>
      </c>
      <c r="C83" s="5" t="s">
        <v>198</v>
      </c>
      <c r="D83" s="5" t="s">
        <v>359</v>
      </c>
      <c r="E83" s="3" t="s">
        <v>50</v>
      </c>
      <c r="F83" s="3" t="s">
        <v>51</v>
      </c>
      <c r="G83" s="5" t="s">
        <v>360</v>
      </c>
      <c r="H83" s="6">
        <v>4718691</v>
      </c>
      <c r="I83" s="2" t="s">
        <v>53</v>
      </c>
      <c r="J83" s="2" t="s">
        <v>54</v>
      </c>
      <c r="K83" s="7"/>
      <c r="L83" s="7" t="s">
        <v>55</v>
      </c>
      <c r="M83" s="3" t="s">
        <v>201</v>
      </c>
      <c r="N83" s="3" t="s">
        <v>57</v>
      </c>
      <c r="O83" s="112">
        <v>46858</v>
      </c>
      <c r="P83" s="112">
        <v>47098</v>
      </c>
      <c r="Q83" s="112" t="s">
        <v>118</v>
      </c>
      <c r="R83" s="3" t="str">
        <f ca="1">IF(M83="Arrojado","IPCA+6%",IF(M83="Arrojado Renda Construção","IPCA+6%",IF(M83="Arrojado Renda Usufruto","IPCA+6%",IF(M83="Moderado","IPCA+5%",IF(M83="Moderado Renda Construção","IPCA+5%",IF(M83="Moderado Renda Usufruto","IPCA+5%",IF(M83="Conservador","IPCA+4%",IF(M83="Conservador Renda Construção","IPCA+4%",IF(M83="Conservador Renda Usufruto","IPCA+4%",IF(M83="Ultraconservador","IPCA+4%",""))))))))))</f>
        <v>IPCA+6%</v>
      </c>
      <c r="S83" s="3" t="s">
        <v>69</v>
      </c>
      <c r="T83" s="3" t="s">
        <v>59</v>
      </c>
      <c r="U83" s="3" t="s">
        <v>59</v>
      </c>
      <c r="V83" s="130" t="s">
        <v>361</v>
      </c>
      <c r="W83" s="3" t="s">
        <v>59</v>
      </c>
      <c r="X83" s="3" t="s">
        <v>69</v>
      </c>
      <c r="Y83" s="3" t="s">
        <v>71</v>
      </c>
      <c r="Z83" s="114" t="s">
        <v>204</v>
      </c>
      <c r="AA83" s="78">
        <v>103849.48</v>
      </c>
      <c r="AB83" s="78">
        <v>102792.52</v>
      </c>
      <c r="AC83" s="78">
        <v>71766.960000000006</v>
      </c>
      <c r="AD83" s="78">
        <v>21452.74</v>
      </c>
      <c r="AE83" s="78">
        <v>23283.94</v>
      </c>
      <c r="AF83" s="78">
        <v>22053.72</v>
      </c>
      <c r="AG83" s="78">
        <v>23721.38</v>
      </c>
      <c r="AH83" s="78">
        <v>22650.57</v>
      </c>
      <c r="AI83" s="78">
        <v>22443.37</v>
      </c>
      <c r="AJ83" s="78">
        <v>21425.69</v>
      </c>
      <c r="AK83" s="78">
        <v>18290.330000000002</v>
      </c>
      <c r="AL83" s="78">
        <v>18139.98</v>
      </c>
      <c r="AM83" s="78">
        <v>17366.989999999998</v>
      </c>
      <c r="AN83" s="111">
        <v>14798.1</v>
      </c>
      <c r="AO83" s="78">
        <v>14341.48</v>
      </c>
      <c r="AP83" s="78">
        <v>15342.21</v>
      </c>
      <c r="AQ83" s="78">
        <v>16643.940000000002</v>
      </c>
      <c r="AR83" s="78">
        <v>15646.38</v>
      </c>
      <c r="AS83" s="78">
        <v>15348.94</v>
      </c>
      <c r="AT83" s="122">
        <v>17065.27</v>
      </c>
      <c r="AU83" s="122">
        <v>17980.849999999999</v>
      </c>
      <c r="AV83" s="122">
        <v>17440.830000000002</v>
      </c>
      <c r="AW83" s="152"/>
      <c r="AX83" s="152"/>
      <c r="AY83" s="152"/>
    </row>
    <row r="84" spans="1:51" ht="15">
      <c r="A84" s="1" t="s">
        <v>48</v>
      </c>
      <c r="B84" s="5" t="s">
        <v>198</v>
      </c>
      <c r="C84" s="5" t="s">
        <v>198</v>
      </c>
      <c r="D84" s="5" t="s">
        <v>359</v>
      </c>
      <c r="E84" s="3" t="s">
        <v>50</v>
      </c>
      <c r="F84" s="3" t="s">
        <v>51</v>
      </c>
      <c r="G84" s="5" t="s">
        <v>362</v>
      </c>
      <c r="H84" s="6">
        <v>2068296</v>
      </c>
      <c r="I84" s="2" t="s">
        <v>53</v>
      </c>
      <c r="J84" s="2" t="s">
        <v>54</v>
      </c>
      <c r="K84" s="7">
        <v>45548</v>
      </c>
      <c r="L84" s="7" t="s">
        <v>55</v>
      </c>
      <c r="M84" s="3" t="s">
        <v>201</v>
      </c>
      <c r="N84" s="3" t="s">
        <v>57</v>
      </c>
      <c r="O84" s="112">
        <v>46674</v>
      </c>
      <c r="P84" s="112">
        <v>47073</v>
      </c>
      <c r="Q84" s="112" t="s">
        <v>118</v>
      </c>
      <c r="R84" s="3" t="str">
        <f ca="1">IF(M84="Arrojado","IPCA+6%",IF(M84="Arrojado Renda Construção","IPCA+6%",IF(M84="Arrojado Renda Usufruto","IPCA+6%",IF(M84="Moderado","IPCA+5%",IF(M84="Moderado Renda Construção","IPCA+5%",IF(M84="Moderado Renda Usufruto","IPCA+5%",IF(M84="Conservador","IPCA+4%",IF(M84="Conservador Renda Construção","IPCA+4%",IF(M84="Conservador Renda Usufruto","IPCA+4%",IF(M84="Ultraconservador","IPCA+4%",""))))))))))</f>
        <v>IPCA+6%</v>
      </c>
      <c r="S84" s="3" t="s">
        <v>69</v>
      </c>
      <c r="T84" s="3" t="s">
        <v>59</v>
      </c>
      <c r="U84" s="3" t="s">
        <v>59</v>
      </c>
      <c r="V84" s="130" t="s">
        <v>361</v>
      </c>
      <c r="W84" s="3" t="s">
        <v>59</v>
      </c>
      <c r="X84" s="3" t="s">
        <v>69</v>
      </c>
      <c r="Y84" s="3" t="s">
        <v>71</v>
      </c>
      <c r="Z84" s="114" t="s">
        <v>363</v>
      </c>
      <c r="AA84" s="78">
        <v>2028863.97</v>
      </c>
      <c r="AB84" s="78">
        <v>2120973.48</v>
      </c>
      <c r="AC84" s="78">
        <v>2162698.0699999998</v>
      </c>
      <c r="AD84" s="78">
        <v>2252418.98</v>
      </c>
      <c r="AE84" s="78">
        <v>2281169.98</v>
      </c>
      <c r="AF84" s="78">
        <v>2309532.5499999998</v>
      </c>
      <c r="AG84" s="78">
        <v>2362846.7200000002</v>
      </c>
      <c r="AH84" s="78">
        <v>2412244.27</v>
      </c>
      <c r="AI84" s="78">
        <v>2479175.21</v>
      </c>
      <c r="AJ84" s="78">
        <v>2505418.9500000002</v>
      </c>
      <c r="AK84" s="78">
        <v>2554465.12</v>
      </c>
      <c r="AL84" s="78">
        <v>2610260.17</v>
      </c>
      <c r="AM84" s="78">
        <v>2695231.96</v>
      </c>
      <c r="AN84" s="111">
        <v>2825517.02</v>
      </c>
      <c r="AO84" s="78">
        <v>2797804.42</v>
      </c>
      <c r="AP84" s="78">
        <v>2865516.35</v>
      </c>
      <c r="AQ84" s="78">
        <v>2899850.672117</v>
      </c>
      <c r="AR84" s="79">
        <v>2913007.96</v>
      </c>
      <c r="AS84" s="79">
        <v>2963896</v>
      </c>
      <c r="AT84" s="122">
        <v>2972632.557</v>
      </c>
      <c r="AU84" s="122">
        <v>2998366.19</v>
      </c>
      <c r="AV84" s="122">
        <v>3108705.8509999998</v>
      </c>
      <c r="AW84" s="152"/>
      <c r="AX84" s="152"/>
      <c r="AY84" s="152"/>
    </row>
    <row r="85" spans="1:51">
      <c r="A85" s="1" t="s">
        <v>89</v>
      </c>
      <c r="B85" s="5" t="s">
        <v>364</v>
      </c>
      <c r="C85" s="5" t="s">
        <v>364</v>
      </c>
      <c r="D85" s="5" t="s">
        <v>364</v>
      </c>
      <c r="E85" s="3" t="s">
        <v>50</v>
      </c>
      <c r="F85" s="3" t="s">
        <v>51</v>
      </c>
      <c r="G85" s="5" t="s">
        <v>365</v>
      </c>
      <c r="H85" s="6">
        <v>6700800</v>
      </c>
      <c r="I85" s="2" t="s">
        <v>117</v>
      </c>
      <c r="J85" s="2" t="s">
        <v>54</v>
      </c>
      <c r="K85" s="7"/>
      <c r="L85" s="7" t="s">
        <v>55</v>
      </c>
      <c r="M85" s="3" t="s">
        <v>146</v>
      </c>
      <c r="N85" s="3" t="s">
        <v>57</v>
      </c>
      <c r="O85" s="112"/>
      <c r="P85" s="112"/>
      <c r="Q85" s="112" t="s">
        <v>58</v>
      </c>
      <c r="R85" s="3" t="str">
        <f ca="1">IF(M85="Arrojado","IPCA+6%",IF(M85="Arrojado Renda Construção","IPCA+6%",IF(M85="Arrojado Renda Usufruto","IPCA+6%",IF(M85="Moderado","IPCA+5%",IF(M85="Moderado Renda Construção","IPCA+5%",IF(M85="Moderado Renda Usufruto","IPCA+5%",IF(M85="Conservador","IPCA+4%",IF(M85="Conservador Renda Construção","IPCA+4%",IF(M85="Conservador Renda Usufruto","IPCA+4%",IF(M85="Ultraconservador","IPCA+4%",""))))))))))</f>
        <v>IPCA+5%</v>
      </c>
      <c r="S85" s="3" t="s">
        <v>69</v>
      </c>
      <c r="T85" s="3" t="s">
        <v>59</v>
      </c>
      <c r="U85" s="3" t="s">
        <v>59</v>
      </c>
      <c r="V85" s="130"/>
      <c r="W85" s="3" t="s">
        <v>59</v>
      </c>
      <c r="X85" s="3" t="s">
        <v>69</v>
      </c>
      <c r="Y85" s="3"/>
      <c r="Z85" s="4"/>
      <c r="AA85" s="79">
        <v>0</v>
      </c>
      <c r="AB85" s="79">
        <v>0</v>
      </c>
      <c r="AC85" s="79">
        <v>0</v>
      </c>
      <c r="AD85" s="79">
        <v>0</v>
      </c>
      <c r="AE85" s="79">
        <v>0</v>
      </c>
      <c r="AF85" s="79">
        <v>0</v>
      </c>
      <c r="AG85" s="79">
        <v>0</v>
      </c>
      <c r="AH85" s="79">
        <v>0</v>
      </c>
      <c r="AI85" s="79">
        <v>0</v>
      </c>
      <c r="AJ85" s="79">
        <v>0</v>
      </c>
      <c r="AK85" s="79">
        <v>0</v>
      </c>
      <c r="AL85" s="79">
        <v>0</v>
      </c>
      <c r="AM85" s="79">
        <v>1124902.3</v>
      </c>
      <c r="AN85" s="79">
        <v>1127996.3799999999</v>
      </c>
      <c r="AO85" s="79">
        <v>1121864.3600000001</v>
      </c>
      <c r="AP85" s="79">
        <v>1133077.42</v>
      </c>
      <c r="AQ85" s="79">
        <v>1142384.6100000001</v>
      </c>
      <c r="AR85" s="79">
        <v>1139539.18</v>
      </c>
      <c r="AS85" s="79">
        <v>1149329.21</v>
      </c>
      <c r="AT85" s="122">
        <v>1160107.96</v>
      </c>
      <c r="AU85" s="122">
        <v>1166591.51</v>
      </c>
      <c r="AV85" s="122">
        <v>1166591.51</v>
      </c>
    </row>
    <row r="86" spans="1:51" ht="15">
      <c r="A86" s="1" t="s">
        <v>48</v>
      </c>
      <c r="B86" s="5" t="s">
        <v>364</v>
      </c>
      <c r="C86" s="5" t="s">
        <v>364</v>
      </c>
      <c r="D86" s="5" t="s">
        <v>364</v>
      </c>
      <c r="E86" s="3" t="s">
        <v>50</v>
      </c>
      <c r="F86" s="3" t="s">
        <v>51</v>
      </c>
      <c r="G86" s="5" t="s">
        <v>366</v>
      </c>
      <c r="H86" s="6">
        <v>4771941</v>
      </c>
      <c r="I86" s="2" t="s">
        <v>117</v>
      </c>
      <c r="J86" s="2" t="s">
        <v>54</v>
      </c>
      <c r="K86" s="7">
        <v>45938</v>
      </c>
      <c r="L86" s="7" t="s">
        <v>55</v>
      </c>
      <c r="M86" s="3" t="s">
        <v>146</v>
      </c>
      <c r="N86" s="3" t="s">
        <v>57</v>
      </c>
      <c r="O86" s="112">
        <v>46928</v>
      </c>
      <c r="P86" s="112">
        <v>46952</v>
      </c>
      <c r="Q86" s="112" t="s">
        <v>58</v>
      </c>
      <c r="R86" s="3" t="str">
        <f ca="1">IF(M86="Arrojado","IPCA+6%",IF(M86="Arrojado Renda Construção","IPCA+6%",IF(M86="Arrojado Renda Usufruto","IPCA+6%",IF(M86="Moderado","IPCA+5%",IF(M86="Moderado Renda Construção","IPCA+5%",IF(M86="Moderado Renda Usufruto","IPCA+5%",IF(M86="Conservador","IPCA+4%",IF(M86="Conservador Renda Construção","IPCA+4%",IF(M86="Conservador Renda Usufruto","IPCA+4%",IF(M86="Ultraconservador","IPCA+4%",""))))))))))</f>
        <v>IPCA+5%</v>
      </c>
      <c r="S86" s="3" t="s">
        <v>69</v>
      </c>
      <c r="T86" s="3" t="s">
        <v>59</v>
      </c>
      <c r="U86" s="3" t="s">
        <v>59</v>
      </c>
      <c r="V86" s="130"/>
      <c r="W86" s="3" t="s">
        <v>59</v>
      </c>
      <c r="X86" s="3" t="s">
        <v>69</v>
      </c>
      <c r="Y86" s="3"/>
      <c r="Z86" s="114" t="s">
        <v>367</v>
      </c>
      <c r="AA86" s="78">
        <v>810027.24</v>
      </c>
      <c r="AB86" s="78">
        <v>805705.64</v>
      </c>
      <c r="AC86" s="78">
        <v>808996.27</v>
      </c>
      <c r="AD86" s="78">
        <v>827861.33</v>
      </c>
      <c r="AE86" s="78">
        <v>843248.86</v>
      </c>
      <c r="AF86" s="78">
        <v>843989.04</v>
      </c>
      <c r="AG86" s="78">
        <v>857606.48</v>
      </c>
      <c r="AH86" s="78">
        <v>866824.33</v>
      </c>
      <c r="AI86" s="78">
        <v>909501.37</v>
      </c>
      <c r="AJ86" s="78">
        <v>927382.59</v>
      </c>
      <c r="AK86" s="78">
        <v>933603.27</v>
      </c>
      <c r="AL86" s="78">
        <v>1014594.02</v>
      </c>
      <c r="AM86" s="78">
        <v>1025499.14</v>
      </c>
      <c r="AN86" s="111">
        <v>1019193.45</v>
      </c>
      <c r="AO86" s="78">
        <v>1009535.7</v>
      </c>
      <c r="AP86" s="78">
        <v>1023886.51</v>
      </c>
      <c r="AQ86" s="78">
        <v>1025083.26</v>
      </c>
      <c r="AR86" s="79">
        <v>1025529.86</v>
      </c>
      <c r="AS86" s="79">
        <v>1021716</v>
      </c>
      <c r="AT86" s="122">
        <v>1033457.3</v>
      </c>
      <c r="AU86" s="122">
        <v>1044875.18</v>
      </c>
      <c r="AV86" s="122">
        <v>1065054.98</v>
      </c>
      <c r="AW86" s="152"/>
      <c r="AX86" s="152"/>
      <c r="AY86" s="152"/>
    </row>
    <row r="87" spans="1:51">
      <c r="A87" s="1" t="s">
        <v>73</v>
      </c>
      <c r="B87" s="5" t="s">
        <v>368</v>
      </c>
      <c r="C87" s="5" t="s">
        <v>369</v>
      </c>
      <c r="D87" s="5" t="s">
        <v>368</v>
      </c>
      <c r="E87" s="3" t="s">
        <v>100</v>
      </c>
      <c r="F87" s="3" t="s">
        <v>51</v>
      </c>
      <c r="G87" s="5" t="s">
        <v>370</v>
      </c>
      <c r="H87" s="6">
        <v>4475136</v>
      </c>
      <c r="I87" s="2" t="s">
        <v>86</v>
      </c>
      <c r="J87" s="2" t="s">
        <v>87</v>
      </c>
      <c r="K87" s="7"/>
      <c r="L87" s="7" t="s">
        <v>226</v>
      </c>
      <c r="M87" s="3" t="s">
        <v>66</v>
      </c>
      <c r="N87" s="3" t="s">
        <v>57</v>
      </c>
      <c r="O87" s="136">
        <v>46169</v>
      </c>
      <c r="P87" s="112">
        <v>46474</v>
      </c>
      <c r="Q87" s="112" t="s">
        <v>80</v>
      </c>
      <c r="R87" s="3" t="str">
        <f ca="1">IF(M87="Arrojado","IPCA+6%",IF(M87="Arrojado Renda Construção","IPCA+6%",IF(M87="Arrojado Renda Usufruto","IPCA+6%",IF(M87="Moderado","IPCA+5%",IF(M87="Moderado Renda Construção","IPCA+5%",IF(M87="Moderado Renda Usufruto","IPCA+5%",IF(M87="Conservador","IPCA+4%",IF(M87="Conservador Renda Construção","IPCA+4%",IF(M87="Conservador Renda Usufruto","IPCA+4%",IF(M87="Ultraconservador","IPCA+4%",""))))))))))</f>
        <v>IPCA+4%</v>
      </c>
      <c r="S87" s="3" t="s">
        <v>59</v>
      </c>
      <c r="T87" s="3"/>
      <c r="U87" s="3"/>
      <c r="V87" s="130"/>
      <c r="W87" s="3"/>
      <c r="X87" s="3"/>
      <c r="Y87" s="3"/>
      <c r="Z87" s="114" t="s">
        <v>371</v>
      </c>
      <c r="AA87" s="78">
        <v>12376.84</v>
      </c>
      <c r="AB87" s="78">
        <v>12528.47</v>
      </c>
      <c r="AC87" s="78">
        <v>12671.09</v>
      </c>
      <c r="AD87" s="78">
        <v>12790.38</v>
      </c>
      <c r="AE87" s="78">
        <v>12963.16</v>
      </c>
      <c r="AF87" s="78">
        <v>13127.85</v>
      </c>
      <c r="AG87" s="78">
        <v>13310.25</v>
      </c>
      <c r="AH87" s="78">
        <v>13471.89</v>
      </c>
      <c r="AI87" s="78">
        <v>13668.18</v>
      </c>
      <c r="AJ87" s="78">
        <v>13829.26</v>
      </c>
      <c r="AK87" s="78">
        <v>13973.37</v>
      </c>
      <c r="AL87" s="78">
        <v>14133.36</v>
      </c>
      <c r="AM87" s="78">
        <v>14277.939999999999</v>
      </c>
      <c r="AN87" s="111">
        <v>14412.92</v>
      </c>
      <c r="AO87" s="78">
        <v>14535.189999999999</v>
      </c>
      <c r="AP87" s="78">
        <v>14660.94</v>
      </c>
      <c r="AQ87" s="78">
        <v>14855.47</v>
      </c>
      <c r="AR87" s="78">
        <v>15034.140000000001</v>
      </c>
      <c r="AS87" s="78">
        <v>15240.27</v>
      </c>
      <c r="AT87" s="122">
        <v>15382.68</v>
      </c>
      <c r="AU87" s="122">
        <v>15502.92</v>
      </c>
      <c r="AV87" s="122">
        <v>15556.5</v>
      </c>
    </row>
    <row r="88" spans="1:51" ht="15">
      <c r="A88" s="1" t="s">
        <v>106</v>
      </c>
      <c r="B88" s="5" t="s">
        <v>328</v>
      </c>
      <c r="C88" s="5" t="s">
        <v>328</v>
      </c>
      <c r="D88" s="5" t="s">
        <v>372</v>
      </c>
      <c r="E88" s="3" t="s">
        <v>100</v>
      </c>
      <c r="F88" s="3" t="s">
        <v>51</v>
      </c>
      <c r="G88" s="5" t="s">
        <v>373</v>
      </c>
      <c r="H88" s="6">
        <v>32892096</v>
      </c>
      <c r="I88" s="2" t="s">
        <v>78</v>
      </c>
      <c r="J88" s="2" t="s">
        <v>54</v>
      </c>
      <c r="K88" s="7"/>
      <c r="L88" s="7" t="s">
        <v>55</v>
      </c>
      <c r="M88" s="3" t="s">
        <v>112</v>
      </c>
      <c r="N88" s="3"/>
      <c r="O88" s="112"/>
      <c r="P88" s="112"/>
      <c r="Q88" s="112" t="s">
        <v>80</v>
      </c>
      <c r="R88" s="3" t="str">
        <f ca="1">IF(M88="Arrojado","IPCA+6%",IF(M88="Arrojado Renda Construção","IPCA+6%",IF(M88="Arrojado Renda Usufruto","IPCA+6%",IF(M88="Moderado","IPCA+5%",IF(M88="Moderado Renda Construção","IPCA+5%",IF(M88="Moderado Renda Usufruto","IPCA+5%",IF(M88="Conservador","IPCA+4%",IF(M88="Conservador Renda Construção","IPCA+4%",IF(M88="Conservador Renda Usufruto","IPCA+4%",IF(M88="Ultraconservador","IPCA+4%",""))))))))))</f>
        <v>IPCA+4%</v>
      </c>
      <c r="S88" s="3" t="s">
        <v>59</v>
      </c>
      <c r="T88" s="3"/>
      <c r="U88" s="3"/>
      <c r="V88" s="130"/>
      <c r="W88" s="3"/>
      <c r="X88" s="3"/>
      <c r="Y88" s="3"/>
      <c r="Z88" s="4"/>
      <c r="AA88" s="77">
        <v>0</v>
      </c>
      <c r="AB88" s="77">
        <v>0</v>
      </c>
      <c r="AC88" s="77">
        <v>0</v>
      </c>
      <c r="AD88" s="77">
        <v>0</v>
      </c>
      <c r="AE88" s="77">
        <v>0</v>
      </c>
      <c r="AF88" s="77">
        <v>0</v>
      </c>
      <c r="AG88" s="77">
        <v>0</v>
      </c>
      <c r="AH88" s="77">
        <v>0</v>
      </c>
      <c r="AI88" s="77">
        <v>0</v>
      </c>
      <c r="AJ88" s="77">
        <v>0</v>
      </c>
      <c r="AK88" s="77">
        <v>0</v>
      </c>
      <c r="AL88" s="77">
        <v>0</v>
      </c>
      <c r="AM88" s="77">
        <v>0</v>
      </c>
      <c r="AN88" s="77" t="s">
        <v>185</v>
      </c>
      <c r="AO88" s="77">
        <v>0</v>
      </c>
      <c r="AP88" s="77">
        <v>0</v>
      </c>
      <c r="AQ88" s="80">
        <v>0</v>
      </c>
      <c r="AR88" s="80">
        <v>2146.56</v>
      </c>
      <c r="AS88" s="80">
        <v>0</v>
      </c>
      <c r="AT88" s="132">
        <v>0</v>
      </c>
      <c r="AU88" s="132">
        <v>0</v>
      </c>
      <c r="AV88" s="132">
        <v>0</v>
      </c>
      <c r="AW88" s="152"/>
      <c r="AX88" s="152"/>
      <c r="AY88" s="152"/>
    </row>
    <row r="89" spans="1:51" ht="15">
      <c r="A89" s="1" t="s">
        <v>73</v>
      </c>
      <c r="B89" s="5" t="s">
        <v>374</v>
      </c>
      <c r="C89" s="5" t="s">
        <v>369</v>
      </c>
      <c r="D89" s="5" t="s">
        <v>374</v>
      </c>
      <c r="E89" s="3" t="s">
        <v>100</v>
      </c>
      <c r="F89" s="3" t="s">
        <v>51</v>
      </c>
      <c r="G89" s="5" t="s">
        <v>375</v>
      </c>
      <c r="H89" s="6">
        <v>4474935</v>
      </c>
      <c r="I89" s="2" t="s">
        <v>86</v>
      </c>
      <c r="J89" s="2" t="s">
        <v>87</v>
      </c>
      <c r="K89" s="7"/>
      <c r="L89" s="7" t="s">
        <v>226</v>
      </c>
      <c r="M89" s="3" t="s">
        <v>66</v>
      </c>
      <c r="N89" s="3" t="s">
        <v>57</v>
      </c>
      <c r="O89" s="136">
        <v>46169</v>
      </c>
      <c r="P89" s="112">
        <v>46474</v>
      </c>
      <c r="Q89" s="112" t="s">
        <v>80</v>
      </c>
      <c r="R89" s="3" t="str">
        <f ca="1">IF(M89="Arrojado","IPCA+6%",IF(M89="Arrojado Renda Construção","IPCA+6%",IF(M89="Arrojado Renda Usufruto","IPCA+6%",IF(M89="Moderado","IPCA+5%",IF(M89="Moderado Renda Construção","IPCA+5%",IF(M89="Moderado Renda Usufruto","IPCA+5%",IF(M89="Conservador","IPCA+4%",IF(M89="Conservador Renda Construção","IPCA+4%",IF(M89="Conservador Renda Usufruto","IPCA+4%",IF(M89="Ultraconservador","IPCA+4%",""))))))))))</f>
        <v>IPCA+4%</v>
      </c>
      <c r="S89" s="3" t="s">
        <v>59</v>
      </c>
      <c r="T89" s="3"/>
      <c r="U89" s="3"/>
      <c r="V89" s="130"/>
      <c r="W89" s="3"/>
      <c r="X89" s="3"/>
      <c r="Y89" s="3"/>
      <c r="Z89" s="114" t="s">
        <v>371</v>
      </c>
      <c r="AA89" s="78">
        <v>12376.84</v>
      </c>
      <c r="AB89" s="78">
        <v>12528.47</v>
      </c>
      <c r="AC89" s="78">
        <v>12671.09</v>
      </c>
      <c r="AD89" s="78">
        <v>12790.38</v>
      </c>
      <c r="AE89" s="78">
        <v>12963.16</v>
      </c>
      <c r="AF89" s="78">
        <v>13127.85</v>
      </c>
      <c r="AG89" s="78">
        <v>13310.25</v>
      </c>
      <c r="AH89" s="78">
        <v>13471.89</v>
      </c>
      <c r="AI89" s="78">
        <v>13668.17</v>
      </c>
      <c r="AJ89" s="78">
        <v>13829.25</v>
      </c>
      <c r="AK89" s="78">
        <v>13973.36</v>
      </c>
      <c r="AL89" s="78">
        <v>14133.35</v>
      </c>
      <c r="AM89" s="78">
        <v>14277.929999999998</v>
      </c>
      <c r="AN89" s="111">
        <v>14412.91</v>
      </c>
      <c r="AO89" s="78">
        <v>14535.18</v>
      </c>
      <c r="AP89" s="78">
        <v>14660.93</v>
      </c>
      <c r="AQ89" s="78">
        <v>14855.46</v>
      </c>
      <c r="AR89" s="78">
        <v>15034.130000000001</v>
      </c>
      <c r="AS89" s="78">
        <v>15240.26</v>
      </c>
      <c r="AT89" s="122">
        <v>15382.67</v>
      </c>
      <c r="AU89" s="122">
        <v>15502.91</v>
      </c>
      <c r="AV89" s="122">
        <v>15556.49</v>
      </c>
      <c r="AW89" s="152"/>
      <c r="AX89" s="152"/>
      <c r="AY89" s="152"/>
    </row>
    <row r="90" spans="1:51" ht="15">
      <c r="A90" s="1" t="s">
        <v>48</v>
      </c>
      <c r="B90" s="5" t="s">
        <v>82</v>
      </c>
      <c r="C90" s="5" t="s">
        <v>82</v>
      </c>
      <c r="D90" s="5" t="s">
        <v>376</v>
      </c>
      <c r="E90" s="3" t="s">
        <v>50</v>
      </c>
      <c r="F90" s="3" t="s">
        <v>51</v>
      </c>
      <c r="G90" s="5" t="s">
        <v>377</v>
      </c>
      <c r="H90" s="6" t="s">
        <v>378</v>
      </c>
      <c r="I90" s="2" t="s">
        <v>86</v>
      </c>
      <c r="J90" s="82" t="s">
        <v>87</v>
      </c>
      <c r="K90" s="7">
        <v>46279</v>
      </c>
      <c r="L90" s="7" t="s">
        <v>55</v>
      </c>
      <c r="M90" s="3"/>
      <c r="N90" s="3" t="s">
        <v>67</v>
      </c>
      <c r="O90" s="112">
        <v>47379</v>
      </c>
      <c r="P90" s="112">
        <v>47172</v>
      </c>
      <c r="Q90" s="112" t="s">
        <v>58</v>
      </c>
      <c r="R90" s="3"/>
      <c r="S90" s="3"/>
      <c r="T90" s="3"/>
      <c r="U90" s="3"/>
      <c r="V90" s="130"/>
      <c r="W90" s="3"/>
      <c r="X90" s="3"/>
      <c r="Y90" s="3"/>
      <c r="Z90" s="114" t="s">
        <v>379</v>
      </c>
      <c r="AA90" s="78">
        <v>0</v>
      </c>
      <c r="AB90" s="78">
        <v>0</v>
      </c>
      <c r="AC90" s="78">
        <v>0</v>
      </c>
      <c r="AD90" s="78">
        <v>0</v>
      </c>
      <c r="AE90" s="78">
        <v>0</v>
      </c>
      <c r="AF90" s="78">
        <v>0</v>
      </c>
      <c r="AG90" s="78">
        <v>0</v>
      </c>
      <c r="AH90" s="78">
        <v>0</v>
      </c>
      <c r="AI90" s="78">
        <v>0</v>
      </c>
      <c r="AJ90" s="78">
        <v>0</v>
      </c>
      <c r="AK90" s="78">
        <v>0</v>
      </c>
      <c r="AL90" s="78">
        <v>0</v>
      </c>
      <c r="AM90" s="78">
        <v>0</v>
      </c>
      <c r="AN90" s="78">
        <v>0</v>
      </c>
      <c r="AO90" s="78">
        <v>0</v>
      </c>
      <c r="AP90" s="78">
        <v>0</v>
      </c>
      <c r="AQ90" s="78">
        <v>0</v>
      </c>
      <c r="AR90" s="78">
        <v>0</v>
      </c>
      <c r="AS90" s="78">
        <v>0</v>
      </c>
      <c r="AT90" s="78"/>
      <c r="AU90" s="160">
        <v>2022551.37</v>
      </c>
      <c r="AV90" s="160">
        <v>2029039.6810000001</v>
      </c>
      <c r="AW90" s="152"/>
      <c r="AX90" s="152"/>
      <c r="AY90" s="152"/>
    </row>
    <row r="91" spans="1:51">
      <c r="A91" s="1" t="s">
        <v>48</v>
      </c>
      <c r="B91" s="5" t="s">
        <v>380</v>
      </c>
      <c r="C91" s="5" t="s">
        <v>381</v>
      </c>
      <c r="D91" s="5" t="s">
        <v>380</v>
      </c>
      <c r="E91" s="3" t="s">
        <v>50</v>
      </c>
      <c r="F91" s="3" t="s">
        <v>51</v>
      </c>
      <c r="G91" s="5" t="s">
        <v>382</v>
      </c>
      <c r="H91" s="6">
        <v>19515384</v>
      </c>
      <c r="I91" s="2" t="s">
        <v>383</v>
      </c>
      <c r="J91" s="2" t="s">
        <v>54</v>
      </c>
      <c r="K91" s="7">
        <v>46141</v>
      </c>
      <c r="L91" s="7" t="s">
        <v>55</v>
      </c>
      <c r="M91" s="3" t="s">
        <v>112</v>
      </c>
      <c r="N91" s="3" t="s">
        <v>67</v>
      </c>
      <c r="O91" s="112">
        <v>47253</v>
      </c>
      <c r="P91" s="112">
        <v>47251</v>
      </c>
      <c r="Q91" s="112" t="s">
        <v>118</v>
      </c>
      <c r="R91" s="3" t="str">
        <f ca="1">IF(M91="Arrojado","IPCA+6%",IF(M91="Arrojado Renda Construção","IPCA+6%",IF(M91="Arrojado Renda Usufruto","IPCA+6%",IF(M91="Moderado","IPCA+5%",IF(M91="Moderado Renda Construção","IPCA+5%",IF(M91="Moderado Renda Usufruto","IPCA+5%",IF(M91="Conservador","IPCA+4%",IF(M91="Conservador Renda Construção","IPCA+4%",IF(M91="Conservador Renda Usufruto","IPCA+4%",IF(M91="Ultraconservador","IPCA+4%",""))))))))))</f>
        <v>IPCA+4%</v>
      </c>
      <c r="S91" s="3" t="s">
        <v>59</v>
      </c>
      <c r="T91" s="3" t="s">
        <v>69</v>
      </c>
      <c r="U91" s="3" t="s">
        <v>59</v>
      </c>
      <c r="V91" s="130" t="s">
        <v>384</v>
      </c>
      <c r="W91" s="3" t="s">
        <v>59</v>
      </c>
      <c r="X91" s="3" t="s">
        <v>59</v>
      </c>
      <c r="Y91" s="3"/>
      <c r="Z91" s="114" t="s">
        <v>385</v>
      </c>
      <c r="AA91" s="78">
        <v>0</v>
      </c>
      <c r="AB91" s="78">
        <v>0</v>
      </c>
      <c r="AC91" s="78">
        <v>0</v>
      </c>
      <c r="AD91" s="78">
        <v>0</v>
      </c>
      <c r="AE91" s="78">
        <v>0</v>
      </c>
      <c r="AF91" s="78">
        <v>0</v>
      </c>
      <c r="AG91" s="78">
        <v>0</v>
      </c>
      <c r="AH91" s="78">
        <v>0</v>
      </c>
      <c r="AI91" s="78">
        <v>0</v>
      </c>
      <c r="AJ91" s="78">
        <v>0</v>
      </c>
      <c r="AK91" s="78">
        <v>0</v>
      </c>
      <c r="AL91" s="78">
        <v>0</v>
      </c>
      <c r="AM91" s="78">
        <v>0</v>
      </c>
      <c r="AN91" s="111" t="s">
        <v>104</v>
      </c>
      <c r="AO91" s="78">
        <v>0</v>
      </c>
      <c r="AP91" s="78">
        <v>0</v>
      </c>
      <c r="AQ91" s="78">
        <v>0</v>
      </c>
      <c r="AR91" s="79">
        <v>0</v>
      </c>
      <c r="AS91" s="79">
        <v>0</v>
      </c>
      <c r="AT91" s="122">
        <v>0</v>
      </c>
      <c r="AU91" s="122" t="s">
        <v>105</v>
      </c>
      <c r="AV91" s="122">
        <v>0</v>
      </c>
    </row>
    <row r="92" spans="1:51">
      <c r="A92" s="1" t="s">
        <v>106</v>
      </c>
      <c r="B92" s="5" t="s">
        <v>386</v>
      </c>
      <c r="C92" s="161" t="s">
        <v>381</v>
      </c>
      <c r="D92" s="5" t="s">
        <v>387</v>
      </c>
      <c r="E92" s="3" t="s">
        <v>50</v>
      </c>
      <c r="F92" s="3" t="s">
        <v>51</v>
      </c>
      <c r="G92" s="81" t="s">
        <v>388</v>
      </c>
      <c r="H92" s="6">
        <v>29206363</v>
      </c>
      <c r="I92" s="2" t="s">
        <v>383</v>
      </c>
      <c r="J92" s="2" t="s">
        <v>54</v>
      </c>
      <c r="K92" s="7"/>
      <c r="L92" s="7" t="s">
        <v>55</v>
      </c>
      <c r="M92" s="3" t="s">
        <v>56</v>
      </c>
      <c r="N92" s="3" t="s">
        <v>57</v>
      </c>
      <c r="O92" s="112"/>
      <c r="P92" s="112"/>
      <c r="Q92" s="112" t="s">
        <v>118</v>
      </c>
      <c r="R92" s="3" t="str">
        <f ca="1">IF(M92="Arrojado","IPCA+6%",IF(M92="Arrojado Renda Construção","IPCA+6%",IF(M92="Arrojado Renda Usufruto","IPCA+6%",IF(M92="Moderado","IPCA+5%",IF(M92="Moderado Renda Construção","IPCA+5%",IF(M92="Moderado Renda Usufruto","IPCA+5%",IF(M92="Conservador","IPCA+4%",IF(M92="Conservador Renda Construção","IPCA+4%",IF(M92="Conservador Renda Usufruto","IPCA+4%",IF(M92="Ultraconservador","IPCA+4%",""))))))))))</f>
        <v>IPCA+5%</v>
      </c>
      <c r="S92" s="3" t="s">
        <v>69</v>
      </c>
      <c r="T92" s="3" t="s">
        <v>59</v>
      </c>
      <c r="U92" s="3" t="s">
        <v>59</v>
      </c>
      <c r="V92" s="130"/>
      <c r="W92" s="3" t="s">
        <v>59</v>
      </c>
      <c r="X92" s="3" t="s">
        <v>59</v>
      </c>
      <c r="Y92" s="3" t="s">
        <v>203</v>
      </c>
      <c r="Z92" s="114" t="s">
        <v>389</v>
      </c>
      <c r="AA92" s="77"/>
      <c r="AB92" s="77"/>
      <c r="AC92" s="77"/>
      <c r="AD92" s="77"/>
      <c r="AE92" s="77"/>
      <c r="AF92" s="77"/>
      <c r="AG92" s="77"/>
      <c r="AH92" s="77"/>
      <c r="AI92" s="77"/>
      <c r="AJ92" s="77"/>
      <c r="AK92" s="77"/>
      <c r="AL92" s="77"/>
      <c r="AM92" s="77"/>
      <c r="AN92" s="77"/>
      <c r="AO92" s="77"/>
      <c r="AP92" s="77"/>
      <c r="AQ92" s="80">
        <v>6012.78</v>
      </c>
      <c r="AR92" s="80">
        <v>1470.68</v>
      </c>
      <c r="AS92" s="80">
        <v>2377.84</v>
      </c>
      <c r="AT92" s="132">
        <v>2035.63</v>
      </c>
      <c r="AU92" s="132">
        <v>2035.63</v>
      </c>
      <c r="AV92" s="132">
        <v>2035.63</v>
      </c>
    </row>
    <row r="93" spans="1:51">
      <c r="A93" s="1" t="s">
        <v>106</v>
      </c>
      <c r="B93" s="5" t="s">
        <v>386</v>
      </c>
      <c r="C93" s="5" t="s">
        <v>381</v>
      </c>
      <c r="D93" s="5" t="s">
        <v>390</v>
      </c>
      <c r="E93" s="3" t="s">
        <v>100</v>
      </c>
      <c r="F93" s="3" t="s">
        <v>51</v>
      </c>
      <c r="G93" s="5" t="s">
        <v>388</v>
      </c>
      <c r="H93" s="6">
        <v>36200373</v>
      </c>
      <c r="I93" s="2" t="s">
        <v>383</v>
      </c>
      <c r="J93" s="2" t="s">
        <v>54</v>
      </c>
      <c r="K93" s="7"/>
      <c r="L93" s="7" t="s">
        <v>55</v>
      </c>
      <c r="M93" s="3" t="s">
        <v>56</v>
      </c>
      <c r="N93" s="3" t="s">
        <v>57</v>
      </c>
      <c r="O93" s="112"/>
      <c r="P93" s="112"/>
      <c r="Q93" s="112" t="s">
        <v>118</v>
      </c>
      <c r="R93" s="3" t="str">
        <f ca="1">IF(M93="Arrojado","IPCA+6%",IF(M93="Arrojado Renda Construção","IPCA+6%",IF(M93="Arrojado Renda Usufruto","IPCA+6%",IF(M93="Moderado","IPCA+5%",IF(M93="Moderado Renda Construção","IPCA+5%",IF(M93="Moderado Renda Usufruto","IPCA+5%",IF(M93="Conservador","IPCA+4%",IF(M93="Conservador Renda Construção","IPCA+4%",IF(M93="Conservador Renda Usufruto","IPCA+4%",IF(M93="Ultraconservador","IPCA+4%",""))))))))))</f>
        <v>IPCA+5%</v>
      </c>
      <c r="S93" s="3" t="s">
        <v>69</v>
      </c>
      <c r="T93" s="3" t="s">
        <v>59</v>
      </c>
      <c r="U93" s="3" t="s">
        <v>59</v>
      </c>
      <c r="V93" s="156" t="s">
        <v>391</v>
      </c>
      <c r="W93" s="3" t="s">
        <v>59</v>
      </c>
      <c r="X93" s="3" t="s">
        <v>59</v>
      </c>
      <c r="Y93" s="3" t="s">
        <v>203</v>
      </c>
      <c r="Z93" s="114" t="s">
        <v>389</v>
      </c>
      <c r="AA93" s="77">
        <v>1128594.51</v>
      </c>
      <c r="AB93" s="77">
        <v>1157776.82</v>
      </c>
      <c r="AC93" s="77">
        <v>1150998.3500000001</v>
      </c>
      <c r="AD93" s="77">
        <v>1254572.24</v>
      </c>
      <c r="AE93" s="77">
        <v>1261380.8600000001</v>
      </c>
      <c r="AF93" s="77">
        <v>1297515.77</v>
      </c>
      <c r="AG93" s="77">
        <v>1392731.64</v>
      </c>
      <c r="AH93" s="77">
        <v>1435059.11</v>
      </c>
      <c r="AI93" s="77">
        <v>1516721.27</v>
      </c>
      <c r="AJ93" s="77">
        <v>1581124.19</v>
      </c>
      <c r="AK93" s="77">
        <v>1642132.32</v>
      </c>
      <c r="AL93" s="77">
        <v>1464056.86</v>
      </c>
      <c r="AM93" s="77">
        <v>1506904.01</v>
      </c>
      <c r="AN93" s="77">
        <v>1538698.12</v>
      </c>
      <c r="AO93" s="77">
        <v>1474239.87</v>
      </c>
      <c r="AP93" s="77">
        <v>1618223.84</v>
      </c>
      <c r="AQ93" s="80">
        <v>1658960.68</v>
      </c>
      <c r="AR93" s="80">
        <v>1666263.56</v>
      </c>
      <c r="AS93" s="80">
        <v>1738393.31</v>
      </c>
      <c r="AT93" s="132">
        <v>1813757.46</v>
      </c>
      <c r="AU93" s="132">
        <v>1820641.19</v>
      </c>
      <c r="AV93" s="132">
        <v>1852888.27</v>
      </c>
    </row>
    <row r="94" spans="1:51">
      <c r="A94" s="1" t="s">
        <v>48</v>
      </c>
      <c r="B94" s="5" t="s">
        <v>386</v>
      </c>
      <c r="C94" s="158" t="s">
        <v>381</v>
      </c>
      <c r="D94" s="5" t="s">
        <v>386</v>
      </c>
      <c r="E94" s="3" t="s">
        <v>50</v>
      </c>
      <c r="F94" s="3" t="s">
        <v>51</v>
      </c>
      <c r="G94" s="5" t="s">
        <v>392</v>
      </c>
      <c r="H94" s="6">
        <v>3208501</v>
      </c>
      <c r="I94" s="2" t="s">
        <v>383</v>
      </c>
      <c r="J94" s="2" t="s">
        <v>54</v>
      </c>
      <c r="K94" s="7">
        <v>45588</v>
      </c>
      <c r="L94" s="7" t="s">
        <v>226</v>
      </c>
      <c r="M94" s="3" t="s">
        <v>56</v>
      </c>
      <c r="N94" s="3" t="s">
        <v>57</v>
      </c>
      <c r="O94" s="112">
        <v>46711</v>
      </c>
      <c r="P94" s="112">
        <v>46565</v>
      </c>
      <c r="Q94" s="112" t="s">
        <v>118</v>
      </c>
      <c r="R94" s="3" t="str">
        <f ca="1">IF(M94="Arrojado","IPCA+6%",IF(M94="Arrojado Renda Construção","IPCA+6%",IF(M94="Arrojado Renda Usufruto","IPCA+6%",IF(M94="Moderado","IPCA+5%",IF(M94="Moderado Renda Construção","IPCA+5%",IF(M94="Moderado Renda Usufruto","IPCA+5%",IF(M94="Conservador","IPCA+4%",IF(M94="Conservador Renda Construção","IPCA+4%",IF(M94="Conservador Renda Usufruto","IPCA+4%",IF(M94="Ultraconservador","IPCA+4%",""))))))))))</f>
        <v>IPCA+5%</v>
      </c>
      <c r="S94" s="3" t="s">
        <v>69</v>
      </c>
      <c r="T94" s="3" t="s">
        <v>59</v>
      </c>
      <c r="U94" s="3" t="s">
        <v>59</v>
      </c>
      <c r="V94" s="130"/>
      <c r="W94" s="3" t="s">
        <v>59</v>
      </c>
      <c r="X94" s="3" t="s">
        <v>59</v>
      </c>
      <c r="Y94" s="3" t="s">
        <v>203</v>
      </c>
      <c r="Z94" s="114" t="s">
        <v>385</v>
      </c>
      <c r="AA94" s="78">
        <v>3240798.7</v>
      </c>
      <c r="AB94" s="78">
        <v>3241700.58</v>
      </c>
      <c r="AC94" s="78">
        <v>3224425.48</v>
      </c>
      <c r="AD94" s="78">
        <v>3188019.02</v>
      </c>
      <c r="AE94" s="78">
        <v>3262819.81</v>
      </c>
      <c r="AF94" s="78">
        <v>3309729.24</v>
      </c>
      <c r="AG94" s="78">
        <v>3311179.75</v>
      </c>
      <c r="AH94" s="78">
        <v>3351984.65</v>
      </c>
      <c r="AI94" s="78">
        <v>3348717.78</v>
      </c>
      <c r="AJ94" s="78">
        <v>3396619.91</v>
      </c>
      <c r="AK94" s="78">
        <v>3411034.1</v>
      </c>
      <c r="AL94" s="78">
        <v>3452437.08</v>
      </c>
      <c r="AM94" s="78">
        <v>3496941.75</v>
      </c>
      <c r="AN94" s="111">
        <v>3509421.95</v>
      </c>
      <c r="AO94" s="78">
        <v>3449423.6</v>
      </c>
      <c r="AP94" s="78">
        <v>3506336.43</v>
      </c>
      <c r="AQ94" s="78">
        <v>3490783.4142735</v>
      </c>
      <c r="AR94" s="79">
        <v>2965547.6</v>
      </c>
      <c r="AS94" s="79">
        <v>2508510</v>
      </c>
      <c r="AT94" s="122">
        <v>2506792.3289999999</v>
      </c>
      <c r="AU94" s="122">
        <v>2507262.7799999998</v>
      </c>
      <c r="AV94" s="122">
        <v>2520978.8390000002</v>
      </c>
    </row>
    <row r="95" spans="1:51" ht="15">
      <c r="A95" s="1" t="s">
        <v>73</v>
      </c>
      <c r="B95" s="5" t="s">
        <v>82</v>
      </c>
      <c r="C95" s="5" t="s">
        <v>82</v>
      </c>
      <c r="D95" s="5" t="s">
        <v>393</v>
      </c>
      <c r="E95" s="3" t="s">
        <v>50</v>
      </c>
      <c r="F95" s="3" t="s">
        <v>51</v>
      </c>
      <c r="G95" s="5" t="s">
        <v>394</v>
      </c>
      <c r="H95" s="6" t="s">
        <v>395</v>
      </c>
      <c r="I95" s="2" t="s">
        <v>86</v>
      </c>
      <c r="J95" s="82" t="s">
        <v>87</v>
      </c>
      <c r="K95" s="7"/>
      <c r="L95" s="7" t="s">
        <v>55</v>
      </c>
      <c r="M95" s="3"/>
      <c r="N95" s="3" t="s">
        <v>67</v>
      </c>
      <c r="O95" s="112"/>
      <c r="P95" s="112"/>
      <c r="Q95" s="112" t="s">
        <v>58</v>
      </c>
      <c r="R95" s="3"/>
      <c r="S95" s="3"/>
      <c r="T95" s="3"/>
      <c r="U95" s="3"/>
      <c r="V95" s="130"/>
      <c r="W95" s="3"/>
      <c r="X95" s="3"/>
      <c r="Y95" s="3"/>
      <c r="Z95" s="114" t="s">
        <v>396</v>
      </c>
      <c r="AA95" s="78">
        <v>0</v>
      </c>
      <c r="AB95" s="78">
        <v>0</v>
      </c>
      <c r="AC95" s="78">
        <v>0</v>
      </c>
      <c r="AD95" s="78">
        <v>0</v>
      </c>
      <c r="AE95" s="78">
        <v>0</v>
      </c>
      <c r="AF95" s="78">
        <v>0</v>
      </c>
      <c r="AG95" s="78">
        <v>0</v>
      </c>
      <c r="AH95" s="78">
        <v>0</v>
      </c>
      <c r="AI95" s="78">
        <v>0</v>
      </c>
      <c r="AJ95" s="78">
        <v>0</v>
      </c>
      <c r="AK95" s="78">
        <v>0</v>
      </c>
      <c r="AL95" s="78">
        <v>0</v>
      </c>
      <c r="AM95" s="78">
        <v>0</v>
      </c>
      <c r="AN95" s="78">
        <v>0</v>
      </c>
      <c r="AO95" s="78">
        <v>0</v>
      </c>
      <c r="AP95" s="78">
        <v>0</v>
      </c>
      <c r="AQ95" s="78">
        <v>0</v>
      </c>
      <c r="AR95" s="78">
        <v>0</v>
      </c>
      <c r="AS95" s="78">
        <v>0</v>
      </c>
      <c r="AT95" s="78">
        <v>0</v>
      </c>
      <c r="AU95" s="78">
        <v>101922.8</v>
      </c>
      <c r="AV95" s="78">
        <v>1309697.1000000001</v>
      </c>
      <c r="AW95" s="152"/>
      <c r="AX95" s="152"/>
      <c r="AY95" s="152"/>
    </row>
    <row r="96" spans="1:51" ht="15">
      <c r="A96" s="1" t="s">
        <v>89</v>
      </c>
      <c r="B96" s="5" t="s">
        <v>82</v>
      </c>
      <c r="C96" s="5" t="s">
        <v>82</v>
      </c>
      <c r="D96" s="5" t="s">
        <v>393</v>
      </c>
      <c r="E96" s="3" t="s">
        <v>50</v>
      </c>
      <c r="F96" s="3" t="s">
        <v>51</v>
      </c>
      <c r="G96" s="5" t="s">
        <v>397</v>
      </c>
      <c r="H96" s="6" t="s">
        <v>398</v>
      </c>
      <c r="I96" s="2" t="s">
        <v>86</v>
      </c>
      <c r="J96" s="82" t="s">
        <v>87</v>
      </c>
      <c r="K96" s="7"/>
      <c r="L96" s="7" t="s">
        <v>55</v>
      </c>
      <c r="M96" s="3"/>
      <c r="N96" s="3" t="s">
        <v>67</v>
      </c>
      <c r="O96" s="112">
        <v>46352</v>
      </c>
      <c r="P96" s="112">
        <v>46986</v>
      </c>
      <c r="Q96" s="112" t="s">
        <v>58</v>
      </c>
      <c r="R96" s="3"/>
      <c r="S96" s="3"/>
      <c r="T96" s="3"/>
      <c r="U96" s="3"/>
      <c r="V96" s="130"/>
      <c r="W96" s="3"/>
      <c r="X96" s="3"/>
      <c r="Y96" s="3"/>
      <c r="Z96" s="114" t="s">
        <v>396</v>
      </c>
      <c r="AA96" s="78">
        <v>0</v>
      </c>
      <c r="AB96" s="78">
        <v>0</v>
      </c>
      <c r="AC96" s="78">
        <v>0</v>
      </c>
      <c r="AD96" s="78">
        <v>0</v>
      </c>
      <c r="AE96" s="78">
        <v>0</v>
      </c>
      <c r="AF96" s="78">
        <v>0</v>
      </c>
      <c r="AG96" s="78">
        <v>0</v>
      </c>
      <c r="AH96" s="78">
        <v>0</v>
      </c>
      <c r="AI96" s="78">
        <v>0</v>
      </c>
      <c r="AJ96" s="78">
        <v>0</v>
      </c>
      <c r="AK96" s="78">
        <v>0</v>
      </c>
      <c r="AL96" s="78">
        <v>0</v>
      </c>
      <c r="AM96" s="78">
        <v>0</v>
      </c>
      <c r="AN96" s="78">
        <v>0</v>
      </c>
      <c r="AO96" s="78">
        <v>0</v>
      </c>
      <c r="AP96" s="78">
        <v>0</v>
      </c>
      <c r="AQ96" s="78">
        <v>0</v>
      </c>
      <c r="AR96" s="78">
        <v>0</v>
      </c>
      <c r="AS96" s="78">
        <v>0</v>
      </c>
      <c r="AT96" s="78">
        <v>0</v>
      </c>
      <c r="AU96" s="78">
        <v>993163.07</v>
      </c>
      <c r="AV96" s="78">
        <v>993163.07</v>
      </c>
      <c r="AW96" s="152"/>
      <c r="AX96" s="152"/>
      <c r="AY96" s="152"/>
    </row>
    <row r="97" spans="1:51">
      <c r="A97" s="1" t="s">
        <v>48</v>
      </c>
      <c r="B97" s="5" t="s">
        <v>82</v>
      </c>
      <c r="C97" s="5" t="s">
        <v>82</v>
      </c>
      <c r="D97" s="5" t="s">
        <v>393</v>
      </c>
      <c r="E97" s="3" t="s">
        <v>50</v>
      </c>
      <c r="F97" s="3" t="s">
        <v>51</v>
      </c>
      <c r="G97" s="5" t="s">
        <v>399</v>
      </c>
      <c r="H97" s="6">
        <v>391189</v>
      </c>
      <c r="I97" s="2" t="s">
        <v>86</v>
      </c>
      <c r="J97" s="82" t="s">
        <v>87</v>
      </c>
      <c r="K97" s="7">
        <v>46253</v>
      </c>
      <c r="L97" s="7" t="s">
        <v>55</v>
      </c>
      <c r="M97" s="3"/>
      <c r="N97" s="3" t="s">
        <v>67</v>
      </c>
      <c r="O97" s="112">
        <v>46336</v>
      </c>
      <c r="P97" s="112">
        <v>46990</v>
      </c>
      <c r="Q97" s="112" t="s">
        <v>58</v>
      </c>
      <c r="R97" s="3"/>
      <c r="S97" s="3"/>
      <c r="T97" s="3"/>
      <c r="U97" s="3"/>
      <c r="V97" s="130"/>
      <c r="W97" s="3"/>
      <c r="X97" s="3"/>
      <c r="Y97" s="3"/>
      <c r="Z97" s="114" t="s">
        <v>396</v>
      </c>
      <c r="AA97" s="78">
        <v>0</v>
      </c>
      <c r="AB97" s="78">
        <v>0</v>
      </c>
      <c r="AC97" s="78">
        <v>0</v>
      </c>
      <c r="AD97" s="78">
        <v>0</v>
      </c>
      <c r="AE97" s="78">
        <v>0</v>
      </c>
      <c r="AF97" s="78">
        <v>0</v>
      </c>
      <c r="AG97" s="78">
        <v>0</v>
      </c>
      <c r="AH97" s="78">
        <v>0</v>
      </c>
      <c r="AI97" s="78">
        <v>0</v>
      </c>
      <c r="AJ97" s="78">
        <v>0</v>
      </c>
      <c r="AK97" s="78">
        <v>0</v>
      </c>
      <c r="AL97" s="78">
        <v>0</v>
      </c>
      <c r="AM97" s="78">
        <v>0</v>
      </c>
      <c r="AN97" s="78">
        <v>0</v>
      </c>
      <c r="AO97" s="78">
        <v>0</v>
      </c>
      <c r="AP97" s="78">
        <v>0</v>
      </c>
      <c r="AQ97" s="78">
        <v>0</v>
      </c>
      <c r="AR97" s="78">
        <v>0</v>
      </c>
      <c r="AS97" s="78">
        <v>0</v>
      </c>
      <c r="AT97" s="78">
        <v>0</v>
      </c>
      <c r="AU97" s="78" t="s">
        <v>105</v>
      </c>
      <c r="AV97" s="78">
        <v>0</v>
      </c>
    </row>
    <row r="98" spans="1:51">
      <c r="A98" s="1" t="s">
        <v>48</v>
      </c>
      <c r="B98" s="5" t="s">
        <v>82</v>
      </c>
      <c r="C98" s="5" t="s">
        <v>82</v>
      </c>
      <c r="D98" s="5" t="s">
        <v>393</v>
      </c>
      <c r="E98" s="3" t="s">
        <v>50</v>
      </c>
      <c r="F98" s="3" t="s">
        <v>51</v>
      </c>
      <c r="G98" s="5" t="s">
        <v>399</v>
      </c>
      <c r="H98" s="6">
        <v>5541778</v>
      </c>
      <c r="I98" s="2" t="s">
        <v>86</v>
      </c>
      <c r="J98" s="82" t="s">
        <v>87</v>
      </c>
      <c r="K98" s="7">
        <v>46253</v>
      </c>
      <c r="L98" s="7" t="s">
        <v>55</v>
      </c>
      <c r="M98" s="3"/>
      <c r="N98" s="3" t="s">
        <v>67</v>
      </c>
      <c r="O98" s="112">
        <v>46336</v>
      </c>
      <c r="P98" s="112">
        <v>46990</v>
      </c>
      <c r="Q98" s="112" t="s">
        <v>58</v>
      </c>
      <c r="R98" s="3"/>
      <c r="S98" s="3"/>
      <c r="T98" s="3"/>
      <c r="U98" s="3"/>
      <c r="V98" s="130"/>
      <c r="W98" s="3"/>
      <c r="X98" s="3"/>
      <c r="Y98" s="3"/>
      <c r="Z98" s="114" t="s">
        <v>396</v>
      </c>
      <c r="AA98" s="78">
        <v>0</v>
      </c>
      <c r="AB98" s="78">
        <v>0</v>
      </c>
      <c r="AC98" s="78">
        <v>0</v>
      </c>
      <c r="AD98" s="78">
        <v>0</v>
      </c>
      <c r="AE98" s="78">
        <v>0</v>
      </c>
      <c r="AF98" s="78">
        <v>0</v>
      </c>
      <c r="AG98" s="78">
        <v>0</v>
      </c>
      <c r="AH98" s="78">
        <v>0</v>
      </c>
      <c r="AI98" s="78">
        <v>0</v>
      </c>
      <c r="AJ98" s="78">
        <v>0</v>
      </c>
      <c r="AK98" s="78">
        <v>0</v>
      </c>
      <c r="AL98" s="78">
        <v>0</v>
      </c>
      <c r="AM98" s="78">
        <v>0</v>
      </c>
      <c r="AN98" s="78">
        <v>0</v>
      </c>
      <c r="AO98" s="78">
        <v>0</v>
      </c>
      <c r="AP98" s="78">
        <v>0</v>
      </c>
      <c r="AQ98" s="78">
        <v>0</v>
      </c>
      <c r="AR98" s="78">
        <v>0</v>
      </c>
      <c r="AS98" s="78">
        <v>0</v>
      </c>
      <c r="AT98" s="78">
        <v>82048.28</v>
      </c>
      <c r="AU98" s="160">
        <v>8694063.1400000006</v>
      </c>
      <c r="AV98" s="160">
        <v>9114106.9849999994</v>
      </c>
    </row>
    <row r="99" spans="1:51" ht="15">
      <c r="A99" s="1" t="s">
        <v>73</v>
      </c>
      <c r="B99" s="5" t="s">
        <v>400</v>
      </c>
      <c r="C99" s="5" t="s">
        <v>400</v>
      </c>
      <c r="D99" s="5" t="s">
        <v>400</v>
      </c>
      <c r="E99" s="3" t="s">
        <v>50</v>
      </c>
      <c r="F99" s="3" t="s">
        <v>51</v>
      </c>
      <c r="G99" s="5" t="s">
        <v>401</v>
      </c>
      <c r="H99" s="6">
        <v>2912475</v>
      </c>
      <c r="I99" s="2" t="s">
        <v>53</v>
      </c>
      <c r="J99" s="2" t="s">
        <v>87</v>
      </c>
      <c r="K99" s="7"/>
      <c r="L99" s="7" t="s">
        <v>226</v>
      </c>
      <c r="M99" s="3" t="s">
        <v>56</v>
      </c>
      <c r="N99" s="3" t="s">
        <v>57</v>
      </c>
      <c r="O99" s="112">
        <v>46496</v>
      </c>
      <c r="P99" s="112">
        <v>46983</v>
      </c>
      <c r="Q99" s="112" t="s">
        <v>118</v>
      </c>
      <c r="R99" s="3" t="str">
        <f ca="1">IF(M99="Arrojado","IPCA+6%",IF(M99="Arrojado Renda Construção","IPCA+6%",IF(M99="Arrojado Renda Usufruto","IPCA+6%",IF(M99="Moderado","IPCA+5%",IF(M99="Moderado Renda Construção","IPCA+5%",IF(M99="Moderado Renda Usufruto","IPCA+5%",IF(M99="Conservador","IPCA+4%",IF(M99="Conservador Renda Construção","IPCA+4%",IF(M99="Conservador Renda Usufruto","IPCA+4%",IF(M99="Ultraconservador","IPCA+4%",""))))))))))</f>
        <v>IPCA+5%</v>
      </c>
      <c r="S99" s="3" t="s">
        <v>59</v>
      </c>
      <c r="T99" s="3"/>
      <c r="U99" s="3"/>
      <c r="V99" s="130"/>
      <c r="W99" s="3"/>
      <c r="X99" s="3"/>
      <c r="Y99" s="3"/>
      <c r="Z99" s="114" t="s">
        <v>402</v>
      </c>
      <c r="AA99" s="78">
        <v>872641.94</v>
      </c>
      <c r="AB99" s="78">
        <v>877445.92</v>
      </c>
      <c r="AC99" s="78">
        <v>885331.73</v>
      </c>
      <c r="AD99" s="78">
        <v>941302.75</v>
      </c>
      <c r="AE99" s="78">
        <v>961365.85</v>
      </c>
      <c r="AF99" s="78">
        <v>1106904.6299999999</v>
      </c>
      <c r="AG99" s="78">
        <v>1137857.43</v>
      </c>
      <c r="AH99" s="78">
        <v>1175741.3999999999</v>
      </c>
      <c r="AI99" s="78">
        <v>1221944.76</v>
      </c>
      <c r="AJ99" s="78">
        <v>1246185.47</v>
      </c>
      <c r="AK99" s="78">
        <v>1272304.1299999999</v>
      </c>
      <c r="AL99" s="78">
        <v>1318876.26</v>
      </c>
      <c r="AM99" s="78">
        <v>1365187.72</v>
      </c>
      <c r="AN99" s="111">
        <v>1376606.17</v>
      </c>
      <c r="AO99" s="78">
        <v>1385723.3900000001</v>
      </c>
      <c r="AP99" s="78">
        <v>1396740.5999999999</v>
      </c>
      <c r="AQ99" s="78">
        <v>1424915.8</v>
      </c>
      <c r="AR99" s="78">
        <v>1430619.77</v>
      </c>
      <c r="AS99" s="78">
        <v>1444406.81</v>
      </c>
      <c r="AT99" s="122">
        <v>1451360.91</v>
      </c>
      <c r="AU99" s="122">
        <v>1462146.65</v>
      </c>
      <c r="AV99" s="122">
        <v>1497311.74</v>
      </c>
      <c r="AW99" s="152"/>
      <c r="AX99" s="152"/>
      <c r="AY99" s="152"/>
    </row>
    <row r="100" spans="1:51" ht="15">
      <c r="A100" s="1" t="s">
        <v>73</v>
      </c>
      <c r="B100" s="5" t="s">
        <v>403</v>
      </c>
      <c r="C100" s="5" t="s">
        <v>403</v>
      </c>
      <c r="D100" s="5" t="s">
        <v>404</v>
      </c>
      <c r="E100" s="3" t="s">
        <v>50</v>
      </c>
      <c r="F100" s="3" t="s">
        <v>51</v>
      </c>
      <c r="G100" s="5" t="s">
        <v>405</v>
      </c>
      <c r="H100" s="6">
        <v>1959557</v>
      </c>
      <c r="I100" s="2" t="s">
        <v>86</v>
      </c>
      <c r="J100" s="2" t="s">
        <v>87</v>
      </c>
      <c r="K100" s="7"/>
      <c r="L100" s="7" t="s">
        <v>226</v>
      </c>
      <c r="M100" s="3" t="s">
        <v>201</v>
      </c>
      <c r="N100" s="3" t="s">
        <v>57</v>
      </c>
      <c r="O100" s="112">
        <v>46535</v>
      </c>
      <c r="P100" s="112">
        <v>47606</v>
      </c>
      <c r="Q100" s="112" t="s">
        <v>118</v>
      </c>
      <c r="R100" s="3" t="str">
        <f ca="1">IF(M100="Arrojado","IPCA+6%",IF(M100="Arrojado Renda Construção","IPCA+6%",IF(M100="Arrojado Renda Usufruto","IPCA+6%",IF(M100="Moderado","IPCA+5%",IF(M100="Moderado Renda Construção","IPCA+5%",IF(M100="Moderado Renda Usufruto","IPCA+5%",IF(M100="Conservador","IPCA+4%",IF(M100="Conservador Renda Construção","IPCA+4%",IF(M100="Conservador Renda Usufruto","IPCA+4%",IF(M100="Ultraconservador","IPCA+4%",""))))))))))</f>
        <v>IPCA+6%</v>
      </c>
      <c r="S100" s="3" t="s">
        <v>69</v>
      </c>
      <c r="T100" s="3" t="s">
        <v>69</v>
      </c>
      <c r="U100" s="3" t="s">
        <v>59</v>
      </c>
      <c r="V100" s="130" t="s">
        <v>406</v>
      </c>
      <c r="W100" s="3" t="s">
        <v>59</v>
      </c>
      <c r="X100" s="3" t="s">
        <v>69</v>
      </c>
      <c r="Y100" s="3" t="s">
        <v>407</v>
      </c>
      <c r="Z100" s="114" t="s">
        <v>408</v>
      </c>
      <c r="AA100" s="78">
        <v>3465084.07</v>
      </c>
      <c r="AB100" s="78">
        <v>3487622.22</v>
      </c>
      <c r="AC100" s="78">
        <v>3572893.76</v>
      </c>
      <c r="AD100" s="78">
        <v>3484057.14</v>
      </c>
      <c r="AE100" s="78">
        <v>3495785.02</v>
      </c>
      <c r="AF100" s="78">
        <v>3480882.77</v>
      </c>
      <c r="AG100" s="78">
        <v>3313261.5</v>
      </c>
      <c r="AH100" s="78">
        <v>3292501.05</v>
      </c>
      <c r="AI100" s="78">
        <v>3327440.01</v>
      </c>
      <c r="AJ100" s="78">
        <v>3357051.32</v>
      </c>
      <c r="AK100" s="78">
        <v>3385577.46</v>
      </c>
      <c r="AL100" s="78">
        <v>3618078.84</v>
      </c>
      <c r="AM100" s="78">
        <v>3284192.66</v>
      </c>
      <c r="AN100" s="111">
        <v>3209737.65</v>
      </c>
      <c r="AO100" s="78">
        <v>3315720.100000001</v>
      </c>
      <c r="AP100" s="78">
        <v>3328358.11</v>
      </c>
      <c r="AQ100" s="78">
        <v>3347309.18</v>
      </c>
      <c r="AR100" s="78">
        <v>3374295.4899999998</v>
      </c>
      <c r="AS100" s="78">
        <v>3550255.5199999991</v>
      </c>
      <c r="AT100" s="122">
        <v>3346629.29</v>
      </c>
      <c r="AU100" s="122">
        <v>3584887.71</v>
      </c>
      <c r="AV100" s="122">
        <v>3660437.63</v>
      </c>
      <c r="AW100" s="152"/>
      <c r="AX100" s="152"/>
      <c r="AY100" s="152"/>
    </row>
    <row r="101" spans="1:51">
      <c r="A101" s="1" t="s">
        <v>106</v>
      </c>
      <c r="B101" s="5" t="s">
        <v>403</v>
      </c>
      <c r="C101" s="5" t="s">
        <v>403</v>
      </c>
      <c r="D101" s="5" t="s">
        <v>404</v>
      </c>
      <c r="E101" s="3" t="s">
        <v>50</v>
      </c>
      <c r="F101" s="3" t="s">
        <v>51</v>
      </c>
      <c r="G101" s="5" t="s">
        <v>409</v>
      </c>
      <c r="H101" s="6">
        <v>78224399</v>
      </c>
      <c r="I101" s="2" t="s">
        <v>53</v>
      </c>
      <c r="J101" s="2" t="s">
        <v>87</v>
      </c>
      <c r="K101" s="7"/>
      <c r="L101" s="7" t="s">
        <v>55</v>
      </c>
      <c r="M101" s="3" t="s">
        <v>201</v>
      </c>
      <c r="N101" s="3" t="s">
        <v>57</v>
      </c>
      <c r="O101" s="112"/>
      <c r="P101" s="112"/>
      <c r="Q101" s="112" t="s">
        <v>118</v>
      </c>
      <c r="R101" s="3" t="str">
        <f ca="1">IF(M101="Arrojado","IPCA+6%",IF(M101="Arrojado Renda Construção","IPCA+6%",IF(M101="Arrojado Renda Usufruto","IPCA+6%",IF(M101="Moderado","IPCA+5%",IF(M101="Moderado Renda Construção","IPCA+5%",IF(M101="Moderado Renda Usufruto","IPCA+5%",IF(M101="Conservador","IPCA+4%",IF(M101="Conservador Renda Construção","IPCA+4%",IF(M101="Conservador Renda Usufruto","IPCA+4%",IF(M101="Ultraconservador","IPCA+4%",""))))))))))</f>
        <v>IPCA+6%</v>
      </c>
      <c r="S101" s="3" t="s">
        <v>69</v>
      </c>
      <c r="T101" s="3" t="s">
        <v>69</v>
      </c>
      <c r="U101" s="3" t="s">
        <v>59</v>
      </c>
      <c r="V101" s="130" t="s">
        <v>406</v>
      </c>
      <c r="W101" s="3" t="s">
        <v>59</v>
      </c>
      <c r="X101" s="3" t="s">
        <v>69</v>
      </c>
      <c r="Y101" s="3" t="s">
        <v>407</v>
      </c>
      <c r="Z101" s="114" t="s">
        <v>410</v>
      </c>
      <c r="AA101" s="77">
        <v>0</v>
      </c>
      <c r="AB101" s="77">
        <v>0</v>
      </c>
      <c r="AC101" s="77">
        <v>0</v>
      </c>
      <c r="AD101" s="77">
        <v>58207.61</v>
      </c>
      <c r="AE101" s="77">
        <v>59644.75</v>
      </c>
      <c r="AF101" s="77">
        <v>61397.65</v>
      </c>
      <c r="AG101" s="77">
        <v>97186.76</v>
      </c>
      <c r="AH101" s="77">
        <v>101481.95</v>
      </c>
      <c r="AI101" s="77">
        <v>105120.17</v>
      </c>
      <c r="AJ101" s="77">
        <v>104197.98</v>
      </c>
      <c r="AK101" s="77">
        <v>104785.28</v>
      </c>
      <c r="AL101" s="77">
        <v>139435.95000000001</v>
      </c>
      <c r="AM101" s="77">
        <v>180173.91</v>
      </c>
      <c r="AN101" s="77">
        <v>207290.55</v>
      </c>
      <c r="AO101" s="77">
        <v>196693.93</v>
      </c>
      <c r="AP101" s="77">
        <v>204947.09</v>
      </c>
      <c r="AQ101" s="80">
        <v>218513.25</v>
      </c>
      <c r="AR101" s="80">
        <v>238034.14</v>
      </c>
      <c r="AS101" s="80">
        <v>236392.44</v>
      </c>
      <c r="AT101" s="132">
        <v>238677.31</v>
      </c>
      <c r="AU101" s="132">
        <v>237522.96</v>
      </c>
      <c r="AV101" s="132">
        <v>239956.03</v>
      </c>
    </row>
    <row r="102" spans="1:51">
      <c r="A102" s="1" t="s">
        <v>48</v>
      </c>
      <c r="B102" s="5" t="s">
        <v>403</v>
      </c>
      <c r="C102" s="5" t="s">
        <v>403</v>
      </c>
      <c r="D102" s="5" t="s">
        <v>404</v>
      </c>
      <c r="E102" s="3" t="s">
        <v>50</v>
      </c>
      <c r="F102" s="3" t="s">
        <v>51</v>
      </c>
      <c r="G102" s="5" t="s">
        <v>411</v>
      </c>
      <c r="H102" s="6">
        <v>3997766</v>
      </c>
      <c r="I102" s="2" t="s">
        <v>53</v>
      </c>
      <c r="J102" s="2" t="s">
        <v>87</v>
      </c>
      <c r="K102" s="7">
        <v>45614</v>
      </c>
      <c r="L102" s="7" t="s">
        <v>55</v>
      </c>
      <c r="M102" s="3" t="s">
        <v>201</v>
      </c>
      <c r="N102" s="3" t="s">
        <v>57</v>
      </c>
      <c r="O102" s="112">
        <v>46549</v>
      </c>
      <c r="P102" s="112">
        <v>46460</v>
      </c>
      <c r="Q102" s="112" t="s">
        <v>118</v>
      </c>
      <c r="R102" s="3" t="str">
        <f ca="1">IF(M102="Arrojado","IPCA+6%",IF(M102="Arrojado Renda Construção","IPCA+6%",IF(M102="Arrojado Renda Usufruto","IPCA+6%",IF(M102="Moderado","IPCA+5%",IF(M102="Moderado Renda Construção","IPCA+5%",IF(M102="Moderado Renda Usufruto","IPCA+5%",IF(M102="Conservador","IPCA+4%",IF(M102="Conservador Renda Construção","IPCA+4%",IF(M102="Conservador Renda Usufruto","IPCA+4%",IF(M102="Ultraconservador","IPCA+4%",""))))))))))</f>
        <v>IPCA+6%</v>
      </c>
      <c r="S102" s="3" t="s">
        <v>69</v>
      </c>
      <c r="T102" s="3" t="s">
        <v>69</v>
      </c>
      <c r="U102" s="3" t="s">
        <v>59</v>
      </c>
      <c r="V102" s="130" t="s">
        <v>406</v>
      </c>
      <c r="W102" s="3" t="s">
        <v>59</v>
      </c>
      <c r="X102" s="3" t="s">
        <v>69</v>
      </c>
      <c r="Y102" s="3" t="s">
        <v>407</v>
      </c>
      <c r="Z102" s="114" t="s">
        <v>412</v>
      </c>
      <c r="AA102" s="78">
        <v>521910.37</v>
      </c>
      <c r="AB102" s="78">
        <v>497063.72</v>
      </c>
      <c r="AC102" s="78">
        <v>522565.35</v>
      </c>
      <c r="AD102" s="78">
        <v>559302.18999999994</v>
      </c>
      <c r="AE102" s="78">
        <v>595359.5</v>
      </c>
      <c r="AF102" s="78">
        <v>655378.02</v>
      </c>
      <c r="AG102" s="78">
        <v>622289.24</v>
      </c>
      <c r="AH102" s="78">
        <v>644684.75</v>
      </c>
      <c r="AI102" s="78">
        <v>653651.07999999996</v>
      </c>
      <c r="AJ102" s="78">
        <v>664177.43000000005</v>
      </c>
      <c r="AK102" s="78">
        <v>703186.23</v>
      </c>
      <c r="AL102" s="78">
        <v>823126.93</v>
      </c>
      <c r="AM102" s="78">
        <v>884098.5</v>
      </c>
      <c r="AN102" s="111">
        <v>894637.73</v>
      </c>
      <c r="AO102" s="78">
        <v>870403.8</v>
      </c>
      <c r="AP102" s="78">
        <v>885349.47</v>
      </c>
      <c r="AQ102" s="78">
        <v>828044.34</v>
      </c>
      <c r="AR102" s="79">
        <v>827770.79</v>
      </c>
      <c r="AS102" s="79">
        <v>831479.4</v>
      </c>
      <c r="AT102" s="122">
        <v>908210.18</v>
      </c>
      <c r="AU102" s="122">
        <v>948065.17</v>
      </c>
      <c r="AV102" s="122">
        <v>1036638.71</v>
      </c>
    </row>
    <row r="103" spans="1:51" ht="15">
      <c r="A103" s="1" t="s">
        <v>48</v>
      </c>
      <c r="B103" s="5" t="s">
        <v>413</v>
      </c>
      <c r="C103" s="5" t="s">
        <v>413</v>
      </c>
      <c r="D103" s="5" t="s">
        <v>414</v>
      </c>
      <c r="E103" s="3" t="s">
        <v>100</v>
      </c>
      <c r="F103" s="3" t="s">
        <v>51</v>
      </c>
      <c r="G103" s="5" t="s">
        <v>415</v>
      </c>
      <c r="H103" s="6">
        <v>19597273</v>
      </c>
      <c r="I103" s="2" t="s">
        <v>86</v>
      </c>
      <c r="J103" s="82" t="s">
        <v>54</v>
      </c>
      <c r="K103" s="7">
        <v>46163</v>
      </c>
      <c r="L103" s="7" t="s">
        <v>55</v>
      </c>
      <c r="M103" s="3"/>
      <c r="N103" s="117" t="s">
        <v>67</v>
      </c>
      <c r="O103" s="112">
        <v>46533</v>
      </c>
      <c r="P103" s="112">
        <v>46529</v>
      </c>
      <c r="Q103" s="112" t="s">
        <v>118</v>
      </c>
      <c r="R103" s="3"/>
      <c r="S103" s="3"/>
      <c r="T103" s="3"/>
      <c r="U103" s="3"/>
      <c r="V103" s="130"/>
      <c r="W103" s="3"/>
      <c r="X103" s="3"/>
      <c r="Y103" s="3"/>
      <c r="Z103" s="114"/>
      <c r="AA103" s="78">
        <v>0</v>
      </c>
      <c r="AB103" s="78">
        <v>0</v>
      </c>
      <c r="AC103" s="78">
        <v>0</v>
      </c>
      <c r="AD103" s="78">
        <v>0</v>
      </c>
      <c r="AE103" s="78">
        <v>0</v>
      </c>
      <c r="AF103" s="78">
        <v>0</v>
      </c>
      <c r="AG103" s="78">
        <v>0</v>
      </c>
      <c r="AH103" s="78">
        <v>0</v>
      </c>
      <c r="AI103" s="78">
        <v>0</v>
      </c>
      <c r="AJ103" s="78">
        <v>0</v>
      </c>
      <c r="AK103" s="78">
        <v>0</v>
      </c>
      <c r="AL103" s="78">
        <v>0</v>
      </c>
      <c r="AM103" s="78">
        <v>0</v>
      </c>
      <c r="AN103" s="78">
        <v>0</v>
      </c>
      <c r="AO103" s="78">
        <v>0</v>
      </c>
      <c r="AP103" s="78">
        <v>0</v>
      </c>
      <c r="AQ103" s="78">
        <v>0</v>
      </c>
      <c r="AR103" s="78">
        <v>0</v>
      </c>
      <c r="AS103" s="78">
        <v>0</v>
      </c>
      <c r="AT103" s="78">
        <v>5560.87</v>
      </c>
      <c r="AU103" s="160">
        <v>5583.29</v>
      </c>
      <c r="AV103" s="160">
        <v>5604.17</v>
      </c>
      <c r="AW103" s="152"/>
      <c r="AX103" s="152"/>
      <c r="AY103" s="152"/>
    </row>
    <row r="104" spans="1:51">
      <c r="A104" s="1" t="s">
        <v>106</v>
      </c>
      <c r="B104" s="5" t="s">
        <v>416</v>
      </c>
      <c r="C104" s="5" t="s">
        <v>416</v>
      </c>
      <c r="D104" s="5" t="s">
        <v>416</v>
      </c>
      <c r="E104" s="3" t="s">
        <v>50</v>
      </c>
      <c r="F104" s="3" t="s">
        <v>51</v>
      </c>
      <c r="G104" s="5" t="s">
        <v>417</v>
      </c>
      <c r="H104" s="6">
        <v>61160053</v>
      </c>
      <c r="I104" s="2" t="s">
        <v>86</v>
      </c>
      <c r="J104" s="2" t="s">
        <v>87</v>
      </c>
      <c r="K104" s="7"/>
      <c r="L104" s="7" t="s">
        <v>55</v>
      </c>
      <c r="M104" s="3" t="s">
        <v>102</v>
      </c>
      <c r="N104" s="3" t="s">
        <v>67</v>
      </c>
      <c r="O104" s="112"/>
      <c r="P104" s="112"/>
      <c r="Q104" s="112" t="s">
        <v>58</v>
      </c>
      <c r="R104" s="3" t="str">
        <f ca="1">IF(M104="Arrojado","IPCA+6%",IF(M104="Arrojado Renda Construção","IPCA+6%",IF(M104="Arrojado Renda Usufruto","IPCA+6%",IF(M104="Moderado","IPCA+5%",IF(M104="Moderado Renda Construção","IPCA+5%",IF(M104="Moderado Renda Usufruto","IPCA+5%",IF(M104="Conservador","IPCA+4%",IF(M104="Conservador Renda Construção","IPCA+4%",IF(M104="Conservador Renda Usufruto","IPCA+4%",IF(M104="Ultraconservador","IPCA+4%",""))))))))))</f>
        <v>IPCA+4%</v>
      </c>
      <c r="S104" s="3" t="s">
        <v>59</v>
      </c>
      <c r="T104" s="3" t="s">
        <v>59</v>
      </c>
      <c r="U104" s="3" t="s">
        <v>59</v>
      </c>
      <c r="V104" s="130" t="s">
        <v>418</v>
      </c>
      <c r="W104" s="3" t="s">
        <v>59</v>
      </c>
      <c r="X104" s="3" t="s">
        <v>59</v>
      </c>
      <c r="Y104" s="3"/>
      <c r="Z104" s="114" t="s">
        <v>419</v>
      </c>
      <c r="AA104" s="77">
        <v>0</v>
      </c>
      <c r="AB104" s="77">
        <v>0</v>
      </c>
      <c r="AC104" s="77">
        <v>0</v>
      </c>
      <c r="AD104" s="77">
        <v>0</v>
      </c>
      <c r="AE104" s="77">
        <v>0</v>
      </c>
      <c r="AF104" s="77">
        <v>0</v>
      </c>
      <c r="AG104" s="77">
        <v>0</v>
      </c>
      <c r="AH104" s="77">
        <v>0</v>
      </c>
      <c r="AI104" s="77">
        <v>0</v>
      </c>
      <c r="AJ104" s="77">
        <v>0</v>
      </c>
      <c r="AK104" s="77">
        <v>0</v>
      </c>
      <c r="AL104" s="77">
        <v>0</v>
      </c>
      <c r="AM104" s="77">
        <v>0</v>
      </c>
      <c r="AN104" s="77" t="s">
        <v>185</v>
      </c>
      <c r="AO104" s="77">
        <v>0</v>
      </c>
      <c r="AP104" s="77">
        <v>0</v>
      </c>
      <c r="AQ104" s="80">
        <v>0</v>
      </c>
      <c r="AR104" s="80">
        <v>0</v>
      </c>
      <c r="AS104" s="80">
        <v>0</v>
      </c>
      <c r="AT104" s="132">
        <v>0</v>
      </c>
      <c r="AU104" s="132">
        <v>0</v>
      </c>
      <c r="AV104" s="132">
        <v>0</v>
      </c>
    </row>
    <row r="105" spans="1:51">
      <c r="A105" s="1" t="s">
        <v>48</v>
      </c>
      <c r="B105" s="5" t="s">
        <v>416</v>
      </c>
      <c r="C105" s="5" t="s">
        <v>416</v>
      </c>
      <c r="D105" s="5" t="s">
        <v>416</v>
      </c>
      <c r="E105" s="3" t="s">
        <v>50</v>
      </c>
      <c r="F105" s="3" t="s">
        <v>51</v>
      </c>
      <c r="G105" s="5" t="s">
        <v>420</v>
      </c>
      <c r="H105" s="6">
        <v>18850870</v>
      </c>
      <c r="I105" s="2" t="s">
        <v>86</v>
      </c>
      <c r="J105" s="2" t="s">
        <v>87</v>
      </c>
      <c r="K105" s="7">
        <v>45978</v>
      </c>
      <c r="L105" s="7" t="s">
        <v>55</v>
      </c>
      <c r="M105" s="3" t="s">
        <v>102</v>
      </c>
      <c r="N105" s="3" t="s">
        <v>67</v>
      </c>
      <c r="O105" s="112">
        <v>46740</v>
      </c>
      <c r="P105" s="112">
        <v>46701</v>
      </c>
      <c r="Q105" s="112" t="s">
        <v>58</v>
      </c>
      <c r="R105" s="3" t="str">
        <f ca="1">IF(M105="Arrojado","IPCA+6%",IF(M105="Arrojado Renda Construção","IPCA+6%",IF(M105="Arrojado Renda Usufruto","IPCA+6%",IF(M105="Moderado","IPCA+5%",IF(M105="Moderado Renda Construção","IPCA+5%",IF(M105="Moderado Renda Usufruto","IPCA+5%",IF(M105="Conservador","IPCA+4%",IF(M105="Conservador Renda Construção","IPCA+4%",IF(M105="Conservador Renda Usufruto","IPCA+4%",IF(M105="Ultraconservador","IPCA+4%",""))))))))))</f>
        <v>IPCA+4%</v>
      </c>
      <c r="S105" s="3" t="s">
        <v>59</v>
      </c>
      <c r="T105" s="3" t="s">
        <v>59</v>
      </c>
      <c r="U105" s="3" t="s">
        <v>59</v>
      </c>
      <c r="V105" s="130" t="s">
        <v>418</v>
      </c>
      <c r="W105" s="3" t="s">
        <v>59</v>
      </c>
      <c r="X105" s="3" t="s">
        <v>59</v>
      </c>
      <c r="Y105" s="3"/>
      <c r="Z105" s="114" t="s">
        <v>419</v>
      </c>
      <c r="AA105" s="78">
        <v>0</v>
      </c>
      <c r="AB105" s="78">
        <v>0</v>
      </c>
      <c r="AC105" s="78">
        <v>0</v>
      </c>
      <c r="AD105" s="78">
        <v>0</v>
      </c>
      <c r="AE105" s="78">
        <v>0</v>
      </c>
      <c r="AF105" s="78">
        <v>0</v>
      </c>
      <c r="AG105" s="78">
        <v>0</v>
      </c>
      <c r="AH105" s="78">
        <v>0</v>
      </c>
      <c r="AI105" s="78">
        <v>0</v>
      </c>
      <c r="AJ105" s="78">
        <v>0</v>
      </c>
      <c r="AK105" s="78">
        <v>0</v>
      </c>
      <c r="AL105" s="78">
        <v>1925756.19</v>
      </c>
      <c r="AM105" s="78">
        <v>2791117.72</v>
      </c>
      <c r="AN105" s="111">
        <v>2803374.83</v>
      </c>
      <c r="AO105" s="78">
        <v>3129296.52</v>
      </c>
      <c r="AP105" s="78">
        <v>3102483.85</v>
      </c>
      <c r="AQ105" s="78">
        <v>3528336.8925510002</v>
      </c>
      <c r="AR105" s="79">
        <v>3556710.16</v>
      </c>
      <c r="AS105" s="79">
        <v>3454747</v>
      </c>
      <c r="AT105" s="122">
        <v>3346454.1009999998</v>
      </c>
      <c r="AU105" s="122">
        <v>3206590.95</v>
      </c>
      <c r="AV105" s="122">
        <v>3180948.0750000002</v>
      </c>
    </row>
    <row r="106" spans="1:51" ht="15">
      <c r="A106" s="1" t="s">
        <v>106</v>
      </c>
      <c r="B106" s="5" t="s">
        <v>421</v>
      </c>
      <c r="C106" s="5" t="s">
        <v>421</v>
      </c>
      <c r="D106" s="5" t="s">
        <v>422</v>
      </c>
      <c r="E106" s="3" t="s">
        <v>100</v>
      </c>
      <c r="F106" s="3" t="s">
        <v>51</v>
      </c>
      <c r="G106" s="5" t="s">
        <v>423</v>
      </c>
      <c r="H106" s="6">
        <v>58792416</v>
      </c>
      <c r="I106" s="2" t="s">
        <v>117</v>
      </c>
      <c r="J106" s="2" t="s">
        <v>54</v>
      </c>
      <c r="K106" s="7"/>
      <c r="L106" s="7" t="s">
        <v>55</v>
      </c>
      <c r="M106" s="3" t="s">
        <v>102</v>
      </c>
      <c r="N106" s="3"/>
      <c r="O106" s="112"/>
      <c r="P106" s="112"/>
      <c r="Q106" s="112" t="s">
        <v>136</v>
      </c>
      <c r="R106" s="3" t="str">
        <f ca="1">IF(M106="Arrojado","IPCA+6%",IF(M106="Arrojado Renda Construção","IPCA+6%",IF(M106="Arrojado Renda Usufruto","IPCA+6%",IF(M106="Moderado","IPCA+5%",IF(M106="Moderado Renda Construção","IPCA+5%",IF(M106="Moderado Renda Usufruto","IPCA+5%",IF(M106="Conservador","IPCA+4%",IF(M106="Conservador Renda Construção","IPCA+4%",IF(M106="Conservador Renda Usufruto","IPCA+4%",IF(M106="Ultraconservador","IPCA+4%",""))))))))))</f>
        <v>IPCA+4%</v>
      </c>
      <c r="S106" s="3" t="s">
        <v>59</v>
      </c>
      <c r="T106" s="3" t="s">
        <v>59</v>
      </c>
      <c r="U106" s="3" t="s">
        <v>59</v>
      </c>
      <c r="V106" s="130" t="s">
        <v>424</v>
      </c>
      <c r="W106" s="3" t="s">
        <v>59</v>
      </c>
      <c r="X106" s="3" t="s">
        <v>59</v>
      </c>
      <c r="Y106" s="3" t="s">
        <v>71</v>
      </c>
      <c r="Z106" s="114" t="s">
        <v>425</v>
      </c>
      <c r="AA106" s="77">
        <v>0</v>
      </c>
      <c r="AB106" s="77">
        <v>0</v>
      </c>
      <c r="AC106" s="77">
        <v>0</v>
      </c>
      <c r="AD106" s="77">
        <v>0</v>
      </c>
      <c r="AE106" s="77">
        <v>0</v>
      </c>
      <c r="AF106" s="77">
        <v>0</v>
      </c>
      <c r="AG106" s="77">
        <v>0</v>
      </c>
      <c r="AH106" s="77">
        <v>0</v>
      </c>
      <c r="AI106" s="77">
        <v>0</v>
      </c>
      <c r="AJ106" s="77">
        <v>1000</v>
      </c>
      <c r="AK106" s="77">
        <v>73253.67</v>
      </c>
      <c r="AL106" s="77">
        <v>71922.33</v>
      </c>
      <c r="AM106" s="77">
        <v>72107.53</v>
      </c>
      <c r="AN106" s="77">
        <v>74662.740000000005</v>
      </c>
      <c r="AO106" s="77">
        <v>71167.58</v>
      </c>
      <c r="AP106" s="77">
        <v>71571.33</v>
      </c>
      <c r="AQ106" s="80">
        <v>91555.9</v>
      </c>
      <c r="AR106" s="80">
        <v>92293.97</v>
      </c>
      <c r="AS106" s="80">
        <v>88885.27</v>
      </c>
      <c r="AT106" s="132">
        <v>90170.34</v>
      </c>
      <c r="AU106" s="132">
        <v>85860.7</v>
      </c>
      <c r="AV106" s="132">
        <v>86272.38</v>
      </c>
      <c r="AW106" s="152"/>
      <c r="AX106" s="152"/>
      <c r="AY106" s="152"/>
    </row>
    <row r="107" spans="1:51" ht="15">
      <c r="A107" s="1" t="s">
        <v>106</v>
      </c>
      <c r="B107" s="5" t="s">
        <v>426</v>
      </c>
      <c r="C107" s="5" t="s">
        <v>312</v>
      </c>
      <c r="D107" s="5" t="s">
        <v>317</v>
      </c>
      <c r="E107" s="3" t="s">
        <v>100</v>
      </c>
      <c r="F107" s="3" t="s">
        <v>51</v>
      </c>
      <c r="G107" s="5" t="s">
        <v>427</v>
      </c>
      <c r="H107" s="6">
        <v>71802417</v>
      </c>
      <c r="I107" s="2" t="s">
        <v>78</v>
      </c>
      <c r="J107" s="2" t="s">
        <v>54</v>
      </c>
      <c r="K107" s="7"/>
      <c r="L107" s="7" t="s">
        <v>55</v>
      </c>
      <c r="M107" s="3" t="s">
        <v>201</v>
      </c>
      <c r="N107" s="3" t="s">
        <v>57</v>
      </c>
      <c r="O107" s="112"/>
      <c r="P107" s="112"/>
      <c r="Q107" s="112" t="s">
        <v>118</v>
      </c>
      <c r="R107" s="3" t="str">
        <f ca="1">IF(M107="Arrojado","IPCA+6%",IF(M107="Arrojado Renda Construção","IPCA+6%",IF(M107="Arrojado Renda Usufruto","IPCA+6%",IF(M107="Moderado","IPCA+5%",IF(M107="Moderado Renda Construção","IPCA+5%",IF(M107="Moderado Renda Usufruto","IPCA+5%",IF(M107="Conservador","IPCA+4%",IF(M107="Conservador Renda Construção","IPCA+4%",IF(M107="Conservador Renda Usufruto","IPCA+4%",IF(M107="Ultraconservador","IPCA+4%",""))))))))))</f>
        <v>IPCA+6%</v>
      </c>
      <c r="S107" s="3" t="s">
        <v>69</v>
      </c>
      <c r="T107" s="3" t="s">
        <v>69</v>
      </c>
      <c r="U107" s="3" t="s">
        <v>59</v>
      </c>
      <c r="V107" s="130" t="s">
        <v>428</v>
      </c>
      <c r="W107" s="3" t="s">
        <v>69</v>
      </c>
      <c r="X107" s="3" t="s">
        <v>69</v>
      </c>
      <c r="Y107" s="3" t="s">
        <v>203</v>
      </c>
      <c r="Z107" s="114" t="s">
        <v>429</v>
      </c>
      <c r="AA107" s="77">
        <v>415716.24</v>
      </c>
      <c r="AB107" s="77">
        <v>424791.8</v>
      </c>
      <c r="AC107" s="77">
        <v>419333.73</v>
      </c>
      <c r="AD107" s="77">
        <v>410085.91</v>
      </c>
      <c r="AE107" s="77">
        <v>416753.75</v>
      </c>
      <c r="AF107" s="77">
        <v>428375.2</v>
      </c>
      <c r="AG107" s="77">
        <v>431573.2</v>
      </c>
      <c r="AH107" s="77">
        <v>450045.53</v>
      </c>
      <c r="AI107" s="77">
        <v>459523.84000000003</v>
      </c>
      <c r="AJ107" s="77">
        <v>460389.32</v>
      </c>
      <c r="AK107" s="77">
        <v>469439.06</v>
      </c>
      <c r="AL107" s="77">
        <v>465950.12</v>
      </c>
      <c r="AM107" s="77">
        <v>482647.67</v>
      </c>
      <c r="AN107" s="77">
        <v>490426.65</v>
      </c>
      <c r="AO107" s="77">
        <v>466937.82</v>
      </c>
      <c r="AP107" s="77">
        <v>486760.85</v>
      </c>
      <c r="AQ107" s="80">
        <v>491210.53</v>
      </c>
      <c r="AR107" s="80">
        <v>491804.06</v>
      </c>
      <c r="AS107" s="80">
        <v>493036.27</v>
      </c>
      <c r="AT107" s="132">
        <v>496345.66</v>
      </c>
      <c r="AU107" s="132">
        <v>482724.42</v>
      </c>
      <c r="AV107" s="132">
        <v>492167.64</v>
      </c>
      <c r="AW107" s="152"/>
      <c r="AX107" s="152"/>
      <c r="AY107" s="152"/>
    </row>
    <row r="108" spans="1:51">
      <c r="A108" s="1" t="s">
        <v>106</v>
      </c>
      <c r="B108" s="5" t="s">
        <v>426</v>
      </c>
      <c r="C108" s="5" t="s">
        <v>312</v>
      </c>
      <c r="D108" s="5" t="s">
        <v>426</v>
      </c>
      <c r="E108" s="3" t="s">
        <v>50</v>
      </c>
      <c r="F108" s="3" t="s">
        <v>51</v>
      </c>
      <c r="G108" s="5" t="s">
        <v>430</v>
      </c>
      <c r="H108" s="6">
        <v>20082148</v>
      </c>
      <c r="I108" s="2" t="s">
        <v>78</v>
      </c>
      <c r="J108" s="2" t="s">
        <v>54</v>
      </c>
      <c r="K108" s="7"/>
      <c r="L108" s="7" t="s">
        <v>55</v>
      </c>
      <c r="M108" s="3" t="s">
        <v>201</v>
      </c>
      <c r="N108" s="3" t="s">
        <v>57</v>
      </c>
      <c r="O108" s="112"/>
      <c r="P108" s="112"/>
      <c r="Q108" s="112" t="s">
        <v>118</v>
      </c>
      <c r="R108" s="3" t="str">
        <f ca="1">IF(M108="Arrojado","IPCA+6%",IF(M108="Arrojado Renda Construção","IPCA+6%",IF(M108="Arrojado Renda Usufruto","IPCA+6%",IF(M108="Moderado","IPCA+5%",IF(M108="Moderado Renda Construção","IPCA+5%",IF(M108="Moderado Renda Usufruto","IPCA+5%",IF(M108="Conservador","IPCA+4%",IF(M108="Conservador Renda Construção","IPCA+4%",IF(M108="Conservador Renda Usufruto","IPCA+4%",IF(M108="Ultraconservador","IPCA+4%",""))))))))))</f>
        <v>IPCA+6%</v>
      </c>
      <c r="S108" s="3" t="s">
        <v>69</v>
      </c>
      <c r="T108" s="3" t="s">
        <v>69</v>
      </c>
      <c r="U108" s="3" t="s">
        <v>59</v>
      </c>
      <c r="V108" s="130" t="s">
        <v>431</v>
      </c>
      <c r="W108" s="3" t="s">
        <v>69</v>
      </c>
      <c r="X108" s="3" t="s">
        <v>69</v>
      </c>
      <c r="Y108" s="3" t="s">
        <v>203</v>
      </c>
      <c r="Z108" s="114" t="s">
        <v>429</v>
      </c>
      <c r="AA108" s="77">
        <v>131.28</v>
      </c>
      <c r="AB108" s="77">
        <v>131.28</v>
      </c>
      <c r="AC108" s="77">
        <v>131.28</v>
      </c>
      <c r="AD108" s="77">
        <v>131.28</v>
      </c>
      <c r="AE108" s="77">
        <v>131.28</v>
      </c>
      <c r="AF108" s="77">
        <v>131.28</v>
      </c>
      <c r="AG108" s="77">
        <v>131.28</v>
      </c>
      <c r="AH108" s="77">
        <v>131.28</v>
      </c>
      <c r="AI108" s="77">
        <v>131.28</v>
      </c>
      <c r="AJ108" s="77">
        <v>131.28</v>
      </c>
      <c r="AK108" s="77">
        <v>131.28</v>
      </c>
      <c r="AL108" s="77">
        <v>131.28</v>
      </c>
      <c r="AM108" s="77">
        <v>131.28</v>
      </c>
      <c r="AN108" s="77">
        <v>131.28</v>
      </c>
      <c r="AO108" s="77">
        <v>131.28</v>
      </c>
      <c r="AP108" s="77">
        <v>131.28</v>
      </c>
      <c r="AQ108" s="80">
        <v>131.28</v>
      </c>
      <c r="AR108" s="80">
        <v>131.28</v>
      </c>
      <c r="AS108" s="80">
        <v>131.28</v>
      </c>
      <c r="AT108" s="132">
        <v>131.28</v>
      </c>
      <c r="AU108" s="132">
        <v>131.28</v>
      </c>
      <c r="AV108" s="132">
        <v>131.28</v>
      </c>
    </row>
    <row r="109" spans="1:51">
      <c r="A109" s="1" t="s">
        <v>48</v>
      </c>
      <c r="B109" s="5" t="s">
        <v>426</v>
      </c>
      <c r="C109" s="5" t="s">
        <v>312</v>
      </c>
      <c r="D109" s="5" t="s">
        <v>426</v>
      </c>
      <c r="E109" s="3" t="s">
        <v>50</v>
      </c>
      <c r="F109" s="3" t="s">
        <v>51</v>
      </c>
      <c r="G109" s="5" t="s">
        <v>432</v>
      </c>
      <c r="H109" s="6">
        <v>292615</v>
      </c>
      <c r="I109" s="2" t="s">
        <v>78</v>
      </c>
      <c r="J109" s="2" t="s">
        <v>54</v>
      </c>
      <c r="K109" s="7">
        <v>45587</v>
      </c>
      <c r="L109" s="7" t="s">
        <v>55</v>
      </c>
      <c r="M109" s="3" t="s">
        <v>201</v>
      </c>
      <c r="N109" s="3" t="s">
        <v>57</v>
      </c>
      <c r="O109" s="112">
        <v>46676</v>
      </c>
      <c r="P109" s="112">
        <v>47259</v>
      </c>
      <c r="Q109" s="112" t="s">
        <v>118</v>
      </c>
      <c r="R109" s="3" t="str">
        <f ca="1">IF(M109="Arrojado","IPCA+6%",IF(M109="Arrojado Renda Construção","IPCA+6%",IF(M109="Arrojado Renda Usufruto","IPCA+6%",IF(M109="Moderado","IPCA+5%",IF(M109="Moderado Renda Construção","IPCA+5%",IF(M109="Moderado Renda Usufruto","IPCA+5%",IF(M109="Conservador","IPCA+4%",IF(M109="Conservador Renda Construção","IPCA+4%",IF(M109="Conservador Renda Usufruto","IPCA+4%",IF(M109="Ultraconservador","IPCA+4%",""))))))))))</f>
        <v>IPCA+6%</v>
      </c>
      <c r="S109" s="3" t="s">
        <v>69</v>
      </c>
      <c r="T109" s="3" t="s">
        <v>69</v>
      </c>
      <c r="U109" s="3" t="s">
        <v>59</v>
      </c>
      <c r="V109" s="130" t="s">
        <v>428</v>
      </c>
      <c r="W109" s="3" t="s">
        <v>69</v>
      </c>
      <c r="X109" s="3" t="s">
        <v>69</v>
      </c>
      <c r="Y109" s="3" t="s">
        <v>203</v>
      </c>
      <c r="Z109" s="114" t="s">
        <v>433</v>
      </c>
      <c r="AA109" s="78">
        <v>3962204.32</v>
      </c>
      <c r="AB109" s="78">
        <v>4056156.39</v>
      </c>
      <c r="AC109" s="78">
        <v>4081420.93</v>
      </c>
      <c r="AD109" s="78">
        <v>4123374.63</v>
      </c>
      <c r="AE109" s="78">
        <v>4184001.28</v>
      </c>
      <c r="AF109" s="78">
        <v>4121096.56</v>
      </c>
      <c r="AG109" s="78">
        <v>3922064.81</v>
      </c>
      <c r="AH109" s="78">
        <v>3932589.85</v>
      </c>
      <c r="AI109" s="78">
        <v>3748838.48</v>
      </c>
      <c r="AJ109" s="78">
        <v>3774011.72</v>
      </c>
      <c r="AK109" s="78">
        <v>3391272.2</v>
      </c>
      <c r="AL109" s="78">
        <v>3210901.05</v>
      </c>
      <c r="AM109" s="78">
        <v>3247574.74</v>
      </c>
      <c r="AN109" s="111">
        <v>3282878.78</v>
      </c>
      <c r="AO109" s="78">
        <v>3238583.49</v>
      </c>
      <c r="AP109" s="78">
        <v>3307606.27</v>
      </c>
      <c r="AQ109" s="78">
        <v>3346860.511318</v>
      </c>
      <c r="AR109" s="79">
        <v>3357087.81</v>
      </c>
      <c r="AS109" s="79">
        <v>3352127</v>
      </c>
      <c r="AT109" s="122">
        <v>3313000.5419999999</v>
      </c>
      <c r="AU109" s="122">
        <v>3313509.86</v>
      </c>
      <c r="AV109" s="122">
        <v>3363276.2059999998</v>
      </c>
    </row>
    <row r="110" spans="1:51" ht="15">
      <c r="A110" s="1" t="s">
        <v>48</v>
      </c>
      <c r="B110" s="5" t="s">
        <v>426</v>
      </c>
      <c r="C110" s="5" t="s">
        <v>312</v>
      </c>
      <c r="D110" s="5" t="s">
        <v>426</v>
      </c>
      <c r="E110" s="3" t="s">
        <v>50</v>
      </c>
      <c r="F110" s="3" t="s">
        <v>51</v>
      </c>
      <c r="G110" s="5" t="s">
        <v>432</v>
      </c>
      <c r="H110" s="6">
        <v>18818976</v>
      </c>
      <c r="I110" s="2" t="s">
        <v>78</v>
      </c>
      <c r="J110" s="2" t="s">
        <v>54</v>
      </c>
      <c r="K110" s="7">
        <v>46122</v>
      </c>
      <c r="L110" s="7" t="s">
        <v>55</v>
      </c>
      <c r="M110" s="3" t="s">
        <v>201</v>
      </c>
      <c r="N110" s="3" t="s">
        <v>57</v>
      </c>
      <c r="O110" s="112">
        <v>46676</v>
      </c>
      <c r="P110" s="112">
        <v>47259</v>
      </c>
      <c r="Q110" s="112" t="s">
        <v>118</v>
      </c>
      <c r="R110" s="3" t="str">
        <f ca="1">IF(M110="Arrojado","IPCA+6%",IF(M110="Arrojado Renda Construção","IPCA+6%",IF(M110="Arrojado Renda Usufruto","IPCA+6%",IF(M110="Moderado","IPCA+5%",IF(M110="Moderado Renda Construção","IPCA+5%",IF(M110="Moderado Renda Usufruto","IPCA+5%",IF(M110="Conservador","IPCA+4%",IF(M110="Conservador Renda Construção","IPCA+4%",IF(M110="Conservador Renda Usufruto","IPCA+4%",IF(M110="Ultraconservador","IPCA+4%",""))))))))))</f>
        <v>IPCA+6%</v>
      </c>
      <c r="S110" s="3" t="s">
        <v>69</v>
      </c>
      <c r="T110" s="3" t="s">
        <v>69</v>
      </c>
      <c r="U110" s="3" t="s">
        <v>59</v>
      </c>
      <c r="V110" s="130" t="s">
        <v>428</v>
      </c>
      <c r="W110" s="3" t="s">
        <v>69</v>
      </c>
      <c r="X110" s="3" t="s">
        <v>69</v>
      </c>
      <c r="Y110" s="3" t="s">
        <v>203</v>
      </c>
      <c r="Z110" s="114" t="s">
        <v>433</v>
      </c>
      <c r="AA110" s="78">
        <v>0</v>
      </c>
      <c r="AB110" s="78">
        <v>0</v>
      </c>
      <c r="AC110" s="78">
        <v>0</v>
      </c>
      <c r="AD110" s="78">
        <v>0</v>
      </c>
      <c r="AE110" s="78">
        <v>0</v>
      </c>
      <c r="AF110" s="78">
        <v>0</v>
      </c>
      <c r="AG110" s="78">
        <v>0</v>
      </c>
      <c r="AH110" s="78">
        <v>0</v>
      </c>
      <c r="AI110" s="78">
        <v>0</v>
      </c>
      <c r="AJ110" s="78">
        <v>0</v>
      </c>
      <c r="AK110" s="78">
        <v>0</v>
      </c>
      <c r="AL110" s="78">
        <v>52000</v>
      </c>
      <c r="AM110" s="78">
        <v>17202.71</v>
      </c>
      <c r="AN110" s="111">
        <v>1127622.6499999999</v>
      </c>
      <c r="AO110" s="78">
        <v>1069092.73</v>
      </c>
      <c r="AP110" s="78">
        <v>925821.74</v>
      </c>
      <c r="AQ110" s="78">
        <v>934441.37</v>
      </c>
      <c r="AR110" s="79">
        <v>934160.51</v>
      </c>
      <c r="AS110" s="79">
        <v>958544.5</v>
      </c>
      <c r="AT110" s="122">
        <v>968980.47999999998</v>
      </c>
      <c r="AU110" s="122">
        <v>976948.44</v>
      </c>
      <c r="AV110" s="122">
        <v>979479.48</v>
      </c>
      <c r="AW110" s="152"/>
      <c r="AX110" s="152"/>
      <c r="AY110" s="152"/>
    </row>
    <row r="111" spans="1:51">
      <c r="A111" s="1" t="s">
        <v>48</v>
      </c>
      <c r="B111" s="5" t="s">
        <v>434</v>
      </c>
      <c r="C111" s="5" t="s">
        <v>133</v>
      </c>
      <c r="D111" s="5" t="s">
        <v>434</v>
      </c>
      <c r="E111" s="3" t="s">
        <v>50</v>
      </c>
      <c r="F111" s="3" t="s">
        <v>51</v>
      </c>
      <c r="G111" s="5" t="s">
        <v>435</v>
      </c>
      <c r="H111" s="6">
        <v>11210659</v>
      </c>
      <c r="I111" s="2" t="s">
        <v>65</v>
      </c>
      <c r="J111" s="2" t="s">
        <v>54</v>
      </c>
      <c r="K111" s="7">
        <v>45895</v>
      </c>
      <c r="L111" s="7" t="s">
        <v>55</v>
      </c>
      <c r="M111" s="3" t="s">
        <v>243</v>
      </c>
      <c r="N111" s="3" t="s">
        <v>57</v>
      </c>
      <c r="O111" s="112">
        <v>47252</v>
      </c>
      <c r="P111" s="112">
        <v>47163</v>
      </c>
      <c r="Q111" s="112" t="s">
        <v>136</v>
      </c>
      <c r="R111" s="3" t="str">
        <f ca="1">IF(M111="Arrojado","IPCA+6%",IF(M111="Arrojado Renda Construção","IPCA+6%",IF(M111="Arrojado Renda Usufruto","IPCA+6%",IF(M111="Moderado","IPCA+5%",IF(M111="Moderado Renda Construção","IPCA+5%",IF(M111="Moderado Renda Usufruto","IPCA+5%",IF(M111="Conservador","IPCA+4%",IF(M111="Conservador Renda Construção","IPCA+4%",IF(M111="Conservador Renda Usufruto","IPCA+4%",IF(M111="Ultraconservador","IPCA+4%",""))))))))))</f>
        <v>IPCA+5%</v>
      </c>
      <c r="S111" s="3" t="s">
        <v>59</v>
      </c>
      <c r="T111" s="3" t="s">
        <v>59</v>
      </c>
      <c r="U111" s="3" t="s">
        <v>59</v>
      </c>
      <c r="V111" s="130" t="s">
        <v>436</v>
      </c>
      <c r="W111" s="3" t="s">
        <v>59</v>
      </c>
      <c r="X111" s="3" t="s">
        <v>59</v>
      </c>
      <c r="Y111" s="3" t="s">
        <v>71</v>
      </c>
      <c r="Z111" s="114" t="s">
        <v>437</v>
      </c>
      <c r="AA111" s="78">
        <v>3182367.53</v>
      </c>
      <c r="AB111" s="78">
        <v>3445329.04</v>
      </c>
      <c r="AC111" s="78">
        <v>3149569.95</v>
      </c>
      <c r="AD111" s="78">
        <v>3828432.37</v>
      </c>
      <c r="AE111" s="78">
        <v>2068165.13</v>
      </c>
      <c r="AF111" s="78">
        <v>1905748.35</v>
      </c>
      <c r="AG111" s="78">
        <v>1405046.03</v>
      </c>
      <c r="AH111" s="78">
        <v>1420336.96</v>
      </c>
      <c r="AI111" s="78">
        <v>1437635.96</v>
      </c>
      <c r="AJ111" s="78">
        <v>1450641.03</v>
      </c>
      <c r="AK111" s="78">
        <v>1465166.53</v>
      </c>
      <c r="AL111" s="78">
        <v>1487180.71</v>
      </c>
      <c r="AM111" s="78">
        <v>1501498.84</v>
      </c>
      <c r="AN111" s="111">
        <v>1514097.35</v>
      </c>
      <c r="AO111" s="78">
        <v>1490457.67</v>
      </c>
      <c r="AP111" s="78">
        <v>1508309.16</v>
      </c>
      <c r="AQ111" s="78">
        <v>2646105.7683605701</v>
      </c>
      <c r="AR111" s="79">
        <v>2619583.46</v>
      </c>
      <c r="AS111" s="79">
        <v>2277297</v>
      </c>
      <c r="AT111" s="122">
        <v>2359231.4180000001</v>
      </c>
      <c r="AU111" s="122">
        <v>2387966.62</v>
      </c>
      <c r="AV111" s="122">
        <v>2417447.6690000002</v>
      </c>
    </row>
    <row r="112" spans="1:51" ht="15">
      <c r="A112" s="1" t="s">
        <v>106</v>
      </c>
      <c r="B112" s="5" t="s">
        <v>413</v>
      </c>
      <c r="C112" s="5" t="s">
        <v>413</v>
      </c>
      <c r="D112" s="5" t="s">
        <v>438</v>
      </c>
      <c r="E112" s="3" t="s">
        <v>50</v>
      </c>
      <c r="F112" s="3" t="s">
        <v>51</v>
      </c>
      <c r="G112" s="5" t="s">
        <v>439</v>
      </c>
      <c r="H112" s="6">
        <v>95396715</v>
      </c>
      <c r="I112" s="2" t="s">
        <v>86</v>
      </c>
      <c r="J112" s="2" t="s">
        <v>54</v>
      </c>
      <c r="K112" s="7"/>
      <c r="L112" s="7" t="s">
        <v>55</v>
      </c>
      <c r="M112" s="3" t="s">
        <v>56</v>
      </c>
      <c r="N112" s="3" t="s">
        <v>67</v>
      </c>
      <c r="O112" s="112"/>
      <c r="P112" s="112"/>
      <c r="Q112" s="112" t="s">
        <v>118</v>
      </c>
      <c r="R112" s="3" t="str">
        <f ca="1">IF(M112="Arrojado","IPCA+6%",IF(M112="Arrojado Renda Construção","IPCA+6%",IF(M112="Arrojado Renda Usufruto","IPCA+6%",IF(M112="Moderado","IPCA+5%",IF(M112="Moderado Renda Construção","IPCA+5%",IF(M112="Moderado Renda Usufruto","IPCA+5%",IF(M112="Conservador","IPCA+4%",IF(M112="Conservador Renda Construção","IPCA+4%",IF(M112="Conservador Renda Usufruto","IPCA+4%",IF(M112="Ultraconservador","IPCA+4%",""))))))))))</f>
        <v>IPCA+5%</v>
      </c>
      <c r="S112" s="3" t="s">
        <v>69</v>
      </c>
      <c r="T112" s="3" t="s">
        <v>69</v>
      </c>
      <c r="U112" s="3" t="s">
        <v>59</v>
      </c>
      <c r="V112" s="130" t="s">
        <v>440</v>
      </c>
      <c r="W112" s="3" t="s">
        <v>69</v>
      </c>
      <c r="X112" s="3" t="s">
        <v>69</v>
      </c>
      <c r="Y112" s="3" t="s">
        <v>407</v>
      </c>
      <c r="Z112" s="114" t="s">
        <v>441</v>
      </c>
      <c r="AA112" s="77">
        <v>341821.97</v>
      </c>
      <c r="AB112" s="77">
        <v>346445.43</v>
      </c>
      <c r="AC112" s="77">
        <v>345237.37</v>
      </c>
      <c r="AD112" s="77">
        <v>76436.320000000007</v>
      </c>
      <c r="AE112" s="77">
        <v>0</v>
      </c>
      <c r="AF112" s="77">
        <v>0</v>
      </c>
      <c r="AG112" s="77">
        <v>103320</v>
      </c>
      <c r="AH112" s="77">
        <v>103885.4</v>
      </c>
      <c r="AI112" s="77">
        <v>104218.93</v>
      </c>
      <c r="AJ112" s="77">
        <v>104462.12</v>
      </c>
      <c r="AK112" s="77">
        <v>104718.76</v>
      </c>
      <c r="AL112" s="77">
        <v>104979.65</v>
      </c>
      <c r="AM112" s="77">
        <v>105167.2</v>
      </c>
      <c r="AN112" s="77">
        <v>105371.28</v>
      </c>
      <c r="AO112" s="77">
        <v>105582.67</v>
      </c>
      <c r="AP112" s="77">
        <v>105740.39</v>
      </c>
      <c r="AQ112" s="80">
        <v>105593.18</v>
      </c>
      <c r="AR112" s="80">
        <v>81370.67</v>
      </c>
      <c r="AS112" s="80">
        <v>80997.83</v>
      </c>
      <c r="AT112" s="132">
        <v>80944.149999999994</v>
      </c>
      <c r="AU112" s="132">
        <v>79892.06</v>
      </c>
      <c r="AV112" s="132">
        <v>104921.96</v>
      </c>
      <c r="AW112" s="152"/>
      <c r="AX112" s="152"/>
      <c r="AY112" s="152"/>
    </row>
    <row r="113" spans="1:48">
      <c r="A113" s="1" t="s">
        <v>48</v>
      </c>
      <c r="B113" s="5" t="s">
        <v>413</v>
      </c>
      <c r="C113" s="5" t="s">
        <v>413</v>
      </c>
      <c r="D113" s="5" t="s">
        <v>413</v>
      </c>
      <c r="E113" s="3" t="s">
        <v>50</v>
      </c>
      <c r="F113" s="3" t="s">
        <v>51</v>
      </c>
      <c r="G113" s="5" t="s">
        <v>442</v>
      </c>
      <c r="H113" s="6">
        <v>579979</v>
      </c>
      <c r="I113" s="2" t="s">
        <v>86</v>
      </c>
      <c r="J113" s="2" t="s">
        <v>54</v>
      </c>
      <c r="K113" s="7">
        <v>45566</v>
      </c>
      <c r="L113" s="7" t="s">
        <v>55</v>
      </c>
      <c r="M113" s="3" t="s">
        <v>56</v>
      </c>
      <c r="N113" s="3" t="s">
        <v>67</v>
      </c>
      <c r="O113" s="112">
        <v>47327</v>
      </c>
      <c r="P113" s="112">
        <v>47289</v>
      </c>
      <c r="Q113" s="112" t="s">
        <v>118</v>
      </c>
      <c r="R113" s="3" t="str">
        <f ca="1">IF(M113="Arrojado","IPCA+6%",IF(M113="Arrojado Renda Construção","IPCA+6%",IF(M113="Arrojado Renda Usufruto","IPCA+6%",IF(M113="Moderado","IPCA+5%",IF(M113="Moderado Renda Construção","IPCA+5%",IF(M113="Moderado Renda Usufruto","IPCA+5%",IF(M113="Conservador","IPCA+4%",IF(M113="Conservador Renda Construção","IPCA+4%",IF(M113="Conservador Renda Usufruto","IPCA+4%",IF(M113="Ultraconservador","IPCA+4%",""))))))))))</f>
        <v>IPCA+5%</v>
      </c>
      <c r="S113" s="3" t="s">
        <v>69</v>
      </c>
      <c r="T113" s="3" t="s">
        <v>69</v>
      </c>
      <c r="U113" s="3" t="s">
        <v>59</v>
      </c>
      <c r="V113" s="130" t="s">
        <v>440</v>
      </c>
      <c r="W113" s="3" t="s">
        <v>69</v>
      </c>
      <c r="X113" s="3" t="s">
        <v>69</v>
      </c>
      <c r="Y113" s="3" t="s">
        <v>407</v>
      </c>
      <c r="Z113" s="114" t="s">
        <v>443</v>
      </c>
      <c r="AA113" s="78">
        <v>2076032.26</v>
      </c>
      <c r="AB113" s="78">
        <v>2250543.5699999998</v>
      </c>
      <c r="AC113" s="78">
        <v>2395803.63</v>
      </c>
      <c r="AD113" s="78">
        <v>1715172.16</v>
      </c>
      <c r="AE113" s="78">
        <v>1751027.88</v>
      </c>
      <c r="AF113" s="78">
        <v>1775170.44</v>
      </c>
      <c r="AG113" s="78">
        <v>1699884.36</v>
      </c>
      <c r="AH113" s="78">
        <v>1792835.63</v>
      </c>
      <c r="AI113" s="78">
        <v>1735592.1</v>
      </c>
      <c r="AJ113" s="78">
        <v>1955404.78</v>
      </c>
      <c r="AK113" s="78">
        <v>2011963.77</v>
      </c>
      <c r="AL113" s="78">
        <v>2083710.87</v>
      </c>
      <c r="AM113" s="78">
        <v>2054159.48</v>
      </c>
      <c r="AN113" s="111">
        <v>2000963.09</v>
      </c>
      <c r="AO113" s="78">
        <v>1927630.69</v>
      </c>
      <c r="AP113" s="78">
        <v>2021893.62</v>
      </c>
      <c r="AQ113" s="78">
        <v>2080683.41761704</v>
      </c>
      <c r="AR113" s="79">
        <v>2082020.25</v>
      </c>
      <c r="AS113" s="79">
        <v>2064154</v>
      </c>
      <c r="AT113" s="122">
        <v>2067960.155</v>
      </c>
      <c r="AU113" s="122">
        <v>1763404.57</v>
      </c>
      <c r="AV113" s="122">
        <v>936746.44709999999</v>
      </c>
    </row>
    <row r="114" spans="1:48" ht="15.75">
      <c r="A114" s="1" t="s">
        <v>106</v>
      </c>
      <c r="B114" s="5" t="s">
        <v>444</v>
      </c>
      <c r="C114" s="5" t="s">
        <v>444</v>
      </c>
      <c r="D114" s="5" t="s">
        <v>445</v>
      </c>
      <c r="E114" s="3" t="s">
        <v>50</v>
      </c>
      <c r="F114" s="3" t="s">
        <v>51</v>
      </c>
      <c r="G114" s="5" t="s">
        <v>446</v>
      </c>
      <c r="H114" s="6">
        <v>35318483</v>
      </c>
      <c r="I114" s="2" t="s">
        <v>117</v>
      </c>
      <c r="J114" s="2" t="s">
        <v>54</v>
      </c>
      <c r="K114" s="7"/>
      <c r="L114" s="7" t="s">
        <v>55</v>
      </c>
      <c r="M114" s="3" t="s">
        <v>447</v>
      </c>
      <c r="N114" s="3" t="s">
        <v>57</v>
      </c>
      <c r="O114" s="112"/>
      <c r="P114" s="112"/>
      <c r="Q114" s="112" t="s">
        <v>448</v>
      </c>
      <c r="R114" s="3" t="str">
        <f ca="1">IF(M114="Arrojado","IPCA+6%",IF(M114="Arrojado Renda Construção","IPCA+6%",IF(M114="Arrojado Renda Usufruto","IPCA+6%",IF(M114="Moderado","IPCA+5%",IF(M114="Moderado Renda Construção","IPCA+5%",IF(M114="Moderado Renda Usufruto","IPCA+5%",IF(M114="Conservador","IPCA+4%",IF(M114="Conservador Renda Construção","IPCA+4%",IF(M114="Conservador Renda Usufruto","IPCA+4%",IF(M114="Ultraconservador","IPCA+4%",""))))))))))</f>
        <v>IPCA+6%</v>
      </c>
      <c r="S114" s="3" t="s">
        <v>69</v>
      </c>
      <c r="T114" s="3" t="s">
        <v>59</v>
      </c>
      <c r="U114" s="3" t="s">
        <v>59</v>
      </c>
      <c r="V114" s="157" t="s">
        <v>449</v>
      </c>
      <c r="W114" s="3" t="s">
        <v>59</v>
      </c>
      <c r="X114" s="3" t="s">
        <v>59</v>
      </c>
      <c r="Y114" s="3" t="s">
        <v>203</v>
      </c>
      <c r="Z114" s="114" t="s">
        <v>450</v>
      </c>
      <c r="AA114" s="77">
        <v>816751.63</v>
      </c>
      <c r="AB114" s="77">
        <v>768324.85</v>
      </c>
      <c r="AC114" s="77">
        <v>764430</v>
      </c>
      <c r="AD114" s="77">
        <v>759599.85</v>
      </c>
      <c r="AE114" s="77">
        <v>824388.85</v>
      </c>
      <c r="AF114" s="77">
        <v>831525.8</v>
      </c>
      <c r="AG114" s="77">
        <v>868171.95</v>
      </c>
      <c r="AH114" s="77">
        <v>897831.57</v>
      </c>
      <c r="AI114" s="77">
        <v>1107977.06</v>
      </c>
      <c r="AJ114" s="77">
        <v>1314962.98</v>
      </c>
      <c r="AK114" s="77">
        <v>1052080.3</v>
      </c>
      <c r="AL114" s="77">
        <v>1034523.64</v>
      </c>
      <c r="AM114" s="77">
        <v>985151.06</v>
      </c>
      <c r="AN114" s="77">
        <v>971622.71</v>
      </c>
      <c r="AO114" s="77">
        <v>870288.19</v>
      </c>
      <c r="AP114" s="77">
        <v>974140.71</v>
      </c>
      <c r="AQ114" s="80">
        <v>1141620.45</v>
      </c>
      <c r="AR114" s="80">
        <v>1016977.93</v>
      </c>
      <c r="AS114" s="80">
        <v>924823.83</v>
      </c>
      <c r="AT114" s="132">
        <v>932823.28</v>
      </c>
      <c r="AU114" s="132">
        <v>908098.22</v>
      </c>
      <c r="AV114" s="132">
        <v>843476.32</v>
      </c>
    </row>
    <row r="115" spans="1:48" ht="15.75">
      <c r="A115" s="1" t="s">
        <v>48</v>
      </c>
      <c r="B115" s="5" t="s">
        <v>444</v>
      </c>
      <c r="C115" s="5" t="s">
        <v>444</v>
      </c>
      <c r="D115" s="5" t="s">
        <v>444</v>
      </c>
      <c r="E115" s="3" t="s">
        <v>50</v>
      </c>
      <c r="F115" s="3" t="s">
        <v>51</v>
      </c>
      <c r="G115" s="5" t="s">
        <v>451</v>
      </c>
      <c r="H115" s="6">
        <v>2247004</v>
      </c>
      <c r="I115" s="2" t="s">
        <v>117</v>
      </c>
      <c r="J115" s="2" t="s">
        <v>54</v>
      </c>
      <c r="K115" s="7">
        <v>45834</v>
      </c>
      <c r="L115" s="7" t="s">
        <v>55</v>
      </c>
      <c r="M115" s="3" t="s">
        <v>447</v>
      </c>
      <c r="N115" s="3" t="s">
        <v>57</v>
      </c>
      <c r="O115" s="112">
        <v>46647</v>
      </c>
      <c r="P115" s="112">
        <v>46821</v>
      </c>
      <c r="Q115" s="112" t="s">
        <v>448</v>
      </c>
      <c r="R115" s="3" t="str">
        <f ca="1">IF(M115="Arrojado","IPCA+6%",IF(M115="Arrojado Renda Construção","IPCA+6%",IF(M115="Arrojado Renda Usufruto","IPCA+6%",IF(M115="Moderado","IPCA+5%",IF(M115="Moderado Renda Construção","IPCA+5%",IF(M115="Moderado Renda Usufruto","IPCA+5%",IF(M115="Conservador","IPCA+4%",IF(M115="Conservador Renda Construção","IPCA+4%",IF(M115="Conservador Renda Usufruto","IPCA+4%",IF(M115="Ultraconservador","IPCA+4%",""))))))))))</f>
        <v>IPCA+6%</v>
      </c>
      <c r="S115" s="3" t="s">
        <v>69</v>
      </c>
      <c r="T115" s="3" t="s">
        <v>59</v>
      </c>
      <c r="U115" s="3" t="s">
        <v>59</v>
      </c>
      <c r="V115" s="157" t="s">
        <v>449</v>
      </c>
      <c r="W115" s="3" t="s">
        <v>59</v>
      </c>
      <c r="X115" s="3" t="s">
        <v>59</v>
      </c>
      <c r="Y115" s="3" t="s">
        <v>203</v>
      </c>
      <c r="Z115" s="114" t="s">
        <v>452</v>
      </c>
      <c r="AA115" s="78">
        <v>4468946.1399999997</v>
      </c>
      <c r="AB115" s="78">
        <v>4321296.22</v>
      </c>
      <c r="AC115" s="78">
        <v>4422904.58</v>
      </c>
      <c r="AD115" s="78">
        <v>4661462.22</v>
      </c>
      <c r="AE115" s="78">
        <v>4842378.71</v>
      </c>
      <c r="AF115" s="78">
        <v>4853091.26</v>
      </c>
      <c r="AG115" s="78">
        <v>4854867</v>
      </c>
      <c r="AH115" s="78">
        <v>4968447.2699999996</v>
      </c>
      <c r="AI115" s="78">
        <v>5079175.9800000004</v>
      </c>
      <c r="AJ115" s="78">
        <v>5129318.0199999996</v>
      </c>
      <c r="AK115" s="78">
        <v>5158729.79</v>
      </c>
      <c r="AL115" s="78">
        <v>5240603.07</v>
      </c>
      <c r="AM115" s="78">
        <v>5493381.6200000001</v>
      </c>
      <c r="AN115" s="111">
        <v>5447850.29</v>
      </c>
      <c r="AO115" s="78">
        <v>5345951.42</v>
      </c>
      <c r="AP115" s="78">
        <v>5408575.4299999997</v>
      </c>
      <c r="AQ115" s="78">
        <v>5058745.5</v>
      </c>
      <c r="AR115" s="79">
        <v>4938201.7300000004</v>
      </c>
      <c r="AS115" s="79">
        <v>4927130</v>
      </c>
      <c r="AT115" s="122">
        <v>5028712.7</v>
      </c>
      <c r="AU115" s="122">
        <v>5146404.6399999997</v>
      </c>
      <c r="AV115" s="122">
        <v>5507267.4199999999</v>
      </c>
    </row>
    <row r="116" spans="1:48">
      <c r="A116" s="1" t="s">
        <v>48</v>
      </c>
      <c r="B116" s="5" t="s">
        <v>453</v>
      </c>
      <c r="C116" s="5" t="s">
        <v>453</v>
      </c>
      <c r="D116" s="5" t="s">
        <v>453</v>
      </c>
      <c r="E116" s="3" t="s">
        <v>50</v>
      </c>
      <c r="F116" s="3" t="s">
        <v>51</v>
      </c>
      <c r="G116" s="5" t="s">
        <v>454</v>
      </c>
      <c r="H116" s="6">
        <v>242411</v>
      </c>
      <c r="I116" s="2" t="s">
        <v>65</v>
      </c>
      <c r="J116" s="2" t="s">
        <v>54</v>
      </c>
      <c r="K116" s="7">
        <v>46178</v>
      </c>
      <c r="L116" s="7" t="s">
        <v>55</v>
      </c>
      <c r="M116" s="3"/>
      <c r="N116" s="3" t="s">
        <v>67</v>
      </c>
      <c r="O116" s="112">
        <v>47230</v>
      </c>
      <c r="P116" s="112">
        <v>47274</v>
      </c>
      <c r="Q116" s="112" t="s">
        <v>58</v>
      </c>
      <c r="R116" s="3" t="str">
        <f ca="1">IF(M116="Arrojado","IPCA+6%",IF(M116="Arrojado Renda Construção","IPCA+6%",IF(M116="Arrojado Renda Usufruto","IPCA+6%",IF(M116="Moderado","IPCA+5%",IF(M116="Moderado Renda Construção","IPCA+5%",IF(M116="Moderado Renda Usufruto","IPCA+5%",IF(M116="Conservador","IPCA+4%",IF(M116="Conservador Renda Construção","IPCA+4%",IF(M116="Conservador Renda Usufruto","IPCA+4%",IF(M116="Ultraconservador","IPCA+4%",""))))))))))</f>
        <v/>
      </c>
      <c r="S116" s="3" t="s">
        <v>59</v>
      </c>
      <c r="T116" s="3"/>
      <c r="U116" s="3"/>
      <c r="V116" s="130"/>
      <c r="W116" s="3"/>
      <c r="X116" s="3"/>
      <c r="Y116" s="3"/>
      <c r="Z116" s="114" t="s">
        <v>455</v>
      </c>
      <c r="AA116" s="79">
        <v>0</v>
      </c>
      <c r="AB116" s="79">
        <v>0</v>
      </c>
      <c r="AC116" s="79">
        <v>0</v>
      </c>
      <c r="AD116" s="79">
        <v>0</v>
      </c>
      <c r="AE116" s="79">
        <v>0</v>
      </c>
      <c r="AF116" s="79">
        <v>0</v>
      </c>
      <c r="AG116" s="79">
        <v>0</v>
      </c>
      <c r="AH116" s="79">
        <v>0</v>
      </c>
      <c r="AI116" s="79">
        <v>0</v>
      </c>
      <c r="AJ116" s="79">
        <v>0</v>
      </c>
      <c r="AK116" s="79">
        <v>0</v>
      </c>
      <c r="AL116" s="79">
        <v>0</v>
      </c>
      <c r="AM116" s="79">
        <v>0</v>
      </c>
      <c r="AN116" s="79">
        <v>130684.36</v>
      </c>
      <c r="AO116" s="79">
        <v>0</v>
      </c>
      <c r="AP116" s="79">
        <v>0</v>
      </c>
      <c r="AQ116" s="79">
        <v>0</v>
      </c>
      <c r="AR116" s="79">
        <v>2087911.19</v>
      </c>
      <c r="AS116" s="79">
        <v>2105377</v>
      </c>
      <c r="AT116" s="122">
        <v>2123592.0290000001</v>
      </c>
      <c r="AU116" s="122">
        <v>3526082.68</v>
      </c>
      <c r="AV116" s="122">
        <v>3037976.31</v>
      </c>
    </row>
    <row r="117" spans="1:48">
      <c r="A117" s="1" t="s">
        <v>73</v>
      </c>
      <c r="B117" s="5" t="s">
        <v>456</v>
      </c>
      <c r="C117" s="5" t="s">
        <v>457</v>
      </c>
      <c r="D117" s="5" t="s">
        <v>456</v>
      </c>
      <c r="E117" s="3" t="s">
        <v>50</v>
      </c>
      <c r="F117" s="3" t="s">
        <v>51</v>
      </c>
      <c r="G117" s="5" t="s">
        <v>458</v>
      </c>
      <c r="H117" s="6">
        <v>4164584</v>
      </c>
      <c r="I117" s="2" t="s">
        <v>164</v>
      </c>
      <c r="J117" s="2" t="s">
        <v>87</v>
      </c>
      <c r="K117" s="7"/>
      <c r="L117" s="7" t="s">
        <v>55</v>
      </c>
      <c r="M117" s="3" t="s">
        <v>56</v>
      </c>
      <c r="N117" s="3" t="s">
        <v>57</v>
      </c>
      <c r="O117" s="112">
        <v>46950</v>
      </c>
      <c r="P117" s="112">
        <v>47221</v>
      </c>
      <c r="Q117" s="112" t="s">
        <v>80</v>
      </c>
      <c r="R117" s="3" t="str">
        <f ca="1">IF(M117="Arrojado","IPCA+6%",IF(M117="Arrojado Renda Construção","IPCA+6%",IF(M117="Arrojado Renda Usufruto","IPCA+6%",IF(M117="Moderado","IPCA+5%",IF(M117="Moderado Renda Construção","IPCA+5%",IF(M117="Moderado Renda Usufruto","IPCA+5%",IF(M117="Conservador","IPCA+4%",IF(M117="Conservador Renda Construção","IPCA+4%",IF(M117="Conservador Renda Usufruto","IPCA+4%",IF(M117="Ultraconservador","IPCA+4%",""))))))))))</f>
        <v>IPCA+5%</v>
      </c>
      <c r="S117" s="3" t="s">
        <v>69</v>
      </c>
      <c r="T117" s="3" t="s">
        <v>59</v>
      </c>
      <c r="U117" s="3" t="s">
        <v>59</v>
      </c>
      <c r="V117" s="130" t="s">
        <v>459</v>
      </c>
      <c r="W117" s="3" t="s">
        <v>59</v>
      </c>
      <c r="X117" s="3" t="s">
        <v>59</v>
      </c>
      <c r="Y117" s="3" t="s">
        <v>71</v>
      </c>
      <c r="Z117" s="114" t="s">
        <v>460</v>
      </c>
      <c r="AA117" s="78">
        <v>75499.03</v>
      </c>
      <c r="AB117" s="78">
        <v>76246.259999999995</v>
      </c>
      <c r="AC117" s="78">
        <v>76979.95</v>
      </c>
      <c r="AD117" s="78">
        <v>77801.06</v>
      </c>
      <c r="AE117" s="78">
        <v>78001.63</v>
      </c>
      <c r="AF117" s="78">
        <v>78863.3</v>
      </c>
      <c r="AG117" s="78">
        <v>79880.23</v>
      </c>
      <c r="AH117" s="78">
        <v>80810.880000000005</v>
      </c>
      <c r="AI117" s="78">
        <v>81668.639999999999</v>
      </c>
      <c r="AJ117" s="78">
        <v>82717.960000000006</v>
      </c>
      <c r="AK117" s="78">
        <v>82740.22</v>
      </c>
      <c r="AL117" s="78">
        <v>83752.490000000005</v>
      </c>
      <c r="AM117" s="78">
        <v>84694.399999999994</v>
      </c>
      <c r="AN117" s="111">
        <v>85546.53</v>
      </c>
      <c r="AO117" s="78">
        <v>86619.57</v>
      </c>
      <c r="AP117" s="78">
        <v>87568.97</v>
      </c>
      <c r="AQ117" s="78">
        <v>87672.73000000001</v>
      </c>
      <c r="AR117" s="78">
        <v>88696.209999999992</v>
      </c>
      <c r="AS117" s="78">
        <v>89806.680000000008</v>
      </c>
      <c r="AT117" s="122">
        <v>90809.97</v>
      </c>
      <c r="AU117" s="122">
        <v>91755.96</v>
      </c>
      <c r="AV117" s="122">
        <v>92230.18</v>
      </c>
    </row>
    <row r="118" spans="1:48">
      <c r="A118" s="1" t="s">
        <v>106</v>
      </c>
      <c r="B118" s="5" t="s">
        <v>456</v>
      </c>
      <c r="C118" s="5" t="s">
        <v>457</v>
      </c>
      <c r="D118" s="5" t="s">
        <v>461</v>
      </c>
      <c r="E118" s="3" t="s">
        <v>100</v>
      </c>
      <c r="F118" s="3" t="s">
        <v>51</v>
      </c>
      <c r="G118" s="5" t="s">
        <v>462</v>
      </c>
      <c r="H118" s="6">
        <v>64343370</v>
      </c>
      <c r="I118" s="2" t="s">
        <v>164</v>
      </c>
      <c r="J118" s="2" t="s">
        <v>87</v>
      </c>
      <c r="K118" s="7"/>
      <c r="L118" s="7" t="s">
        <v>55</v>
      </c>
      <c r="M118" s="3" t="s">
        <v>56</v>
      </c>
      <c r="N118" s="3" t="s">
        <v>57</v>
      </c>
      <c r="O118" s="112"/>
      <c r="P118" s="112"/>
      <c r="Q118" s="112" t="s">
        <v>118</v>
      </c>
      <c r="R118" s="3" t="str">
        <f ca="1">IF(M118="Arrojado","IPCA+6%",IF(M118="Arrojado Renda Construção","IPCA+6%",IF(M118="Arrojado Renda Usufruto","IPCA+6%",IF(M118="Moderado","IPCA+5%",IF(M118="Moderado Renda Construção","IPCA+5%",IF(M118="Moderado Renda Usufruto","IPCA+5%",IF(M118="Conservador","IPCA+4%",IF(M118="Conservador Renda Construção","IPCA+4%",IF(M118="Conservador Renda Usufruto","IPCA+4%",IF(M118="Ultraconservador","IPCA+4%",""))))))))))</f>
        <v>IPCA+5%</v>
      </c>
      <c r="S118" s="3" t="s">
        <v>69</v>
      </c>
      <c r="T118" s="3" t="s">
        <v>59</v>
      </c>
      <c r="U118" s="3" t="s">
        <v>59</v>
      </c>
      <c r="V118" s="130" t="s">
        <v>459</v>
      </c>
      <c r="W118" s="3" t="s">
        <v>59</v>
      </c>
      <c r="X118" s="3" t="s">
        <v>59</v>
      </c>
      <c r="Y118" s="3" t="s">
        <v>71</v>
      </c>
      <c r="Z118" s="114" t="s">
        <v>460</v>
      </c>
      <c r="AA118" s="77">
        <v>221396.98</v>
      </c>
      <c r="AB118" s="77">
        <v>512822.22</v>
      </c>
      <c r="AC118" s="77">
        <v>613349.27</v>
      </c>
      <c r="AD118" s="77">
        <v>715377.73</v>
      </c>
      <c r="AE118" s="77">
        <v>887107.59</v>
      </c>
      <c r="AF118" s="77">
        <v>915935.14</v>
      </c>
      <c r="AG118" s="77">
        <v>1026073.63</v>
      </c>
      <c r="AH118" s="77">
        <v>1134454.6599999999</v>
      </c>
      <c r="AI118" s="77">
        <v>1219157.82</v>
      </c>
      <c r="AJ118" s="77">
        <v>1224535.56</v>
      </c>
      <c r="AK118" s="77">
        <v>1237952.6399999999</v>
      </c>
      <c r="AL118" s="77">
        <v>1221188.02</v>
      </c>
      <c r="AM118" s="77">
        <v>1247167.6000000001</v>
      </c>
      <c r="AN118" s="77">
        <v>1257169.1599999999</v>
      </c>
      <c r="AO118" s="77">
        <v>1269165.67</v>
      </c>
      <c r="AP118" s="77">
        <v>1368938.3</v>
      </c>
      <c r="AQ118" s="80">
        <v>1371045.76</v>
      </c>
      <c r="AR118" s="80">
        <v>1373146.67</v>
      </c>
      <c r="AS118" s="80">
        <v>1371237.07</v>
      </c>
      <c r="AT118" s="132">
        <v>1386592.58</v>
      </c>
      <c r="AU118" s="132">
        <v>1351482.23</v>
      </c>
      <c r="AV118" s="132">
        <v>1375704.05</v>
      </c>
    </row>
    <row r="119" spans="1:48" s="153" customFormat="1">
      <c r="A119" s="1" t="s">
        <v>48</v>
      </c>
      <c r="B119" s="5" t="s">
        <v>456</v>
      </c>
      <c r="C119" s="5" t="s">
        <v>457</v>
      </c>
      <c r="D119" s="5" t="s">
        <v>456</v>
      </c>
      <c r="E119" s="3" t="s">
        <v>50</v>
      </c>
      <c r="F119" s="3" t="s">
        <v>51</v>
      </c>
      <c r="G119" s="5" t="s">
        <v>463</v>
      </c>
      <c r="H119" s="6">
        <v>16917348</v>
      </c>
      <c r="I119" s="2" t="s">
        <v>164</v>
      </c>
      <c r="J119" s="2" t="s">
        <v>87</v>
      </c>
      <c r="K119" s="7">
        <v>45597</v>
      </c>
      <c r="L119" s="7" t="s">
        <v>55</v>
      </c>
      <c r="M119" s="3" t="s">
        <v>56</v>
      </c>
      <c r="N119" s="3" t="s">
        <v>57</v>
      </c>
      <c r="O119" s="112">
        <v>47252</v>
      </c>
      <c r="P119" s="112">
        <v>46900</v>
      </c>
      <c r="Q119" s="112" t="s">
        <v>118</v>
      </c>
      <c r="R119" s="3" t="str">
        <f ca="1">IF(M119="Arrojado","IPCA+6%",IF(M119="Arrojado Renda Construção","IPCA+6%",IF(M119="Arrojado Renda Usufruto","IPCA+6%",IF(M119="Moderado","IPCA+5%",IF(M119="Moderado Renda Construção","IPCA+5%",IF(M119="Moderado Renda Usufruto","IPCA+5%",IF(M119="Conservador","IPCA+4%",IF(M119="Conservador Renda Construção","IPCA+4%",IF(M119="Conservador Renda Usufruto","IPCA+4%",IF(M119="Ultraconservador","IPCA+4%",""))))))))))</f>
        <v>IPCA+5%</v>
      </c>
      <c r="S119" s="3" t="s">
        <v>69</v>
      </c>
      <c r="T119" s="3" t="s">
        <v>59</v>
      </c>
      <c r="U119" s="3" t="s">
        <v>59</v>
      </c>
      <c r="V119" s="130" t="s">
        <v>459</v>
      </c>
      <c r="W119" s="3" t="s">
        <v>59</v>
      </c>
      <c r="X119" s="3" t="s">
        <v>59</v>
      </c>
      <c r="Y119" s="3" t="s">
        <v>71</v>
      </c>
      <c r="Z119" s="114" t="s">
        <v>464</v>
      </c>
      <c r="AA119" s="78">
        <v>0.21</v>
      </c>
      <c r="AB119" s="78">
        <v>0.08</v>
      </c>
      <c r="AC119" s="78">
        <v>0.2</v>
      </c>
      <c r="AD119" s="78">
        <v>0.1</v>
      </c>
      <c r="AE119" s="78">
        <v>0.26</v>
      </c>
      <c r="AF119" s="78">
        <v>0.26</v>
      </c>
      <c r="AG119" s="78">
        <v>0.08</v>
      </c>
      <c r="AH119" s="78">
        <v>0.14000000000000001</v>
      </c>
      <c r="AI119" s="78">
        <v>0.17</v>
      </c>
      <c r="AJ119" s="78">
        <v>0.17</v>
      </c>
      <c r="AK119" s="78">
        <v>0.17</v>
      </c>
      <c r="AL119" s="78">
        <v>0.17</v>
      </c>
      <c r="AM119" s="78">
        <v>0.17</v>
      </c>
      <c r="AN119" s="111">
        <v>0.17</v>
      </c>
      <c r="AO119" s="78">
        <v>0.21</v>
      </c>
      <c r="AP119" s="78">
        <v>0.21</v>
      </c>
      <c r="AQ119" s="78">
        <v>0.21</v>
      </c>
      <c r="AR119" s="79">
        <v>0.21</v>
      </c>
      <c r="AS119" s="79">
        <v>0.21</v>
      </c>
      <c r="AT119" s="122">
        <v>0.21</v>
      </c>
      <c r="AU119" s="122" t="s">
        <v>105</v>
      </c>
      <c r="AV119" s="122">
        <v>0.21</v>
      </c>
    </row>
    <row r="120" spans="1:48">
      <c r="A120" s="1" t="s">
        <v>48</v>
      </c>
      <c r="B120" s="5" t="s">
        <v>465</v>
      </c>
      <c r="C120" s="5" t="s">
        <v>61</v>
      </c>
      <c r="D120" s="5" t="s">
        <v>465</v>
      </c>
      <c r="E120" s="3" t="s">
        <v>50</v>
      </c>
      <c r="F120" s="3" t="s">
        <v>51</v>
      </c>
      <c r="G120" s="5" t="s">
        <v>466</v>
      </c>
      <c r="H120" s="6">
        <v>16424007</v>
      </c>
      <c r="I120" s="2" t="s">
        <v>65</v>
      </c>
      <c r="J120" s="2" t="s">
        <v>54</v>
      </c>
      <c r="K120" s="7">
        <v>46100</v>
      </c>
      <c r="L120" s="7" t="s">
        <v>55</v>
      </c>
      <c r="M120" s="3" t="s">
        <v>66</v>
      </c>
      <c r="N120" s="3" t="s">
        <v>67</v>
      </c>
      <c r="O120" s="112">
        <v>46730</v>
      </c>
      <c r="P120" s="112">
        <v>46718</v>
      </c>
      <c r="Q120" s="112" t="s">
        <v>58</v>
      </c>
      <c r="R120" s="3" t="str">
        <f ca="1">IF(M120="Arrojado","IPCA+6%",IF(M120="Arrojado Renda Construção","IPCA+6%",IF(M120="Arrojado Renda Usufruto","IPCA+6%",IF(M120="Moderado","IPCA+5%",IF(M120="Moderado Renda Construção","IPCA+5%",IF(M120="Moderado Renda Usufruto","IPCA+5%",IF(M120="Conservador","IPCA+4%",IF(M120="Conservador Renda Construção","IPCA+4%",IF(M120="Conservador Renda Usufruto","IPCA+4%",IF(M120="Ultraconservador","IPCA+4%",""))))))))))</f>
        <v>IPCA+4%</v>
      </c>
      <c r="S120" s="3" t="s">
        <v>59</v>
      </c>
      <c r="T120" s="3" t="s">
        <v>59</v>
      </c>
      <c r="U120" s="3" t="s">
        <v>59</v>
      </c>
      <c r="V120" s="130" t="s">
        <v>467</v>
      </c>
      <c r="W120" s="3" t="s">
        <v>59</v>
      </c>
      <c r="X120" s="3" t="s">
        <v>59</v>
      </c>
      <c r="Y120" s="3" t="s">
        <v>71</v>
      </c>
      <c r="Z120" s="114" t="s">
        <v>468</v>
      </c>
      <c r="AA120" s="78">
        <v>58758.63</v>
      </c>
      <c r="AB120" s="78">
        <v>60090.33</v>
      </c>
      <c r="AC120" s="78">
        <v>360879.85</v>
      </c>
      <c r="AD120" s="78">
        <v>361775.16</v>
      </c>
      <c r="AE120" s="78">
        <v>361947.79</v>
      </c>
      <c r="AF120" s="78">
        <v>363238.11</v>
      </c>
      <c r="AG120" s="78">
        <v>363154.81</v>
      </c>
      <c r="AH120" s="78">
        <v>365103.46</v>
      </c>
      <c r="AI120" s="78">
        <v>351758.38</v>
      </c>
      <c r="AJ120" s="78">
        <v>314851.09999999998</v>
      </c>
      <c r="AK120" s="78">
        <v>275523.12</v>
      </c>
      <c r="AL120" s="78">
        <v>277614.34000000003</v>
      </c>
      <c r="AM120" s="78">
        <v>275012.78999999998</v>
      </c>
      <c r="AN120" s="111">
        <v>276112.90999999997</v>
      </c>
      <c r="AO120" s="78">
        <v>1081401.6399999999</v>
      </c>
      <c r="AP120" s="78">
        <v>1278970.1499999999</v>
      </c>
      <c r="AQ120" s="78">
        <v>1292446.7355820001</v>
      </c>
      <c r="AR120" s="79">
        <v>1290108.6299999999</v>
      </c>
      <c r="AS120" s="79">
        <v>1299660</v>
      </c>
      <c r="AT120" s="122">
        <v>1312757.3640000001</v>
      </c>
      <c r="AU120" s="122">
        <v>1292452.3799999999</v>
      </c>
      <c r="AV120" s="122">
        <v>1295956.6059999999</v>
      </c>
    </row>
    <row r="121" spans="1:48">
      <c r="A121" s="1" t="s">
        <v>106</v>
      </c>
      <c r="B121" s="5" t="s">
        <v>469</v>
      </c>
      <c r="C121" s="5" t="s">
        <v>108</v>
      </c>
      <c r="D121" s="5" t="s">
        <v>109</v>
      </c>
      <c r="E121" s="3" t="s">
        <v>100</v>
      </c>
      <c r="F121" s="3" t="s">
        <v>51</v>
      </c>
      <c r="G121" s="5" t="s">
        <v>470</v>
      </c>
      <c r="H121" s="6">
        <v>85021853</v>
      </c>
      <c r="I121" s="2" t="s">
        <v>111</v>
      </c>
      <c r="J121" s="2" t="s">
        <v>54</v>
      </c>
      <c r="K121" s="7"/>
      <c r="L121" s="7" t="s">
        <v>55</v>
      </c>
      <c r="M121" s="3" t="s">
        <v>112</v>
      </c>
      <c r="N121" s="3"/>
      <c r="O121" s="112"/>
      <c r="P121" s="112"/>
      <c r="Q121" s="112" t="s">
        <v>58</v>
      </c>
      <c r="R121" s="3" t="str">
        <f ca="1">IF(M121="Arrojado","IPCA+6%",IF(M121="Arrojado Renda Construção","IPCA+6%",IF(M121="Arrojado Renda Usufruto","IPCA+6%",IF(M121="Moderado","IPCA+5%",IF(M121="Moderado Renda Construção","IPCA+5%",IF(M121="Moderado Renda Usufruto","IPCA+5%",IF(M121="Conservador","IPCA+4%",IF(M121="Conservador Renda Construção","IPCA+4%",IF(M121="Conservador Renda Usufruto","IPCA+4%",IF(M121="Ultraconservador","IPCA+4%",""))))))))))</f>
        <v>IPCA+4%</v>
      </c>
      <c r="S121" s="3" t="s">
        <v>69</v>
      </c>
      <c r="T121" s="3" t="s">
        <v>59</v>
      </c>
      <c r="U121" s="3" t="s">
        <v>59</v>
      </c>
      <c r="V121" s="130" t="s">
        <v>471</v>
      </c>
      <c r="W121" s="3" t="s">
        <v>59</v>
      </c>
      <c r="X121" s="3" t="s">
        <v>59</v>
      </c>
      <c r="Y121" s="3" t="s">
        <v>71</v>
      </c>
      <c r="Z121" s="114" t="s">
        <v>114</v>
      </c>
      <c r="AA121" s="80">
        <v>0</v>
      </c>
      <c r="AB121" s="80">
        <v>0</v>
      </c>
      <c r="AC121" s="80">
        <v>0</v>
      </c>
      <c r="AD121" s="80">
        <v>0</v>
      </c>
      <c r="AE121" s="80">
        <v>0</v>
      </c>
      <c r="AF121" s="80">
        <v>0</v>
      </c>
      <c r="AG121" s="80">
        <v>0</v>
      </c>
      <c r="AH121" s="80">
        <v>0</v>
      </c>
      <c r="AI121" s="80">
        <v>0</v>
      </c>
      <c r="AJ121" s="80">
        <v>0</v>
      </c>
      <c r="AK121" s="80">
        <v>0</v>
      </c>
      <c r="AL121" s="80">
        <v>0</v>
      </c>
      <c r="AM121" s="80">
        <v>234769.34</v>
      </c>
      <c r="AN121" s="80">
        <v>232703.22</v>
      </c>
      <c r="AO121" s="80">
        <v>235732.54</v>
      </c>
      <c r="AP121" s="80">
        <v>230975.67</v>
      </c>
      <c r="AQ121" s="80">
        <v>229481.74</v>
      </c>
      <c r="AR121" s="80">
        <v>232302.87</v>
      </c>
      <c r="AS121" s="80">
        <v>222072.62</v>
      </c>
      <c r="AT121" s="132">
        <v>223915.96</v>
      </c>
      <c r="AU121" s="132">
        <v>208954.25</v>
      </c>
      <c r="AV121" s="132">
        <v>211504.77</v>
      </c>
    </row>
    <row r="122" spans="1:48">
      <c r="A122" s="1" t="s">
        <v>48</v>
      </c>
      <c r="B122" s="5" t="s">
        <v>472</v>
      </c>
      <c r="C122" s="5" t="s">
        <v>472</v>
      </c>
      <c r="D122" s="5" t="s">
        <v>472</v>
      </c>
      <c r="E122" s="3" t="s">
        <v>100</v>
      </c>
      <c r="F122" s="3" t="s">
        <v>63</v>
      </c>
      <c r="G122" s="5" t="s">
        <v>473</v>
      </c>
      <c r="H122" s="6" t="s">
        <v>474</v>
      </c>
      <c r="I122" s="2" t="s">
        <v>86</v>
      </c>
      <c r="J122" s="82" t="s">
        <v>87</v>
      </c>
      <c r="K122" s="7">
        <v>46178</v>
      </c>
      <c r="L122" s="7" t="s">
        <v>55</v>
      </c>
      <c r="M122" s="3" t="s">
        <v>66</v>
      </c>
      <c r="N122" s="3" t="s">
        <v>57</v>
      </c>
      <c r="O122" s="112">
        <v>46913</v>
      </c>
      <c r="P122" s="112">
        <v>46912</v>
      </c>
      <c r="Q122" s="112" t="s">
        <v>58</v>
      </c>
      <c r="R122" s="3" t="str">
        <f ca="1">IF(M122="Arrojado","IPCA+6%",IF(M122="Arrojado Renda Construção","IPCA+6%",IF(M122="Arrojado Renda Usufruto","IPCA+6%",IF(M122="Moderado","IPCA+5%",IF(M122="Moderado Renda Construção","IPCA+5%",IF(M122="Moderado Renda Usufruto","IPCA+5%",IF(M122="Conservador","IPCA+4%",IF(M122="Conservador Renda Construção","IPCA+4%",IF(M122="Conservador Renda Usufruto","IPCA+4%",IF(M122="Ultraconservador","IPCA+4%",""))))))))))</f>
        <v>IPCA+4%</v>
      </c>
      <c r="S122" s="3" t="s">
        <v>59</v>
      </c>
      <c r="T122" s="3" t="s">
        <v>59</v>
      </c>
      <c r="U122" s="3" t="s">
        <v>59</v>
      </c>
      <c r="V122" s="130"/>
      <c r="W122" s="3" t="s">
        <v>59</v>
      </c>
      <c r="X122" s="3" t="s">
        <v>59</v>
      </c>
      <c r="Y122" s="3" t="s">
        <v>71</v>
      </c>
      <c r="Z122" s="114" t="s">
        <v>475</v>
      </c>
      <c r="AA122" s="78">
        <v>0</v>
      </c>
      <c r="AB122" s="78">
        <v>0</v>
      </c>
      <c r="AC122" s="78">
        <v>0</v>
      </c>
      <c r="AD122" s="78">
        <v>0</v>
      </c>
      <c r="AE122" s="78">
        <v>0</v>
      </c>
      <c r="AF122" s="78">
        <v>0</v>
      </c>
      <c r="AG122" s="78">
        <v>0</v>
      </c>
      <c r="AH122" s="78">
        <v>0</v>
      </c>
      <c r="AI122" s="78">
        <v>0</v>
      </c>
      <c r="AJ122" s="78">
        <v>0</v>
      </c>
      <c r="AK122" s="78">
        <v>0</v>
      </c>
      <c r="AL122" s="78">
        <v>0</v>
      </c>
      <c r="AM122" s="78">
        <v>0</v>
      </c>
      <c r="AN122" s="111" t="s">
        <v>104</v>
      </c>
      <c r="AO122" s="78">
        <v>0</v>
      </c>
      <c r="AP122" s="78">
        <v>0</v>
      </c>
      <c r="AQ122" s="78">
        <v>0</v>
      </c>
      <c r="AR122" s="79">
        <v>775326.27</v>
      </c>
      <c r="AS122" s="79">
        <v>935732.72</v>
      </c>
      <c r="AT122" s="122">
        <v>562057.2733</v>
      </c>
      <c r="AU122" s="122">
        <v>736318.17</v>
      </c>
      <c r="AV122" s="122">
        <v>738643.27</v>
      </c>
    </row>
    <row r="123" spans="1:48">
      <c r="A123" s="1" t="s">
        <v>73</v>
      </c>
      <c r="B123" s="5" t="s">
        <v>456</v>
      </c>
      <c r="C123" s="5" t="s">
        <v>457</v>
      </c>
      <c r="D123" s="5" t="s">
        <v>476</v>
      </c>
      <c r="E123" s="3" t="s">
        <v>50</v>
      </c>
      <c r="F123" s="3" t="s">
        <v>51</v>
      </c>
      <c r="G123" s="116" t="s">
        <v>477</v>
      </c>
      <c r="H123" s="6">
        <v>9248969</v>
      </c>
      <c r="I123" s="2" t="s">
        <v>164</v>
      </c>
      <c r="J123" s="2" t="s">
        <v>87</v>
      </c>
      <c r="K123" s="7"/>
      <c r="L123" s="7" t="s">
        <v>55</v>
      </c>
      <c r="M123" s="3" t="s">
        <v>66</v>
      </c>
      <c r="N123" s="3" t="s">
        <v>57</v>
      </c>
      <c r="O123" s="136">
        <v>46157</v>
      </c>
      <c r="P123" s="112">
        <v>46624</v>
      </c>
      <c r="Q123" s="112" t="s">
        <v>80</v>
      </c>
      <c r="R123" s="3" t="str">
        <f ca="1">IF(M123="Arrojado","IPCA+6%",IF(M123="Arrojado Renda Construção","IPCA+6%",IF(M123="Arrojado Renda Usufruto","IPCA+6%",IF(M123="Moderado","IPCA+5%",IF(M123="Moderado Renda Construção","IPCA+5%",IF(M123="Moderado Renda Usufruto","IPCA+5%",IF(M123="Conservador","IPCA+4%",IF(M123="Conservador Renda Construção","IPCA+4%",IF(M123="Conservador Renda Usufruto","IPCA+4%",IF(M123="Ultraconservador","IPCA+4%",""))))))))))</f>
        <v>IPCA+4%</v>
      </c>
      <c r="S123" s="3" t="s">
        <v>59</v>
      </c>
      <c r="T123" s="3"/>
      <c r="U123" s="3"/>
      <c r="V123" s="130"/>
      <c r="W123" s="3"/>
      <c r="X123" s="3"/>
      <c r="Y123" s="3"/>
      <c r="Z123" s="114" t="s">
        <v>460</v>
      </c>
      <c r="AA123" s="78">
        <v>0</v>
      </c>
      <c r="AB123" s="78">
        <v>0</v>
      </c>
      <c r="AC123" s="78">
        <v>0</v>
      </c>
      <c r="AD123" s="78">
        <v>0</v>
      </c>
      <c r="AE123" s="78">
        <v>0</v>
      </c>
      <c r="AF123" s="78">
        <v>0</v>
      </c>
      <c r="AG123" s="78">
        <v>0</v>
      </c>
      <c r="AH123" s="78">
        <v>0</v>
      </c>
      <c r="AI123" s="78">
        <v>0</v>
      </c>
      <c r="AJ123" s="78">
        <v>0</v>
      </c>
      <c r="AK123" s="78">
        <v>0</v>
      </c>
      <c r="AL123" s="78">
        <v>0</v>
      </c>
      <c r="AM123" s="78">
        <v>0</v>
      </c>
      <c r="AN123" s="111" t="s">
        <v>104</v>
      </c>
      <c r="AO123" s="78">
        <v>100000</v>
      </c>
      <c r="AP123" s="78">
        <v>28349.99</v>
      </c>
      <c r="AQ123" s="78">
        <v>0</v>
      </c>
      <c r="AR123" s="78">
        <v>0</v>
      </c>
      <c r="AS123" s="78">
        <v>0</v>
      </c>
      <c r="AT123" s="122">
        <v>0</v>
      </c>
      <c r="AU123" s="122">
        <v>0</v>
      </c>
      <c r="AV123" s="122">
        <v>0</v>
      </c>
    </row>
    <row r="124" spans="1:48">
      <c r="A124" s="1" t="s">
        <v>48</v>
      </c>
      <c r="B124" s="5" t="s">
        <v>478</v>
      </c>
      <c r="C124" s="5" t="s">
        <v>478</v>
      </c>
      <c r="D124" s="5" t="s">
        <v>478</v>
      </c>
      <c r="E124" s="3" t="s">
        <v>50</v>
      </c>
      <c r="F124" s="3" t="s">
        <v>51</v>
      </c>
      <c r="G124" s="5" t="s">
        <v>479</v>
      </c>
      <c r="H124" s="6" t="s">
        <v>480</v>
      </c>
      <c r="I124" s="2" t="s">
        <v>86</v>
      </c>
      <c r="J124" s="2" t="s">
        <v>54</v>
      </c>
      <c r="K124" s="7">
        <v>46283</v>
      </c>
      <c r="L124" s="7" t="s">
        <v>55</v>
      </c>
      <c r="M124" s="3"/>
      <c r="N124" s="3" t="s">
        <v>67</v>
      </c>
      <c r="O124" s="112">
        <v>46521</v>
      </c>
      <c r="P124" s="112">
        <v>46521</v>
      </c>
      <c r="Q124" s="112" t="s">
        <v>58</v>
      </c>
      <c r="R124" s="3"/>
      <c r="S124" s="3"/>
      <c r="T124" s="3"/>
      <c r="U124" s="3"/>
      <c r="V124" s="130"/>
      <c r="W124" s="3"/>
      <c r="X124" s="3"/>
      <c r="Y124" s="3"/>
      <c r="Z124" s="114" t="s">
        <v>481</v>
      </c>
      <c r="AA124" s="78">
        <v>0</v>
      </c>
      <c r="AB124" s="78">
        <v>0</v>
      </c>
      <c r="AC124" s="78">
        <v>0</v>
      </c>
      <c r="AD124" s="78">
        <v>0</v>
      </c>
      <c r="AE124" s="78">
        <v>0</v>
      </c>
      <c r="AF124" s="78">
        <v>0</v>
      </c>
      <c r="AG124" s="78">
        <v>0</v>
      </c>
      <c r="AH124" s="78">
        <v>0</v>
      </c>
      <c r="AI124" s="78">
        <v>0</v>
      </c>
      <c r="AJ124" s="78">
        <v>0</v>
      </c>
      <c r="AK124" s="78">
        <v>0</v>
      </c>
      <c r="AL124" s="78">
        <v>0</v>
      </c>
      <c r="AM124" s="78">
        <v>0</v>
      </c>
      <c r="AN124" s="78">
        <v>0</v>
      </c>
      <c r="AO124" s="78">
        <v>0</v>
      </c>
      <c r="AP124" s="78">
        <v>0</v>
      </c>
      <c r="AQ124" s="78">
        <v>0</v>
      </c>
      <c r="AR124" s="78">
        <v>0</v>
      </c>
      <c r="AS124" s="78">
        <v>0</v>
      </c>
      <c r="AT124" s="78">
        <v>0</v>
      </c>
      <c r="AU124" s="160">
        <v>1948995.31</v>
      </c>
      <c r="AV124" s="160">
        <v>2024558.452</v>
      </c>
    </row>
    <row r="125" spans="1:48">
      <c r="A125" s="1" t="s">
        <v>106</v>
      </c>
      <c r="B125" s="5" t="s">
        <v>482</v>
      </c>
      <c r="C125" s="5" t="s">
        <v>482</v>
      </c>
      <c r="D125" s="5" t="s">
        <v>483</v>
      </c>
      <c r="E125" s="3" t="s">
        <v>50</v>
      </c>
      <c r="F125" s="3" t="s">
        <v>51</v>
      </c>
      <c r="G125" s="5" t="s">
        <v>484</v>
      </c>
      <c r="H125" s="6">
        <v>52778847</v>
      </c>
      <c r="I125" s="2" t="s">
        <v>117</v>
      </c>
      <c r="J125" s="2" t="s">
        <v>54</v>
      </c>
      <c r="K125" s="7"/>
      <c r="L125" s="7" t="s">
        <v>55</v>
      </c>
      <c r="M125" s="3" t="s">
        <v>146</v>
      </c>
      <c r="N125" s="3" t="s">
        <v>57</v>
      </c>
      <c r="O125" s="112"/>
      <c r="P125" s="112"/>
      <c r="Q125" s="112" t="s">
        <v>118</v>
      </c>
      <c r="R125" s="3" t="str">
        <f ca="1">IF(M125="Arrojado","IPCA+6%",IF(M125="Arrojado Renda Construção","IPCA+6%",IF(M125="Arrojado Renda Usufruto","IPCA+6%",IF(M125="Moderado","IPCA+5%",IF(M125="Moderado Renda Construção","IPCA+5%",IF(M125="Moderado Renda Usufruto","IPCA+5%",IF(M125="Conservador","IPCA+4%",IF(M125="Conservador Renda Construção","IPCA+4%",IF(M125="Conservador Renda Usufruto","IPCA+4%",IF(M125="Ultraconservador","IPCA+4%",""))))))))))</f>
        <v>IPCA+5%</v>
      </c>
      <c r="S125" s="3" t="s">
        <v>69</v>
      </c>
      <c r="T125" s="3" t="s">
        <v>69</v>
      </c>
      <c r="U125" s="3" t="s">
        <v>69</v>
      </c>
      <c r="V125" s="130" t="s">
        <v>485</v>
      </c>
      <c r="W125" s="3" t="s">
        <v>69</v>
      </c>
      <c r="X125" s="3" t="s">
        <v>59</v>
      </c>
      <c r="Y125" s="3" t="s">
        <v>203</v>
      </c>
      <c r="Z125" s="114" t="s">
        <v>486</v>
      </c>
      <c r="AA125" s="77">
        <v>0</v>
      </c>
      <c r="AB125" s="77">
        <v>0</v>
      </c>
      <c r="AC125" s="77">
        <v>0</v>
      </c>
      <c r="AD125" s="77">
        <v>0</v>
      </c>
      <c r="AE125" s="77">
        <v>0</v>
      </c>
      <c r="AF125" s="77">
        <v>0</v>
      </c>
      <c r="AG125" s="77">
        <v>0</v>
      </c>
      <c r="AH125" s="77">
        <v>0</v>
      </c>
      <c r="AI125" s="77">
        <v>0</v>
      </c>
      <c r="AJ125" s="77">
        <v>0</v>
      </c>
      <c r="AK125" s="77">
        <v>0</v>
      </c>
      <c r="AL125" s="77">
        <v>0</v>
      </c>
      <c r="AM125" s="77">
        <v>0</v>
      </c>
      <c r="AN125" s="77" t="s">
        <v>185</v>
      </c>
      <c r="AO125" s="77">
        <v>0</v>
      </c>
      <c r="AP125" s="77">
        <v>0</v>
      </c>
      <c r="AQ125" s="80">
        <v>0</v>
      </c>
      <c r="AR125" s="80">
        <v>0</v>
      </c>
      <c r="AS125" s="80">
        <v>0</v>
      </c>
      <c r="AT125" s="132">
        <v>0</v>
      </c>
      <c r="AU125" s="132">
        <v>0</v>
      </c>
      <c r="AV125" s="132">
        <v>0</v>
      </c>
    </row>
    <row r="126" spans="1:48">
      <c r="A126" s="1" t="s">
        <v>48</v>
      </c>
      <c r="B126" s="5" t="s">
        <v>482</v>
      </c>
      <c r="C126" s="5" t="s">
        <v>482</v>
      </c>
      <c r="D126" s="5" t="s">
        <v>482</v>
      </c>
      <c r="E126" s="3" t="s">
        <v>50</v>
      </c>
      <c r="F126" s="3" t="s">
        <v>51</v>
      </c>
      <c r="G126" s="5" t="s">
        <v>487</v>
      </c>
      <c r="H126" s="6">
        <v>598451</v>
      </c>
      <c r="I126" s="2" t="s">
        <v>117</v>
      </c>
      <c r="J126" s="2" t="s">
        <v>54</v>
      </c>
      <c r="K126" s="7">
        <v>45568</v>
      </c>
      <c r="L126" s="7" t="s">
        <v>55</v>
      </c>
      <c r="M126" s="3" t="s">
        <v>146</v>
      </c>
      <c r="N126" s="3" t="s">
        <v>57</v>
      </c>
      <c r="O126" s="112">
        <v>46712</v>
      </c>
      <c r="P126" s="112">
        <v>47219</v>
      </c>
      <c r="Q126" s="112" t="s">
        <v>118</v>
      </c>
      <c r="R126" s="3" t="str">
        <f ca="1">IF(M126="Arrojado","IPCA+6%",IF(M126="Arrojado Renda Construção","IPCA+6%",IF(M126="Arrojado Renda Usufruto","IPCA+6%",IF(M126="Moderado","IPCA+5%",IF(M126="Moderado Renda Construção","IPCA+5%",IF(M126="Moderado Renda Usufruto","IPCA+5%",IF(M126="Conservador","IPCA+4%",IF(M126="Conservador Renda Construção","IPCA+4%",IF(M126="Conservador Renda Usufruto","IPCA+4%",IF(M126="Ultraconservador","IPCA+4%",""))))))))))</f>
        <v>IPCA+5%</v>
      </c>
      <c r="S126" s="3" t="s">
        <v>59</v>
      </c>
      <c r="T126" s="3" t="s">
        <v>69</v>
      </c>
      <c r="U126" s="3" t="s">
        <v>69</v>
      </c>
      <c r="V126" s="130" t="s">
        <v>485</v>
      </c>
      <c r="W126" s="3" t="s">
        <v>69</v>
      </c>
      <c r="X126" s="3" t="s">
        <v>59</v>
      </c>
      <c r="Y126" s="3" t="s">
        <v>203</v>
      </c>
      <c r="Z126" s="114" t="s">
        <v>486</v>
      </c>
      <c r="AA126" s="78">
        <v>1982076.27</v>
      </c>
      <c r="AB126" s="78">
        <v>2015184.7</v>
      </c>
      <c r="AC126" s="78">
        <v>2047547.98</v>
      </c>
      <c r="AD126" s="78">
        <v>2086102.71</v>
      </c>
      <c r="AE126" s="78">
        <v>2100418.2999999998</v>
      </c>
      <c r="AF126" s="78">
        <v>2110733.2200000002</v>
      </c>
      <c r="AG126" s="78">
        <v>2099283.9700000002</v>
      </c>
      <c r="AH126" s="78">
        <v>2115577.87</v>
      </c>
      <c r="AI126" s="78">
        <v>2141250</v>
      </c>
      <c r="AJ126" s="78">
        <v>2148132.3199999998</v>
      </c>
      <c r="AK126" s="78">
        <v>2150305.0099999998</v>
      </c>
      <c r="AL126" s="78">
        <v>2175661.04</v>
      </c>
      <c r="AM126" s="78">
        <v>2200743.2400000002</v>
      </c>
      <c r="AN126" s="111">
        <v>2215160.64</v>
      </c>
      <c r="AO126" s="78">
        <v>2203600.62</v>
      </c>
      <c r="AP126" s="78">
        <v>2226696.42</v>
      </c>
      <c r="AQ126" s="78">
        <v>2213015.5843874998</v>
      </c>
      <c r="AR126" s="79">
        <v>2181120.29</v>
      </c>
      <c r="AS126" s="79">
        <v>2191711</v>
      </c>
      <c r="AT126" s="122">
        <v>2181759.1949999998</v>
      </c>
      <c r="AU126" s="122">
        <v>2186388.66</v>
      </c>
      <c r="AV126" s="122">
        <v>2248048.0639999998</v>
      </c>
    </row>
    <row r="127" spans="1:48">
      <c r="A127" s="1" t="s">
        <v>48</v>
      </c>
      <c r="B127" s="5" t="s">
        <v>488</v>
      </c>
      <c r="C127" s="5" t="s">
        <v>488</v>
      </c>
      <c r="D127" s="5" t="s">
        <v>488</v>
      </c>
      <c r="E127" s="3" t="s">
        <v>50</v>
      </c>
      <c r="F127" s="3" t="s">
        <v>51</v>
      </c>
      <c r="G127" s="5" t="s">
        <v>489</v>
      </c>
      <c r="H127" s="6">
        <v>68501</v>
      </c>
      <c r="I127" s="2" t="s">
        <v>490</v>
      </c>
      <c r="J127" s="2" t="s">
        <v>54</v>
      </c>
      <c r="K127" s="7">
        <v>45643</v>
      </c>
      <c r="L127" s="7" t="s">
        <v>55</v>
      </c>
      <c r="M127" s="3" t="s">
        <v>146</v>
      </c>
      <c r="N127" s="3" t="s">
        <v>57</v>
      </c>
      <c r="O127" s="112">
        <v>47291</v>
      </c>
      <c r="P127" s="112">
        <v>47291</v>
      </c>
      <c r="Q127" s="112" t="s">
        <v>118</v>
      </c>
      <c r="R127" s="3" t="str">
        <f ca="1">IF(M127="Arrojado","IPCA+6%",IF(M127="Arrojado Renda Construção","IPCA+6%",IF(M127="Arrojado Renda Usufruto","IPCA+6%",IF(M127="Moderado","IPCA+5%",IF(M127="Moderado Renda Construção","IPCA+5%",IF(M127="Moderado Renda Usufruto","IPCA+5%",IF(M127="Conservador","IPCA+4%",IF(M127="Conservador Renda Construção","IPCA+4%",IF(M127="Conservador Renda Usufruto","IPCA+4%",IF(M127="Ultraconservador","IPCA+4%",""))))))))))</f>
        <v>IPCA+5%</v>
      </c>
      <c r="S127" s="3" t="s">
        <v>59</v>
      </c>
      <c r="T127" s="3" t="s">
        <v>69</v>
      </c>
      <c r="U127" s="3" t="s">
        <v>69</v>
      </c>
      <c r="V127" s="130" t="s">
        <v>491</v>
      </c>
      <c r="W127" s="3" t="s">
        <v>69</v>
      </c>
      <c r="X127" s="3" t="s">
        <v>59</v>
      </c>
      <c r="Y127" s="3" t="s">
        <v>203</v>
      </c>
      <c r="Z127" s="114" t="s">
        <v>492</v>
      </c>
      <c r="AA127" s="78">
        <v>2209012.98</v>
      </c>
      <c r="AB127" s="78">
        <v>2245405.73</v>
      </c>
      <c r="AC127" s="78">
        <v>2272935.7999999998</v>
      </c>
      <c r="AD127" s="78">
        <v>1986963.09</v>
      </c>
      <c r="AE127" s="78">
        <v>1795494.36</v>
      </c>
      <c r="AF127" s="78">
        <v>1810406.71</v>
      </c>
      <c r="AG127" s="78">
        <v>1803790.82</v>
      </c>
      <c r="AH127" s="78">
        <v>1817215.72</v>
      </c>
      <c r="AI127" s="78">
        <v>1856321.92</v>
      </c>
      <c r="AJ127" s="78">
        <v>1877291.26</v>
      </c>
      <c r="AK127" s="78">
        <v>1886396.76</v>
      </c>
      <c r="AL127" s="78">
        <v>1922614.47</v>
      </c>
      <c r="AM127" s="78">
        <v>1952775.54</v>
      </c>
      <c r="AN127" s="111">
        <v>1961884.78</v>
      </c>
      <c r="AO127" s="78">
        <v>1965725.76</v>
      </c>
      <c r="AP127" s="78">
        <v>1978310.43</v>
      </c>
      <c r="AQ127" s="78">
        <v>1967315.1593508499</v>
      </c>
      <c r="AR127" s="79">
        <v>1950856.45</v>
      </c>
      <c r="AS127" s="79">
        <v>1962773</v>
      </c>
      <c r="AT127" s="122">
        <v>1966687.93</v>
      </c>
      <c r="AU127" s="122">
        <v>1973260.93</v>
      </c>
      <c r="AV127" s="122">
        <v>2006098.3870000001</v>
      </c>
    </row>
    <row r="128" spans="1:48">
      <c r="A128" s="1" t="s">
        <v>73</v>
      </c>
      <c r="B128" s="5" t="s">
        <v>493</v>
      </c>
      <c r="C128" s="5" t="s">
        <v>369</v>
      </c>
      <c r="D128" s="5" t="s">
        <v>493</v>
      </c>
      <c r="E128" s="3" t="s">
        <v>50</v>
      </c>
      <c r="F128" s="3" t="s">
        <v>51</v>
      </c>
      <c r="G128" s="5" t="s">
        <v>494</v>
      </c>
      <c r="H128" s="6">
        <v>4466342</v>
      </c>
      <c r="I128" s="2" t="s">
        <v>86</v>
      </c>
      <c r="J128" s="2" t="s">
        <v>87</v>
      </c>
      <c r="K128" s="7"/>
      <c r="L128" s="7" t="s">
        <v>226</v>
      </c>
      <c r="M128" s="3" t="s">
        <v>243</v>
      </c>
      <c r="N128" s="3" t="s">
        <v>67</v>
      </c>
      <c r="O128" s="112">
        <v>46281</v>
      </c>
      <c r="P128" s="112">
        <v>47009</v>
      </c>
      <c r="Q128" s="112" t="s">
        <v>136</v>
      </c>
      <c r="R128" s="3" t="str">
        <f ca="1">IF(M128="Arrojado","IPCA+6%",IF(M128="Arrojado Renda Construção","IPCA+6%",IF(M128="Arrojado Renda Usufruto","IPCA+6%",IF(M128="Moderado","IPCA+5%",IF(M128="Moderado Renda Construção","IPCA+5%",IF(M128="Moderado Renda Usufruto","IPCA+5%",IF(M128="Conservador","IPCA+4%",IF(M128="Conservador Renda Construção","IPCA+4%",IF(M128="Conservador Renda Usufruto","IPCA+4%",IF(M128="Ultraconservador","IPCA+4%",""))))))))))</f>
        <v>IPCA+5%</v>
      </c>
      <c r="S128" s="3" t="s">
        <v>59</v>
      </c>
      <c r="T128" s="3" t="s">
        <v>59</v>
      </c>
      <c r="U128" s="3" t="s">
        <v>69</v>
      </c>
      <c r="V128" s="130" t="s">
        <v>495</v>
      </c>
      <c r="W128" s="3" t="s">
        <v>59</v>
      </c>
      <c r="X128" s="3" t="s">
        <v>59</v>
      </c>
      <c r="Y128" s="3"/>
      <c r="Z128" s="114" t="s">
        <v>496</v>
      </c>
      <c r="AA128" s="78">
        <v>5115402.3</v>
      </c>
      <c r="AB128" s="78">
        <v>5085449.8</v>
      </c>
      <c r="AC128" s="78">
        <v>5150290.9400000004</v>
      </c>
      <c r="AD128" s="78" t="s">
        <v>497</v>
      </c>
      <c r="AE128" s="78">
        <v>4929699.9400000004</v>
      </c>
      <c r="AF128" s="78">
        <v>4702841.3600000003</v>
      </c>
      <c r="AG128" s="78">
        <v>4558610.6900000004</v>
      </c>
      <c r="AH128" s="78">
        <v>4482193.54</v>
      </c>
      <c r="AI128" s="78">
        <v>4306039.22</v>
      </c>
      <c r="AJ128" s="78">
        <v>4277891.4800000004</v>
      </c>
      <c r="AK128" s="78">
        <v>3430063.02</v>
      </c>
      <c r="AL128" s="78">
        <v>3351041.86</v>
      </c>
      <c r="AM128" s="78">
        <v>3256041.9800000004</v>
      </c>
      <c r="AN128" s="111">
        <v>2944572.87</v>
      </c>
      <c r="AO128" s="78">
        <v>2171882.83</v>
      </c>
      <c r="AP128" s="78">
        <v>2131982.7600000002</v>
      </c>
      <c r="AQ128" s="78">
        <v>2106425.41</v>
      </c>
      <c r="AR128" s="78">
        <v>2122025.6399999997</v>
      </c>
      <c r="AS128" s="78">
        <v>2131780.87</v>
      </c>
      <c r="AT128" s="122">
        <v>2152592.27</v>
      </c>
      <c r="AU128" s="122">
        <v>1769490.78</v>
      </c>
      <c r="AV128" s="122">
        <v>1705080.76</v>
      </c>
    </row>
    <row r="129" spans="1:51">
      <c r="A129" s="1" t="s">
        <v>48</v>
      </c>
      <c r="B129" s="5" t="s">
        <v>498</v>
      </c>
      <c r="C129" s="5" t="s">
        <v>498</v>
      </c>
      <c r="D129" s="161" t="s">
        <v>498</v>
      </c>
      <c r="E129" s="3" t="s">
        <v>50</v>
      </c>
      <c r="F129" s="3" t="s">
        <v>51</v>
      </c>
      <c r="G129" s="5" t="s">
        <v>499</v>
      </c>
      <c r="H129" s="6">
        <v>17866382</v>
      </c>
      <c r="I129" s="2" t="s">
        <v>117</v>
      </c>
      <c r="J129" s="2" t="s">
        <v>54</v>
      </c>
      <c r="K129" s="7">
        <v>45801</v>
      </c>
      <c r="L129" s="7" t="s">
        <v>55</v>
      </c>
      <c r="M129" s="3" t="s">
        <v>192</v>
      </c>
      <c r="N129" s="3" t="s">
        <v>57</v>
      </c>
      <c r="O129" s="112">
        <v>46383</v>
      </c>
      <c r="P129" s="112">
        <v>46383</v>
      </c>
      <c r="Q129" s="112" t="s">
        <v>136</v>
      </c>
      <c r="R129" s="3" t="str">
        <f ca="1">IF(M129="Arrojado","IPCA+6%",IF(M129="Arrojado Renda Construção","IPCA+6%",IF(M129="Arrojado Renda Usufruto","IPCA+6%",IF(M129="Moderado","IPCA+5%",IF(M129="Moderado Renda Construção","IPCA+5%",IF(M129="Moderado Renda Usufruto","IPCA+5%",IF(M129="Conservador","IPCA+4%",IF(M129="Conservador Renda Construção","IPCA+4%",IF(M129="Conservador Renda Usufruto","IPCA+4%",IF(M129="Ultraconservador","IPCA+4%",""))))))))))</f>
        <v>IPCA+4%</v>
      </c>
      <c r="S129" s="3" t="s">
        <v>59</v>
      </c>
      <c r="T129" s="3" t="s">
        <v>59</v>
      </c>
      <c r="U129" s="3" t="s">
        <v>59</v>
      </c>
      <c r="V129" s="130" t="s">
        <v>500</v>
      </c>
      <c r="W129" s="3" t="s">
        <v>59</v>
      </c>
      <c r="X129" s="3" t="s">
        <v>69</v>
      </c>
      <c r="Y129" s="3" t="s">
        <v>71</v>
      </c>
      <c r="Z129" s="114" t="s">
        <v>501</v>
      </c>
      <c r="AA129" s="78">
        <v>0</v>
      </c>
      <c r="AB129" s="78">
        <v>0</v>
      </c>
      <c r="AC129" s="78">
        <v>701051.5</v>
      </c>
      <c r="AD129" s="78">
        <v>705497.92</v>
      </c>
      <c r="AE129" s="78">
        <v>773835.26</v>
      </c>
      <c r="AF129" s="78">
        <v>780991.46</v>
      </c>
      <c r="AG129" s="78">
        <v>791348.38</v>
      </c>
      <c r="AH129" s="78">
        <v>800355.12</v>
      </c>
      <c r="AI129" s="78">
        <v>801137.83</v>
      </c>
      <c r="AJ129" s="78">
        <v>807347.29</v>
      </c>
      <c r="AK129" s="78">
        <v>814262.95</v>
      </c>
      <c r="AL129" s="78">
        <v>824131.86</v>
      </c>
      <c r="AM129" s="78">
        <v>834648.77</v>
      </c>
      <c r="AN129" s="111">
        <v>840427.45</v>
      </c>
      <c r="AO129" s="78">
        <v>846877.14</v>
      </c>
      <c r="AP129" s="78">
        <v>853363.31</v>
      </c>
      <c r="AQ129" s="78">
        <v>872067.84276000003</v>
      </c>
      <c r="AR129" s="79">
        <v>863461.84</v>
      </c>
      <c r="AS129" s="79">
        <v>880644.4</v>
      </c>
      <c r="AT129" s="122">
        <v>889970.42599999998</v>
      </c>
      <c r="AU129" s="122">
        <v>894539.96</v>
      </c>
      <c r="AV129" s="122">
        <v>900503.95409999997</v>
      </c>
    </row>
    <row r="130" spans="1:51">
      <c r="A130" s="1" t="s">
        <v>48</v>
      </c>
      <c r="B130" s="5" t="s">
        <v>498</v>
      </c>
      <c r="C130" s="5" t="s">
        <v>498</v>
      </c>
      <c r="D130" s="158" t="s">
        <v>498</v>
      </c>
      <c r="E130" s="3" t="s">
        <v>50</v>
      </c>
      <c r="F130" s="3" t="s">
        <v>51</v>
      </c>
      <c r="G130" s="5" t="s">
        <v>499</v>
      </c>
      <c r="H130" s="6" t="s">
        <v>502</v>
      </c>
      <c r="I130" s="2" t="s">
        <v>117</v>
      </c>
      <c r="J130" s="2" t="s">
        <v>54</v>
      </c>
      <c r="K130" s="7">
        <v>46163</v>
      </c>
      <c r="L130" s="7" t="s">
        <v>55</v>
      </c>
      <c r="M130" s="3" t="s">
        <v>192</v>
      </c>
      <c r="N130" s="3" t="s">
        <v>57</v>
      </c>
      <c r="O130" s="112">
        <v>46383</v>
      </c>
      <c r="P130" s="112">
        <v>46383</v>
      </c>
      <c r="Q130" s="112" t="s">
        <v>136</v>
      </c>
      <c r="R130" s="3" t="str">
        <f ca="1">IF(M130="Arrojado","IPCA+6%",IF(M130="Arrojado Renda Construção","IPCA+6%",IF(M130="Arrojado Renda Usufruto","IPCA+6%",IF(M130="Moderado","IPCA+5%",IF(M130="Moderado Renda Construção","IPCA+5%",IF(M130="Moderado Renda Usufruto","IPCA+5%",IF(M130="Conservador","IPCA+4%",IF(M130="Conservador Renda Construção","IPCA+4%",IF(M130="Conservador Renda Usufruto","IPCA+4%",IF(M130="Ultraconservador","IPCA+4%",""))))))))))</f>
        <v>IPCA+4%</v>
      </c>
      <c r="S130" s="3" t="s">
        <v>59</v>
      </c>
      <c r="T130" s="3" t="s">
        <v>59</v>
      </c>
      <c r="U130" s="3" t="s">
        <v>59</v>
      </c>
      <c r="V130" s="130" t="s">
        <v>500</v>
      </c>
      <c r="W130" s="3" t="s">
        <v>59</v>
      </c>
      <c r="X130" s="3" t="s">
        <v>69</v>
      </c>
      <c r="Y130" s="3" t="s">
        <v>71</v>
      </c>
      <c r="Z130" s="114" t="s">
        <v>501</v>
      </c>
      <c r="AA130" s="78">
        <v>0</v>
      </c>
      <c r="AB130" s="78">
        <v>0</v>
      </c>
      <c r="AC130" s="78">
        <v>0</v>
      </c>
      <c r="AD130" s="78">
        <v>0</v>
      </c>
      <c r="AE130" s="78">
        <v>0</v>
      </c>
      <c r="AF130" s="78">
        <v>0</v>
      </c>
      <c r="AG130" s="78">
        <v>0</v>
      </c>
      <c r="AH130" s="78">
        <v>0</v>
      </c>
      <c r="AI130" s="78">
        <v>0</v>
      </c>
      <c r="AJ130" s="78">
        <v>0</v>
      </c>
      <c r="AK130" s="78">
        <v>0</v>
      </c>
      <c r="AL130" s="78">
        <v>0</v>
      </c>
      <c r="AM130" s="78">
        <v>0</v>
      </c>
      <c r="AN130" s="78">
        <v>0</v>
      </c>
      <c r="AO130" s="78">
        <v>0</v>
      </c>
      <c r="AP130" s="78">
        <v>0</v>
      </c>
      <c r="AQ130" s="78">
        <v>0</v>
      </c>
      <c r="AR130" s="78">
        <v>0</v>
      </c>
      <c r="AS130" s="78">
        <v>0</v>
      </c>
      <c r="AT130" s="78">
        <v>0</v>
      </c>
      <c r="AU130" s="78" t="s">
        <v>105</v>
      </c>
      <c r="AV130" s="78">
        <v>0</v>
      </c>
    </row>
    <row r="131" spans="1:51">
      <c r="A131" s="1" t="s">
        <v>95</v>
      </c>
      <c r="B131" s="5" t="s">
        <v>498</v>
      </c>
      <c r="C131" s="5" t="s">
        <v>498</v>
      </c>
      <c r="D131" s="5" t="s">
        <v>498</v>
      </c>
      <c r="E131" s="3" t="s">
        <v>50</v>
      </c>
      <c r="F131" s="3" t="s">
        <v>51</v>
      </c>
      <c r="G131" s="5" t="s">
        <v>503</v>
      </c>
      <c r="H131" s="6" t="s">
        <v>504</v>
      </c>
      <c r="I131" s="2" t="s">
        <v>117</v>
      </c>
      <c r="J131" s="82" t="s">
        <v>54</v>
      </c>
      <c r="K131" s="7">
        <v>46163</v>
      </c>
      <c r="L131" s="7" t="s">
        <v>55</v>
      </c>
      <c r="M131" s="3"/>
      <c r="N131" s="3" t="s">
        <v>57</v>
      </c>
      <c r="O131" s="112">
        <v>46383</v>
      </c>
      <c r="P131" s="112">
        <v>46383</v>
      </c>
      <c r="Q131" s="112" t="s">
        <v>136</v>
      </c>
      <c r="R131" s="3" t="str">
        <f ca="1">IF(M131="Arrojado","IPCA+6%",IF(M131="Arrojado Renda Construção","IPCA+6%",IF(M131="Arrojado Renda Usufruto","IPCA+6%",IF(M131="Moderado","IPCA+5%",IF(M131="Moderado Renda Construção","IPCA+5%",IF(M131="Moderado Renda Usufruto","IPCA+5%",IF(M131="Conservador","IPCA+4%",IF(M131="Conservador Renda Construção","IPCA+4%",IF(M131="Conservador Renda Usufruto","IPCA+4%",IF(M131="Ultraconservador","IPCA+4%",""))))))))))</f>
        <v/>
      </c>
      <c r="S131" s="3" t="s">
        <v>59</v>
      </c>
      <c r="T131" s="3" t="s">
        <v>59</v>
      </c>
      <c r="U131" s="3" t="s">
        <v>59</v>
      </c>
      <c r="V131" s="130" t="s">
        <v>500</v>
      </c>
      <c r="W131" s="3" t="s">
        <v>59</v>
      </c>
      <c r="X131" s="3" t="s">
        <v>69</v>
      </c>
      <c r="Y131" s="3" t="s">
        <v>71</v>
      </c>
      <c r="Z131" s="114" t="s">
        <v>501</v>
      </c>
      <c r="AA131" s="77">
        <v>0</v>
      </c>
      <c r="AB131" s="77">
        <v>0</v>
      </c>
      <c r="AC131" s="77">
        <v>0</v>
      </c>
      <c r="AD131" s="77">
        <v>0</v>
      </c>
      <c r="AE131" s="77">
        <v>0</v>
      </c>
      <c r="AF131" s="77">
        <v>0</v>
      </c>
      <c r="AG131" s="77">
        <v>0</v>
      </c>
      <c r="AH131" s="77">
        <v>0</v>
      </c>
      <c r="AI131" s="77">
        <v>0</v>
      </c>
      <c r="AJ131" s="77">
        <v>0</v>
      </c>
      <c r="AK131" s="77">
        <v>0</v>
      </c>
      <c r="AL131" s="77">
        <v>0</v>
      </c>
      <c r="AM131" s="77">
        <v>0</v>
      </c>
      <c r="AN131" s="77" t="s">
        <v>104</v>
      </c>
      <c r="AO131" s="77">
        <v>0</v>
      </c>
      <c r="AP131" s="77">
        <v>0</v>
      </c>
      <c r="AQ131" s="77">
        <v>0</v>
      </c>
      <c r="AR131" s="77">
        <v>0</v>
      </c>
      <c r="AS131" s="77">
        <v>0</v>
      </c>
      <c r="AT131" s="132">
        <v>96850.65</v>
      </c>
      <c r="AU131" s="132">
        <v>92925.34</v>
      </c>
      <c r="AV131" s="132">
        <v>92925.34</v>
      </c>
    </row>
    <row r="132" spans="1:51">
      <c r="A132" s="1" t="s">
        <v>106</v>
      </c>
      <c r="B132" s="5" t="s">
        <v>505</v>
      </c>
      <c r="C132" s="5" t="s">
        <v>505</v>
      </c>
      <c r="D132" s="5" t="s">
        <v>505</v>
      </c>
      <c r="E132" s="3" t="s">
        <v>50</v>
      </c>
      <c r="F132" s="3" t="s">
        <v>51</v>
      </c>
      <c r="G132" s="5" t="s">
        <v>506</v>
      </c>
      <c r="H132" s="6">
        <v>26245282</v>
      </c>
      <c r="I132" s="2" t="s">
        <v>86</v>
      </c>
      <c r="J132" s="2" t="s">
        <v>54</v>
      </c>
      <c r="K132" s="7"/>
      <c r="L132" s="7" t="s">
        <v>55</v>
      </c>
      <c r="M132" s="3" t="s">
        <v>56</v>
      </c>
      <c r="N132" s="3" t="s">
        <v>57</v>
      </c>
      <c r="O132" s="112"/>
      <c r="P132" s="112"/>
      <c r="Q132" s="112" t="s">
        <v>118</v>
      </c>
      <c r="R132" s="3" t="str">
        <f ca="1">IF(M132="Arrojado","IPCA+6%",IF(M132="Arrojado Renda Construção","IPCA+6%",IF(M132="Arrojado Renda Usufruto","IPCA+6%",IF(M132="Moderado","IPCA+5%",IF(M132="Moderado Renda Construção","IPCA+5%",IF(M132="Moderado Renda Usufruto","IPCA+5%",IF(M132="Conservador","IPCA+4%",IF(M132="Conservador Renda Construção","IPCA+4%",IF(M132="Conservador Renda Usufruto","IPCA+4%",IF(M132="Ultraconservador","IPCA+4%",""))))))))))</f>
        <v>IPCA+5%</v>
      </c>
      <c r="S132" s="3" t="s">
        <v>69</v>
      </c>
      <c r="T132" s="3" t="s">
        <v>59</v>
      </c>
      <c r="U132" s="3" t="s">
        <v>59</v>
      </c>
      <c r="V132" s="130" t="s">
        <v>507</v>
      </c>
      <c r="W132" s="3" t="s">
        <v>59</v>
      </c>
      <c r="X132" s="3" t="s">
        <v>69</v>
      </c>
      <c r="Y132" s="3" t="s">
        <v>138</v>
      </c>
      <c r="Z132" s="114" t="s">
        <v>508</v>
      </c>
      <c r="AA132" s="77">
        <v>159604.1</v>
      </c>
      <c r="AB132" s="77">
        <v>163150.38</v>
      </c>
      <c r="AC132" s="77">
        <v>158995.35</v>
      </c>
      <c r="AD132" s="77">
        <v>156773.96</v>
      </c>
      <c r="AE132" s="77">
        <v>160655.67000000001</v>
      </c>
      <c r="AF132" s="77">
        <v>164768.32000000001</v>
      </c>
      <c r="AG132" s="77">
        <v>166787.03</v>
      </c>
      <c r="AH132" s="77">
        <v>173410.24</v>
      </c>
      <c r="AI132" s="77">
        <v>169716.44</v>
      </c>
      <c r="AJ132" s="77">
        <v>170505.02</v>
      </c>
      <c r="AK132" s="77">
        <v>172598.71</v>
      </c>
      <c r="AL132" s="77">
        <v>170075.55</v>
      </c>
      <c r="AM132" s="77">
        <v>173591.04000000001</v>
      </c>
      <c r="AN132" s="77">
        <v>176505.07</v>
      </c>
      <c r="AO132" s="77">
        <v>168125.79</v>
      </c>
      <c r="AP132" s="77">
        <v>176926.47</v>
      </c>
      <c r="AQ132" s="80">
        <v>180035.72</v>
      </c>
      <c r="AR132" s="80">
        <v>181204.9</v>
      </c>
      <c r="AS132" s="80">
        <v>180097.9</v>
      </c>
      <c r="AT132" s="132">
        <v>182033.36</v>
      </c>
      <c r="AU132" s="132">
        <v>177983.75</v>
      </c>
      <c r="AV132" s="132">
        <v>181780.88</v>
      </c>
    </row>
    <row r="133" spans="1:51">
      <c r="A133" s="1" t="s">
        <v>48</v>
      </c>
      <c r="B133" s="5" t="s">
        <v>505</v>
      </c>
      <c r="C133" s="5" t="s">
        <v>505</v>
      </c>
      <c r="D133" s="161" t="s">
        <v>505</v>
      </c>
      <c r="E133" s="3" t="s">
        <v>50</v>
      </c>
      <c r="F133" s="3" t="s">
        <v>51</v>
      </c>
      <c r="G133" s="5" t="s">
        <v>509</v>
      </c>
      <c r="H133" s="6">
        <v>3093727</v>
      </c>
      <c r="I133" s="2" t="s">
        <v>86</v>
      </c>
      <c r="J133" s="2" t="s">
        <v>54</v>
      </c>
      <c r="K133" s="7">
        <v>45756</v>
      </c>
      <c r="L133" s="7" t="s">
        <v>55</v>
      </c>
      <c r="M133" s="3" t="s">
        <v>56</v>
      </c>
      <c r="N133" s="3" t="s">
        <v>57</v>
      </c>
      <c r="O133" s="112">
        <v>46943</v>
      </c>
      <c r="P133" s="112">
        <v>46941</v>
      </c>
      <c r="Q133" s="112" t="s">
        <v>118</v>
      </c>
      <c r="R133" s="3" t="str">
        <f ca="1">IF(M133="Arrojado","IPCA+6%",IF(M133="Arrojado Renda Construção","IPCA+6%",IF(M133="Arrojado Renda Usufruto","IPCA+6%",IF(M133="Moderado","IPCA+5%",IF(M133="Moderado Renda Construção","IPCA+5%",IF(M133="Moderado Renda Usufruto","IPCA+5%",IF(M133="Conservador","IPCA+4%",IF(M133="Conservador Renda Construção","IPCA+4%",IF(M133="Conservador Renda Usufruto","IPCA+4%",IF(M133="Ultraconservador","IPCA+4%",""))))))))))</f>
        <v>IPCA+5%</v>
      </c>
      <c r="S133" s="3" t="s">
        <v>69</v>
      </c>
      <c r="T133" s="3" t="s">
        <v>59</v>
      </c>
      <c r="U133" s="3" t="s">
        <v>59</v>
      </c>
      <c r="V133" s="130" t="s">
        <v>507</v>
      </c>
      <c r="W133" s="3" t="s">
        <v>59</v>
      </c>
      <c r="X133" s="3" t="s">
        <v>69</v>
      </c>
      <c r="Y133" s="3" t="s">
        <v>138</v>
      </c>
      <c r="Z133" s="114" t="s">
        <v>510</v>
      </c>
      <c r="AA133" s="78">
        <v>143278.47</v>
      </c>
      <c r="AB133" s="78">
        <v>143984.45000000001</v>
      </c>
      <c r="AC133" s="78">
        <v>145705.63</v>
      </c>
      <c r="AD133" s="78">
        <v>148621.74</v>
      </c>
      <c r="AE133" s="78">
        <v>150902.54</v>
      </c>
      <c r="AF133" s="78">
        <v>153116.51999999999</v>
      </c>
      <c r="AG133" s="78">
        <v>153537.76999999999</v>
      </c>
      <c r="AH133" s="78">
        <v>155832.47</v>
      </c>
      <c r="AI133" s="78">
        <v>259672.23</v>
      </c>
      <c r="AJ133" s="78">
        <v>262174.07</v>
      </c>
      <c r="AK133" s="78">
        <v>266257.09000000003</v>
      </c>
      <c r="AL133" s="78">
        <v>269419.5</v>
      </c>
      <c r="AM133" s="78">
        <v>290457.94</v>
      </c>
      <c r="AN133" s="111">
        <v>293616.42</v>
      </c>
      <c r="AO133" s="78">
        <v>309614.27</v>
      </c>
      <c r="AP133" s="78">
        <v>310850.21000000002</v>
      </c>
      <c r="AQ133" s="78">
        <v>330690.11716791999</v>
      </c>
      <c r="AR133" s="79">
        <v>353028.98</v>
      </c>
      <c r="AS133" s="79">
        <v>366202.3</v>
      </c>
      <c r="AT133" s="122">
        <v>396950.33630000002</v>
      </c>
      <c r="AU133" s="122">
        <v>410449.33</v>
      </c>
      <c r="AV133" s="122">
        <v>422514.38530000002</v>
      </c>
    </row>
    <row r="134" spans="1:51">
      <c r="A134" s="133" t="s">
        <v>48</v>
      </c>
      <c r="B134" s="127" t="s">
        <v>511</v>
      </c>
      <c r="C134" s="127" t="s">
        <v>511</v>
      </c>
      <c r="D134" s="127" t="s">
        <v>512</v>
      </c>
      <c r="E134" s="134" t="s">
        <v>50</v>
      </c>
      <c r="F134" s="134" t="s">
        <v>51</v>
      </c>
      <c r="G134" s="127" t="s">
        <v>513</v>
      </c>
      <c r="H134" s="126">
        <v>14918710</v>
      </c>
      <c r="I134" s="135"/>
      <c r="J134" s="135" t="s">
        <v>54</v>
      </c>
      <c r="K134" s="136"/>
      <c r="L134" s="136" t="s">
        <v>55</v>
      </c>
      <c r="M134" s="134" t="s">
        <v>102</v>
      </c>
      <c r="N134" s="134"/>
      <c r="O134" s="136"/>
      <c r="P134" s="136"/>
      <c r="Q134" s="112" t="s">
        <v>118</v>
      </c>
      <c r="R134" s="134" t="str">
        <f ca="1">IF(M134="Arrojado","IPCA+6%",IF(M134="Arrojado Renda Construção","IPCA+6%",IF(M134="Arrojado Renda Usufruto","IPCA+6%",IF(M134="Moderado","IPCA+5%",IF(M134="Moderado Renda Construção","IPCA+5%",IF(M134="Moderado Renda Usufruto","IPCA+5%",IF(M134="Conservador","IPCA+4%",IF(M134="Conservador Renda Construção","IPCA+4%",IF(M134="Conservador Renda Usufruto","IPCA+4%",IF(M134="Ultraconservador","IPCA+4%",""))))))))))</f>
        <v>IPCA+4%</v>
      </c>
      <c r="S134" s="134" t="s">
        <v>59</v>
      </c>
      <c r="T134" s="134"/>
      <c r="U134" s="134"/>
      <c r="V134" s="137" t="s">
        <v>514</v>
      </c>
      <c r="W134" s="134"/>
      <c r="X134" s="134"/>
      <c r="Y134" s="134"/>
      <c r="Z134" s="134"/>
      <c r="AA134" s="139">
        <v>603166.97</v>
      </c>
      <c r="AB134" s="139">
        <v>608594.80000000005</v>
      </c>
      <c r="AC134" s="139">
        <v>615897.01</v>
      </c>
      <c r="AD134" s="139">
        <v>624277.85</v>
      </c>
      <c r="AE134" s="139">
        <v>630945.91</v>
      </c>
      <c r="AF134" s="139">
        <v>638414.93999999994</v>
      </c>
      <c r="AG134" s="139">
        <v>646055.01</v>
      </c>
      <c r="AH134" s="139">
        <v>654201.21</v>
      </c>
      <c r="AI134" s="139">
        <v>662794.6</v>
      </c>
      <c r="AJ134" s="139">
        <v>671359.73</v>
      </c>
      <c r="AK134" s="139">
        <v>677325.74</v>
      </c>
      <c r="AL134" s="139">
        <v>684159.38</v>
      </c>
      <c r="AM134" s="139">
        <v>692351.18</v>
      </c>
      <c r="AN134" s="140">
        <v>626993.01</v>
      </c>
      <c r="AO134" s="139">
        <v>627862.28</v>
      </c>
      <c r="AP134" s="139">
        <v>606667.87</v>
      </c>
      <c r="AQ134" s="139">
        <v>0</v>
      </c>
      <c r="AR134" s="141">
        <v>0</v>
      </c>
      <c r="AS134" s="141">
        <v>0</v>
      </c>
      <c r="AT134" s="140">
        <v>0</v>
      </c>
      <c r="AU134" s="140" t="s">
        <v>105</v>
      </c>
      <c r="AV134" s="140">
        <v>0</v>
      </c>
    </row>
    <row r="135" spans="1:51">
      <c r="A135" s="1" t="s">
        <v>48</v>
      </c>
      <c r="B135" s="5" t="s">
        <v>61</v>
      </c>
      <c r="C135" s="5" t="s">
        <v>61</v>
      </c>
      <c r="D135" s="158" t="s">
        <v>515</v>
      </c>
      <c r="E135" s="3" t="s">
        <v>100</v>
      </c>
      <c r="F135" s="3" t="s">
        <v>63</v>
      </c>
      <c r="G135" s="5" t="s">
        <v>516</v>
      </c>
      <c r="H135" s="6" t="s">
        <v>517</v>
      </c>
      <c r="I135" s="2" t="s">
        <v>65</v>
      </c>
      <c r="J135" s="2" t="s">
        <v>54</v>
      </c>
      <c r="K135" s="7">
        <v>46051</v>
      </c>
      <c r="L135" s="7" t="s">
        <v>226</v>
      </c>
      <c r="M135" s="3" t="s">
        <v>66</v>
      </c>
      <c r="N135" s="3" t="s">
        <v>79</v>
      </c>
      <c r="O135" s="112">
        <v>46442</v>
      </c>
      <c r="P135" s="112">
        <v>46413</v>
      </c>
      <c r="Q135" s="112" t="s">
        <v>68</v>
      </c>
      <c r="R135" s="3" t="str">
        <f ca="1">IF(M135="Arrojado","IPCA+6%",IF(M135="Arrojado Renda Construção","IPCA+6%",IF(M135="Arrojado Renda Usufruto","IPCA+6%",IF(M135="Moderado","IPCA+5%",IF(M135="Moderado Renda Construção","IPCA+5%",IF(M135="Moderado Renda Usufruto","IPCA+5%",IF(M135="Conservador","IPCA+4%",IF(M135="Conservador Renda Construção","IPCA+4%",IF(M135="Conservador Renda Usufruto","IPCA+4%",IF(M135="Ultraconservador","IPCA+4%",""))))))))))</f>
        <v>IPCA+4%</v>
      </c>
      <c r="S135" s="3" t="s">
        <v>69</v>
      </c>
      <c r="T135" s="3" t="s">
        <v>59</v>
      </c>
      <c r="U135" s="3" t="s">
        <v>59</v>
      </c>
      <c r="V135" s="130" t="s">
        <v>518</v>
      </c>
      <c r="W135" s="3" t="s">
        <v>59</v>
      </c>
      <c r="X135" s="3" t="s">
        <v>59</v>
      </c>
      <c r="Y135" s="3" t="s">
        <v>71</v>
      </c>
      <c r="Z135" s="114" t="s">
        <v>519</v>
      </c>
      <c r="AA135" s="78">
        <v>0</v>
      </c>
      <c r="AB135" s="78">
        <v>0</v>
      </c>
      <c r="AC135" s="78">
        <v>0</v>
      </c>
      <c r="AD135" s="78">
        <v>0</v>
      </c>
      <c r="AE135" s="78">
        <v>0</v>
      </c>
      <c r="AF135" s="78">
        <v>0</v>
      </c>
      <c r="AG135" s="78">
        <v>1104322.3</v>
      </c>
      <c r="AH135" s="78">
        <v>1303751.56</v>
      </c>
      <c r="AI135" s="78">
        <v>3707875.03</v>
      </c>
      <c r="AJ135" s="78">
        <v>3613686.37</v>
      </c>
      <c r="AK135" s="78">
        <v>4139201.72</v>
      </c>
      <c r="AL135" s="78">
        <v>3754347.1</v>
      </c>
      <c r="AM135" s="78">
        <v>3200000</v>
      </c>
      <c r="AN135" s="111">
        <v>1502654.77</v>
      </c>
      <c r="AO135" s="78">
        <v>193.14</v>
      </c>
      <c r="AP135" s="78">
        <v>300.89</v>
      </c>
      <c r="AQ135" s="78">
        <v>300.89</v>
      </c>
      <c r="AR135" s="79">
        <v>300.89</v>
      </c>
      <c r="AS135" s="79">
        <v>300.89</v>
      </c>
      <c r="AT135" s="122">
        <v>3714892.6809999999</v>
      </c>
      <c r="AU135" s="122">
        <v>628.73</v>
      </c>
      <c r="AV135" s="122">
        <v>707.85</v>
      </c>
    </row>
    <row r="136" spans="1:51">
      <c r="A136" s="1" t="s">
        <v>48</v>
      </c>
      <c r="B136" s="5" t="s">
        <v>520</v>
      </c>
      <c r="C136" s="5" t="s">
        <v>156</v>
      </c>
      <c r="D136" s="5" t="s">
        <v>520</v>
      </c>
      <c r="E136" s="3" t="s">
        <v>50</v>
      </c>
      <c r="F136" s="3" t="s">
        <v>123</v>
      </c>
      <c r="G136" s="5" t="s">
        <v>521</v>
      </c>
      <c r="H136" s="6">
        <v>3588879</v>
      </c>
      <c r="I136" s="2" t="s">
        <v>78</v>
      </c>
      <c r="J136" s="2" t="s">
        <v>54</v>
      </c>
      <c r="K136" s="7">
        <v>46003</v>
      </c>
      <c r="L136" s="7" t="s">
        <v>55</v>
      </c>
      <c r="M136" s="3" t="s">
        <v>146</v>
      </c>
      <c r="N136" s="3" t="s">
        <v>57</v>
      </c>
      <c r="O136" s="112">
        <v>46727</v>
      </c>
      <c r="P136" s="112">
        <v>46727</v>
      </c>
      <c r="Q136" s="112" t="s">
        <v>158</v>
      </c>
      <c r="R136" s="3" t="str">
        <f ca="1">IF(M136="Arrojado","IPCA+6%",IF(M136="Arrojado Renda Construção","IPCA+6%",IF(M136="Arrojado Renda Usufruto","IPCA+6%",IF(M136="Moderado","IPCA+5%",IF(M136="Moderado Renda Construção","IPCA+5%",IF(M136="Moderado Renda Usufruto","IPCA+5%",IF(M136="Conservador","IPCA+4%",IF(M136="Conservador Renda Construção","IPCA+4%",IF(M136="Conservador Renda Usufruto","IPCA+4%",IF(M136="Ultraconservador","IPCA+4%",""))))))))))</f>
        <v>IPCA+5%</v>
      </c>
      <c r="S136" s="3" t="s">
        <v>59</v>
      </c>
      <c r="T136" s="3" t="s">
        <v>59</v>
      </c>
      <c r="U136" s="3" t="s">
        <v>69</v>
      </c>
      <c r="V136" s="130"/>
      <c r="W136" s="3" t="s">
        <v>59</v>
      </c>
      <c r="X136" s="3" t="s">
        <v>59</v>
      </c>
      <c r="Y136" s="3" t="s">
        <v>203</v>
      </c>
      <c r="Z136" s="114" t="s">
        <v>522</v>
      </c>
      <c r="AA136" s="78">
        <v>7867.81</v>
      </c>
      <c r="AB136" s="78">
        <v>7795.96</v>
      </c>
      <c r="AC136" s="78">
        <v>8086.82</v>
      </c>
      <c r="AD136" s="78">
        <v>8270.4500000000007</v>
      </c>
      <c r="AE136" s="78">
        <v>7412.81</v>
      </c>
      <c r="AF136" s="78">
        <v>12387.84</v>
      </c>
      <c r="AG136" s="78">
        <v>11340.78</v>
      </c>
      <c r="AH136" s="78">
        <v>12175.47</v>
      </c>
      <c r="AI136" s="78">
        <v>12508.58</v>
      </c>
      <c r="AJ136" s="78">
        <v>12473.61</v>
      </c>
      <c r="AK136" s="78">
        <v>12736.14</v>
      </c>
      <c r="AL136" s="78">
        <v>12575.69</v>
      </c>
      <c r="AM136" s="78">
        <v>13951.34</v>
      </c>
      <c r="AN136" s="111">
        <v>14848.66</v>
      </c>
      <c r="AO136" s="78">
        <v>613429.65</v>
      </c>
      <c r="AP136" s="78">
        <v>820044.73</v>
      </c>
      <c r="AQ136" s="78">
        <v>814920.59175200004</v>
      </c>
      <c r="AR136" s="79">
        <v>1307385.48</v>
      </c>
      <c r="AS136" s="79">
        <v>1312239</v>
      </c>
      <c r="AT136" s="122">
        <v>1309404.3570000001</v>
      </c>
      <c r="AU136" s="122">
        <v>1306157.21</v>
      </c>
      <c r="AV136" s="122">
        <v>1623327.68</v>
      </c>
    </row>
    <row r="137" spans="1:51" ht="15">
      <c r="A137" s="1" t="s">
        <v>48</v>
      </c>
      <c r="B137" s="5" t="s">
        <v>132</v>
      </c>
      <c r="C137" s="5" t="s">
        <v>133</v>
      </c>
      <c r="D137" s="5" t="s">
        <v>523</v>
      </c>
      <c r="E137" s="3" t="s">
        <v>100</v>
      </c>
      <c r="F137" s="3" t="s">
        <v>63</v>
      </c>
      <c r="G137" s="5" t="s">
        <v>524</v>
      </c>
      <c r="H137" s="6">
        <v>18466421</v>
      </c>
      <c r="I137" s="2" t="s">
        <v>65</v>
      </c>
      <c r="J137" s="82" t="s">
        <v>54</v>
      </c>
      <c r="K137" s="7">
        <v>46167</v>
      </c>
      <c r="L137" s="7" t="s">
        <v>55</v>
      </c>
      <c r="M137" s="3" t="s">
        <v>66</v>
      </c>
      <c r="N137" s="3" t="s">
        <v>57</v>
      </c>
      <c r="O137" s="112">
        <v>46408</v>
      </c>
      <c r="P137" s="112">
        <v>46438</v>
      </c>
      <c r="Q137" s="112" t="s">
        <v>136</v>
      </c>
      <c r="R137" s="3" t="str">
        <f ca="1">IF(M137="Arrojado","IPCA+6%",IF(M137="Arrojado Renda Construção","IPCA+6%",IF(M137="Arrojado Renda Usufruto","IPCA+6%",IF(M137="Moderado","IPCA+5%",IF(M137="Moderado Renda Construção","IPCA+5%",IF(M137="Moderado Renda Usufruto","IPCA+5%",IF(M137="Conservador","IPCA+4%",IF(M137="Conservador Renda Construção","IPCA+4%",IF(M137="Conservador Renda Usufruto","IPCA+4%",IF(M137="Ultraconservador","IPCA+4%",""))))))))))</f>
        <v>IPCA+4%</v>
      </c>
      <c r="S137" s="3" t="s">
        <v>69</v>
      </c>
      <c r="T137" s="3"/>
      <c r="U137" s="3"/>
      <c r="V137" s="130"/>
      <c r="W137" s="3"/>
      <c r="X137" s="3"/>
      <c r="Y137" s="3"/>
      <c r="Z137" s="114" t="s">
        <v>143</v>
      </c>
      <c r="AA137" s="79">
        <v>0</v>
      </c>
      <c r="AB137" s="79">
        <v>0</v>
      </c>
      <c r="AC137" s="79">
        <v>0</v>
      </c>
      <c r="AD137" s="79">
        <v>0</v>
      </c>
      <c r="AE137" s="79">
        <v>0</v>
      </c>
      <c r="AF137" s="79">
        <v>0</v>
      </c>
      <c r="AG137" s="79">
        <v>0</v>
      </c>
      <c r="AH137" s="79">
        <v>0</v>
      </c>
      <c r="AI137" s="79">
        <v>0</v>
      </c>
      <c r="AJ137" s="79">
        <v>0</v>
      </c>
      <c r="AK137" s="79">
        <v>0</v>
      </c>
      <c r="AL137" s="79">
        <v>0</v>
      </c>
      <c r="AM137" s="79">
        <v>0</v>
      </c>
      <c r="AN137" s="79" t="s">
        <v>104</v>
      </c>
      <c r="AO137" s="79">
        <v>0</v>
      </c>
      <c r="AP137" s="79">
        <v>0</v>
      </c>
      <c r="AQ137" s="79">
        <v>0</v>
      </c>
      <c r="AR137" s="79">
        <v>0</v>
      </c>
      <c r="AS137" s="79">
        <v>0</v>
      </c>
      <c r="AT137" s="122">
        <v>0</v>
      </c>
      <c r="AU137" s="122" t="s">
        <v>105</v>
      </c>
      <c r="AV137" s="122">
        <v>46.89</v>
      </c>
      <c r="AW137" s="152"/>
      <c r="AX137" s="152"/>
      <c r="AY137" s="152"/>
    </row>
    <row r="138" spans="1:51">
      <c r="A138" s="1" t="s">
        <v>48</v>
      </c>
      <c r="B138" s="5" t="s">
        <v>525</v>
      </c>
      <c r="C138" s="5" t="s">
        <v>457</v>
      </c>
      <c r="D138" s="161" t="s">
        <v>525</v>
      </c>
      <c r="E138" s="3" t="s">
        <v>50</v>
      </c>
      <c r="F138" s="3" t="s">
        <v>51</v>
      </c>
      <c r="G138" s="5" t="s">
        <v>526</v>
      </c>
      <c r="H138" s="6">
        <v>19082129</v>
      </c>
      <c r="I138" s="2" t="s">
        <v>164</v>
      </c>
      <c r="J138" s="2" t="s">
        <v>87</v>
      </c>
      <c r="K138" s="7">
        <v>46036</v>
      </c>
      <c r="L138" s="7" t="s">
        <v>55</v>
      </c>
      <c r="M138" s="3" t="s">
        <v>243</v>
      </c>
      <c r="N138" s="3" t="s">
        <v>57</v>
      </c>
      <c r="O138" s="112">
        <v>47133</v>
      </c>
      <c r="P138" s="112">
        <v>47129</v>
      </c>
      <c r="Q138" s="112" t="s">
        <v>118</v>
      </c>
      <c r="R138" s="3" t="str">
        <f ca="1">IF(M138="Arrojado","IPCA+6%",IF(M138="Arrojado Renda Construção","IPCA+6%",IF(M138="Arrojado Renda Usufruto","IPCA+6%",IF(M138="Moderado","IPCA+5%",IF(M138="Moderado Renda Construção","IPCA+5%",IF(M138="Moderado Renda Usufruto","IPCA+5%",IF(M138="Conservador","IPCA+4%",IF(M138="Conservador Renda Construção","IPCA+4%",IF(M138="Conservador Renda Usufruto","IPCA+4%",IF(M138="Ultraconservador","IPCA+4%",""))))))))))</f>
        <v>IPCA+5%</v>
      </c>
      <c r="S138" s="3" t="s">
        <v>59</v>
      </c>
      <c r="T138" s="3" t="s">
        <v>59</v>
      </c>
      <c r="U138" s="3" t="s">
        <v>59</v>
      </c>
      <c r="V138" s="130" t="s">
        <v>527</v>
      </c>
      <c r="W138" s="3" t="s">
        <v>59</v>
      </c>
      <c r="X138" s="3" t="s">
        <v>59</v>
      </c>
      <c r="Y138" s="3" t="s">
        <v>71</v>
      </c>
      <c r="Z138" s="114" t="s">
        <v>528</v>
      </c>
      <c r="AA138" s="78">
        <v>0</v>
      </c>
      <c r="AB138" s="78">
        <v>0</v>
      </c>
      <c r="AC138" s="78">
        <v>0</v>
      </c>
      <c r="AD138" s="78">
        <v>0</v>
      </c>
      <c r="AE138" s="78">
        <v>0</v>
      </c>
      <c r="AF138" s="78">
        <v>0</v>
      </c>
      <c r="AG138" s="78">
        <v>0</v>
      </c>
      <c r="AH138" s="78">
        <v>0</v>
      </c>
      <c r="AI138" s="78">
        <v>0</v>
      </c>
      <c r="AJ138" s="78">
        <v>0</v>
      </c>
      <c r="AK138" s="78">
        <v>0</v>
      </c>
      <c r="AL138" s="78">
        <v>0</v>
      </c>
      <c r="AM138" s="78">
        <v>0</v>
      </c>
      <c r="AN138" s="111" t="s">
        <v>104</v>
      </c>
      <c r="AO138" s="78">
        <v>0</v>
      </c>
      <c r="AP138" s="78">
        <v>0</v>
      </c>
      <c r="AQ138" s="78">
        <v>0</v>
      </c>
      <c r="AR138" s="79">
        <v>0</v>
      </c>
      <c r="AS138" s="79">
        <v>0</v>
      </c>
      <c r="AT138" s="122">
        <v>0</v>
      </c>
      <c r="AU138" s="122" t="s">
        <v>105</v>
      </c>
      <c r="AV138" s="122">
        <v>0</v>
      </c>
    </row>
    <row r="139" spans="1:51">
      <c r="A139" s="1" t="s">
        <v>48</v>
      </c>
      <c r="B139" s="5" t="s">
        <v>529</v>
      </c>
      <c r="C139" s="5" t="s">
        <v>529</v>
      </c>
      <c r="D139" s="5" t="s">
        <v>529</v>
      </c>
      <c r="E139" s="3" t="s">
        <v>100</v>
      </c>
      <c r="F139" s="3" t="s">
        <v>63</v>
      </c>
      <c r="G139" s="5" t="s">
        <v>530</v>
      </c>
      <c r="H139" s="6">
        <v>17770891</v>
      </c>
      <c r="I139" s="2" t="s">
        <v>53</v>
      </c>
      <c r="J139" s="82" t="s">
        <v>87</v>
      </c>
      <c r="K139" s="7">
        <v>46199</v>
      </c>
      <c r="L139" s="7"/>
      <c r="M139" s="3"/>
      <c r="N139" s="3" t="s">
        <v>79</v>
      </c>
      <c r="O139" s="112">
        <v>46476</v>
      </c>
      <c r="P139" s="112">
        <v>46408</v>
      </c>
      <c r="Q139" s="112" t="s">
        <v>531</v>
      </c>
      <c r="R139" s="3" t="str">
        <f ca="1">IF(M139="Arrojado","IPCA+6%",IF(M139="Arrojado Renda Construção","IPCA+6%",IF(M139="Arrojado Renda Usufruto","IPCA+6%",IF(M139="Moderado","IPCA+5%",IF(M139="Moderado Renda Construção","IPCA+5%",IF(M139="Moderado Renda Usufruto","IPCA+5%",IF(M139="Conservador","IPCA+4%",IF(M139="Conservador Renda Construção","IPCA+4%",IF(M139="Conservador Renda Usufruto","IPCA+4%",IF(M139="Ultraconservador","IPCA+4%",""))))))))))</f>
        <v/>
      </c>
      <c r="S139" s="3" t="s">
        <v>59</v>
      </c>
      <c r="T139" s="3"/>
      <c r="U139" s="3"/>
      <c r="V139" s="130"/>
      <c r="W139" s="3"/>
      <c r="X139" s="3"/>
      <c r="Y139" s="3"/>
      <c r="Z139" s="114" t="s">
        <v>408</v>
      </c>
      <c r="AA139" s="79">
        <v>0</v>
      </c>
      <c r="AB139" s="79">
        <v>0</v>
      </c>
      <c r="AC139" s="79">
        <v>0</v>
      </c>
      <c r="AD139" s="79">
        <v>0</v>
      </c>
      <c r="AE139" s="79">
        <v>0</v>
      </c>
      <c r="AF139" s="79">
        <v>0</v>
      </c>
      <c r="AG139" s="79">
        <v>0</v>
      </c>
      <c r="AH139" s="79">
        <v>0</v>
      </c>
      <c r="AI139" s="79">
        <v>0</v>
      </c>
      <c r="AJ139" s="79">
        <v>0</v>
      </c>
      <c r="AK139" s="79">
        <v>0</v>
      </c>
      <c r="AL139" s="79">
        <v>0</v>
      </c>
      <c r="AM139" s="79">
        <v>0</v>
      </c>
      <c r="AN139" s="79" t="s">
        <v>104</v>
      </c>
      <c r="AO139" s="79">
        <v>0</v>
      </c>
      <c r="AP139" s="79">
        <v>0</v>
      </c>
      <c r="AQ139" s="79">
        <v>0</v>
      </c>
      <c r="AR139" s="79">
        <v>1328507.45</v>
      </c>
      <c r="AS139" s="79">
        <v>0</v>
      </c>
      <c r="AT139" s="122">
        <v>411673.37</v>
      </c>
      <c r="AU139" s="122">
        <v>831479.49</v>
      </c>
      <c r="AV139" s="122">
        <v>1189763.175</v>
      </c>
    </row>
    <row r="140" spans="1:51">
      <c r="A140" s="1" t="s">
        <v>48</v>
      </c>
      <c r="B140" s="5" t="s">
        <v>61</v>
      </c>
      <c r="C140" s="5" t="s">
        <v>61</v>
      </c>
      <c r="D140" s="162" t="s">
        <v>532</v>
      </c>
      <c r="E140" s="3" t="s">
        <v>50</v>
      </c>
      <c r="F140" s="3" t="s">
        <v>63</v>
      </c>
      <c r="G140" s="5" t="s">
        <v>533</v>
      </c>
      <c r="H140" s="6">
        <v>4163084</v>
      </c>
      <c r="I140" s="2" t="s">
        <v>65</v>
      </c>
      <c r="J140" s="2" t="s">
        <v>54</v>
      </c>
      <c r="K140" s="7">
        <v>46051</v>
      </c>
      <c r="L140" s="7" t="s">
        <v>55</v>
      </c>
      <c r="M140" s="3" t="s">
        <v>66</v>
      </c>
      <c r="N140" s="3" t="s">
        <v>57</v>
      </c>
      <c r="O140" s="112">
        <v>46572</v>
      </c>
      <c r="P140" s="112">
        <v>47046</v>
      </c>
      <c r="Q140" s="112" t="s">
        <v>68</v>
      </c>
      <c r="R140" s="3" t="str">
        <f ca="1">IF(M140="Arrojado","IPCA+6%",IF(M140="Arrojado Renda Construção","IPCA+6%",IF(M140="Arrojado Renda Usufruto","IPCA+6%",IF(M140="Moderado","IPCA+5%",IF(M140="Moderado Renda Construção","IPCA+5%",IF(M140="Moderado Renda Usufruto","IPCA+5%",IF(M140="Conservador","IPCA+4%",IF(M140="Conservador Renda Construção","IPCA+4%",IF(M140="Conservador Renda Usufruto","IPCA+4%",IF(M140="Ultraconservador","IPCA+4%",""))))))))))</f>
        <v>IPCA+4%</v>
      </c>
      <c r="S140" s="3" t="s">
        <v>69</v>
      </c>
      <c r="T140" s="3" t="s">
        <v>69</v>
      </c>
      <c r="U140" s="3" t="s">
        <v>59</v>
      </c>
      <c r="V140" s="130" t="s">
        <v>70</v>
      </c>
      <c r="W140" s="3" t="s">
        <v>59</v>
      </c>
      <c r="X140" s="3" t="s">
        <v>59</v>
      </c>
      <c r="Y140" s="3" t="s">
        <v>71</v>
      </c>
      <c r="Z140" s="114" t="s">
        <v>534</v>
      </c>
      <c r="AA140" s="78">
        <v>9492300.2799999993</v>
      </c>
      <c r="AB140" s="78">
        <v>4316836.0599999996</v>
      </c>
      <c r="AC140" s="78">
        <v>24729566.640000001</v>
      </c>
      <c r="AD140" s="78">
        <v>0</v>
      </c>
      <c r="AE140" s="78">
        <v>5708341.7000000002</v>
      </c>
      <c r="AF140" s="78">
        <v>0</v>
      </c>
      <c r="AG140" s="78">
        <v>1000000</v>
      </c>
      <c r="AH140" s="78">
        <v>0</v>
      </c>
      <c r="AI140" s="78">
        <v>9606051.5199999996</v>
      </c>
      <c r="AJ140" s="78">
        <v>4580751.1399999997</v>
      </c>
      <c r="AK140" s="78">
        <v>4000000</v>
      </c>
      <c r="AL140" s="78">
        <v>1906069.36</v>
      </c>
      <c r="AM140" s="78">
        <v>3500000</v>
      </c>
      <c r="AN140" s="111">
        <v>3006808.31</v>
      </c>
      <c r="AO140" s="78">
        <v>3102926.1</v>
      </c>
      <c r="AP140" s="78">
        <v>16002838.73</v>
      </c>
      <c r="AQ140" s="78">
        <v>5886490.6504319999</v>
      </c>
      <c r="AR140" s="79">
        <v>2736.63</v>
      </c>
      <c r="AS140" s="79">
        <v>1000</v>
      </c>
      <c r="AT140" s="122">
        <v>22872631.399999999</v>
      </c>
      <c r="AU140" s="122">
        <v>8261890.04</v>
      </c>
      <c r="AV140" s="122">
        <v>5787128.3689999999</v>
      </c>
    </row>
    <row r="141" spans="1:51" ht="15">
      <c r="A141" s="1" t="s">
        <v>48</v>
      </c>
      <c r="B141" s="5" t="s">
        <v>535</v>
      </c>
      <c r="C141" s="5" t="s">
        <v>133</v>
      </c>
      <c r="D141" s="5" t="s">
        <v>535</v>
      </c>
      <c r="E141" s="3" t="s">
        <v>50</v>
      </c>
      <c r="F141" s="3" t="s">
        <v>51</v>
      </c>
      <c r="G141" s="5" t="s">
        <v>536</v>
      </c>
      <c r="H141" s="6" t="s">
        <v>537</v>
      </c>
      <c r="I141" s="2" t="s">
        <v>65</v>
      </c>
      <c r="J141" s="82" t="s">
        <v>54</v>
      </c>
      <c r="K141" s="7">
        <v>46148</v>
      </c>
      <c r="L141" s="7"/>
      <c r="M141" s="3"/>
      <c r="N141" s="3"/>
      <c r="O141" s="112" t="s">
        <v>538</v>
      </c>
      <c r="P141" s="112">
        <v>47237</v>
      </c>
      <c r="Q141" s="112" t="s">
        <v>136</v>
      </c>
      <c r="R141" s="3" t="str">
        <f ca="1">IF(M141="Arrojado","IPCA+6%",IF(M141="Arrojado Renda Construção","IPCA+6%",IF(M141="Arrojado Renda Usufruto","IPCA+6%",IF(M141="Moderado","IPCA+5%",IF(M141="Moderado Renda Construção","IPCA+5%",IF(M141="Moderado Renda Usufruto","IPCA+5%",IF(M141="Conservador","IPCA+4%",IF(M141="Conservador Renda Construção","IPCA+4%",IF(M141="Conservador Renda Usufruto","IPCA+4%",IF(M141="Ultraconservador","IPCA+4%",""))))))))))</f>
        <v/>
      </c>
      <c r="S141" s="3" t="s">
        <v>59</v>
      </c>
      <c r="T141" s="3"/>
      <c r="U141" s="3"/>
      <c r="V141" s="130"/>
      <c r="W141" s="3"/>
      <c r="X141" s="3"/>
      <c r="Y141" s="3"/>
      <c r="Z141" s="114" t="s">
        <v>539</v>
      </c>
      <c r="AA141" s="79">
        <v>0</v>
      </c>
      <c r="AB141" s="79">
        <v>0</v>
      </c>
      <c r="AC141" s="79">
        <v>0</v>
      </c>
      <c r="AD141" s="79">
        <v>0</v>
      </c>
      <c r="AE141" s="79">
        <v>0</v>
      </c>
      <c r="AF141" s="79">
        <v>0</v>
      </c>
      <c r="AG141" s="79">
        <v>0</v>
      </c>
      <c r="AH141" s="79">
        <v>0</v>
      </c>
      <c r="AI141" s="79">
        <v>0</v>
      </c>
      <c r="AJ141" s="79">
        <v>0</v>
      </c>
      <c r="AK141" s="79">
        <v>0</v>
      </c>
      <c r="AL141" s="79">
        <v>0</v>
      </c>
      <c r="AM141" s="79">
        <v>0</v>
      </c>
      <c r="AN141" s="79" t="s">
        <v>104</v>
      </c>
      <c r="AO141" s="79">
        <v>0</v>
      </c>
      <c r="AP141" s="79">
        <v>0</v>
      </c>
      <c r="AQ141" s="79">
        <v>0</v>
      </c>
      <c r="AR141" s="79">
        <v>0</v>
      </c>
      <c r="AS141" s="79">
        <v>0</v>
      </c>
      <c r="AT141" s="122">
        <v>0</v>
      </c>
      <c r="AU141" s="122" t="s">
        <v>105</v>
      </c>
      <c r="AV141" s="122">
        <v>0</v>
      </c>
      <c r="AW141" s="152"/>
      <c r="AX141" s="152"/>
      <c r="AY141" s="152"/>
    </row>
    <row r="142" spans="1:51" ht="15">
      <c r="A142" s="1" t="s">
        <v>48</v>
      </c>
      <c r="B142" s="5" t="s">
        <v>540</v>
      </c>
      <c r="C142" s="5" t="s">
        <v>540</v>
      </c>
      <c r="D142" s="158" t="s">
        <v>540</v>
      </c>
      <c r="E142" s="3" t="s">
        <v>50</v>
      </c>
      <c r="F142" s="3" t="s">
        <v>51</v>
      </c>
      <c r="G142" s="5" t="s">
        <v>541</v>
      </c>
      <c r="H142" s="6" t="s">
        <v>542</v>
      </c>
      <c r="I142" s="2" t="s">
        <v>53</v>
      </c>
      <c r="J142" s="82" t="s">
        <v>87</v>
      </c>
      <c r="K142" s="7">
        <v>45848</v>
      </c>
      <c r="L142" s="7" t="s">
        <v>55</v>
      </c>
      <c r="M142" s="3" t="s">
        <v>56</v>
      </c>
      <c r="N142" s="3" t="s">
        <v>57</v>
      </c>
      <c r="O142" s="112">
        <v>47033</v>
      </c>
      <c r="P142" s="112">
        <v>47029</v>
      </c>
      <c r="Q142" s="112" t="s">
        <v>136</v>
      </c>
      <c r="R142" s="3" t="str">
        <f ca="1">IF(M142="Arrojado","IPCA+6%",IF(M142="Arrojado Renda Construção","IPCA+6%",IF(M142="Arrojado Renda Usufruto","IPCA+6%",IF(M142="Moderado","IPCA+5%",IF(M142="Moderado Renda Construção","IPCA+5%",IF(M142="Moderado Renda Usufruto","IPCA+5%",IF(M142="Conservador","IPCA+4%",IF(M142="Conservador Renda Construção","IPCA+4%",IF(M142="Conservador Renda Usufruto","IPCA+4%",IF(M142="Ultraconservador","IPCA+4%",""))))))))))</f>
        <v>IPCA+5%</v>
      </c>
      <c r="S142" s="3" t="s">
        <v>59</v>
      </c>
      <c r="T142" s="3" t="s">
        <v>59</v>
      </c>
      <c r="U142" s="3" t="s">
        <v>59</v>
      </c>
      <c r="V142" s="130" t="s">
        <v>543</v>
      </c>
      <c r="W142" s="3" t="s">
        <v>59</v>
      </c>
      <c r="X142" s="3" t="s">
        <v>69</v>
      </c>
      <c r="Y142" s="3" t="s">
        <v>203</v>
      </c>
      <c r="Z142" s="114" t="s">
        <v>544</v>
      </c>
      <c r="AA142" s="78">
        <v>0</v>
      </c>
      <c r="AB142" s="78">
        <v>0</v>
      </c>
      <c r="AC142" s="78">
        <v>0</v>
      </c>
      <c r="AD142" s="78">
        <v>0</v>
      </c>
      <c r="AE142" s="78">
        <v>0</v>
      </c>
      <c r="AF142" s="78">
        <v>0</v>
      </c>
      <c r="AG142" s="78">
        <v>0</v>
      </c>
      <c r="AH142" s="78">
        <v>0</v>
      </c>
      <c r="AI142" s="78">
        <v>0</v>
      </c>
      <c r="AJ142" s="78">
        <v>546385.92000000004</v>
      </c>
      <c r="AK142" s="78">
        <v>854462.58</v>
      </c>
      <c r="AL142" s="78">
        <v>870835.8</v>
      </c>
      <c r="AM142" s="78">
        <v>882650.44</v>
      </c>
      <c r="AN142" s="111">
        <v>888958.98</v>
      </c>
      <c r="AO142" s="78">
        <v>1021541.67</v>
      </c>
      <c r="AP142" s="78">
        <v>1033461.92</v>
      </c>
      <c r="AQ142" s="78">
        <v>1039185.408438</v>
      </c>
      <c r="AR142" s="79">
        <v>1200282.01</v>
      </c>
      <c r="AS142" s="79">
        <v>1210397</v>
      </c>
      <c r="AT142" s="122">
        <v>1219092.4879999999</v>
      </c>
      <c r="AU142" s="122">
        <v>1224039.1100000001</v>
      </c>
      <c r="AV142" s="122">
        <v>1240623.0009999999</v>
      </c>
      <c r="AW142" s="152"/>
      <c r="AX142" s="152"/>
      <c r="AY142" s="152"/>
    </row>
  </sheetData>
  <autoFilter ref="A1:AV142" xr:uid="{00000000-0001-0000-0100-000000000000}">
    <sortState xmlns:xlrd2="http://schemas.microsoft.com/office/spreadsheetml/2017/richdata2" ref="A2:AV142">
      <sortCondition ref="G1:G142"/>
    </sortState>
  </autoFilter>
  <customSheetViews>
    <customSheetView guid="{2A7C5A02-283B-4AF0-9172-FB25C169B4CC}" filter="1" showAutoFilter="1">
      <pageMargins left="0" right="0" top="0" bottom="0" header="0" footer="0"/>
      <autoFilter ref="D2:F1093" xr:uid="{92D14F8A-66BA-47A0-8DE3-AA20268A174D}"/>
    </customSheetView>
    <customSheetView guid="{B7CC4EE4-A846-4603-8481-AD2D4CB802B6}" filter="1" showAutoFilter="1">
      <pageMargins left="0" right="0" top="0" bottom="0" header="0" footer="0"/>
      <autoFilter ref="A1:AV1084" xr:uid="{2E7A1486-5846-4619-8049-AAAA9AC19E0A}">
        <filterColumn colId="7">
          <filters>
            <filter val="Pode Operar"/>
          </filters>
        </filterColumn>
        <filterColumn colId="8">
          <filters>
            <filter val="Bloqueado"/>
            <filter val="Monitoramento"/>
            <filter val="Resgate Total"/>
            <filter val="Situação"/>
            <filter val="STVM Saída"/>
            <filter val="Troca de Assessoria"/>
          </filters>
        </filterColumn>
      </autoFilter>
    </customSheetView>
    <customSheetView guid="{F430D34E-B491-4E9C-849E-EEB9B339935A}" filter="1" showAutoFilter="1">
      <pageMargins left="0" right="0" top="0" bottom="0" header="0" footer="0"/>
      <autoFilter ref="A1:BM1088" xr:uid="{2C003363-0879-4023-8187-F75E41322989}"/>
    </customSheetView>
    <customSheetView guid="{9DB54CEC-7DF6-4819-98A7-5213652DB41E}" filter="1" showAutoFilter="1">
      <pageMargins left="0" right="0" top="0" bottom="0" header="0" footer="0"/>
      <autoFilter ref="A1:AW1084" xr:uid="{B1A5E20B-BA22-40DA-A986-0402141142D3}">
        <filterColumn colId="5">
          <filters>
            <filter val="Alexandre Xavier"/>
            <filter val="André de Queiroz Coelho"/>
            <filter val="Antonio Volpato"/>
            <filter val="Bluemetrix"/>
            <filter val="Daniel Melhado"/>
            <filter val="Douglas Tuira"/>
            <filter val="Eleazar Ferreira Junior"/>
            <filter val="Felipe Cravos"/>
            <filter val="Felipe Miranda"/>
            <filter val="Gabriel Regis"/>
            <filter val="Guilherme dos Santos"/>
            <filter val="João Gabriel Miziara"/>
            <filter val="João Paulo Britto"/>
            <filter val="João Victor de Moura Beze"/>
            <filter val="Jorge Luiz Braga de Carvalho"/>
            <filter val="Leonardo Nascimento Porto"/>
            <filter val="Lucas Ferreira"/>
            <filter val="Lucas Oliveira"/>
            <filter val="Luis Felipe"/>
            <filter val="Marcelo Franciscon"/>
            <filter val="Marcos Serra"/>
            <filter val="Marcus Macedo"/>
            <filter val="Mariana Rocha"/>
            <filter val="Norton Jr"/>
            <filter val="Pamara Rosa"/>
            <filter val="Paula Bonfim"/>
            <filter val="Paula Lemos"/>
            <filter val="Rafael Guedes"/>
            <filter val="Rafaela Souza"/>
            <filter val="Raoni Costa"/>
            <filter val="Thais Helena"/>
            <filter val="thiago Canabrava"/>
            <filter val="Valeria Viana"/>
            <filter val="Victor Hugo Laurentino"/>
            <filter val="Vitor Pedrazzi"/>
          </filters>
        </filterColumn>
      </autoFilter>
    </customSheetView>
    <customSheetView guid="{3D6B9F54-BE99-4813-98C8-B7E13E17DB44}" filter="1" showAutoFilter="1">
      <pageMargins left="0" right="0" top="0" bottom="0" header="0" footer="0"/>
      <autoFilter ref="A1:AR1088" xr:uid="{54BC91A5-881C-4597-8A16-AC000173639A}">
        <filterColumn colId="6">
          <filters>
            <filter val="Marcus"/>
            <filter val="Gabriel"/>
          </filters>
        </filterColumn>
        <filterColumn colId="7">
          <filters blank="1">
            <filter val="Ativo"/>
            <filter val="Status"/>
          </filters>
        </filterColumn>
        <filterColumn colId="12">
          <filters blank="1">
            <filter val="ARR"/>
            <filter val="BDR"/>
            <filter val="Carteira"/>
            <filter val="CON"/>
            <filter val="CON/ COADM"/>
            <filter val="CON/ GR"/>
            <filter val="CON/ PREV CON"/>
            <filter val="CON/ PREV MOD"/>
            <filter val="CORP"/>
            <filter val="DIV"/>
            <filter val="DIV/ COADM"/>
            <filter val="EQT"/>
            <filter val="EQT/ COADM"/>
            <filter val="FUND"/>
            <filter val="INC CP"/>
            <filter val="INC CP/ COADM"/>
            <filter val="INC/ COADM"/>
            <filter val="INC/ PREV CON"/>
            <filter val="INC/ PREV MOD"/>
            <filter val="MOD"/>
            <filter val="MOD/ COADM"/>
            <filter val="MOD/ GR"/>
            <filter val="MOD/ PREV ARR"/>
            <filter val="MOD/ PREV MOD"/>
            <filter val="MOD/ PREV MOD/ COADM"/>
            <filter val="MONT"/>
            <filter val="MONT/ COADM"/>
            <filter val="MULT PRIV"/>
            <filter val="MULT PRIV/ CO ADM"/>
            <filter val="PREV ARR"/>
            <filter val="PREV CON"/>
            <filter val="PREV MOD"/>
            <filter val="SMLL"/>
            <filter val="STOCK"/>
          </filters>
        </filterColumn>
      </autoFilter>
    </customSheetView>
    <customSheetView guid="{C1687B13-2B25-4F88-B9FC-5F98F0C59F78}" filter="1" showAutoFilter="1">
      <pageMargins left="0" right="0" top="0" bottom="0" header="0" footer="0"/>
      <autoFilter ref="A1:AQ1088" xr:uid="{64594D70-808F-46FA-A5F8-A08CD6B64528}">
        <filterColumn colId="6">
          <filters blank="1">
            <filter val="Gabriel"/>
            <filter val="Marcus"/>
          </filters>
        </filterColumn>
        <filterColumn colId="7">
          <filters blank="1">
            <filter val="Pode Operar"/>
            <filter val="Status"/>
          </filters>
        </filterColumn>
      </autoFilter>
    </customSheetView>
    <customSheetView guid="{BE8CD934-CC4E-44AD-87CB-FAA2F27B5EDE}" filter="1" showAutoFilter="1">
      <pageMargins left="0" right="0" top="0" bottom="0" header="0" footer="0"/>
      <autoFilter ref="A1:AW1084" xr:uid="{800A30AD-24DB-4CB6-B4A1-CB566C56680D}">
        <filterColumn colId="7">
          <filters>
            <filter val="Pode Operar"/>
          </filters>
        </filterColumn>
      </autoFilter>
    </customSheetView>
    <customSheetView guid="{FEA88256-CB03-4841-9B37-F0F16919974C}" filter="1" showAutoFilter="1">
      <pageMargins left="0" right="0" top="0" bottom="0" header="0" footer="0"/>
      <autoFilter ref="A1:AQ1088" xr:uid="{2CC3C2BA-376C-4727-99C2-E24A04446305}"/>
    </customSheetView>
    <customSheetView guid="{182CC3BD-F05F-4640-93AB-3E742A49D2F4}" filter="1" showAutoFilter="1">
      <pageMargins left="0" right="0" top="0" bottom="0" header="0" footer="0"/>
      <autoFilter ref="A1:AU1084" xr:uid="{93D084D0-FB93-4131-A0AF-AC422CE1C292}">
        <filterColumn colId="7">
          <filters>
            <filter val="Inativo"/>
          </filters>
        </filterColumn>
        <filterColumn colId="8">
          <filters>
            <filter val="------"/>
            <filter val="Bloqueado"/>
            <filter val="Monitoramento"/>
            <filter val="Resgate Total"/>
            <filter val="Situação"/>
            <filter val="STVM Saída"/>
            <filter val="Troca de Assessoria"/>
          </filters>
        </filterColumn>
      </autoFilter>
    </customSheetView>
    <customSheetView guid="{CA819861-0AE0-4948-82AE-AB183D929D75}" filter="1" showAutoFilter="1">
      <pageMargins left="0" right="0" top="0" bottom="0" header="0" footer="0"/>
      <autoFilter ref="B2:AL1088" xr:uid="{D7D418F5-22FC-49D0-8369-B60B2A55585B}"/>
    </customSheetView>
    <customSheetView guid="{8CCE7264-53B5-42E0-91A2-AC90A97DDBB0}" filter="1" showAutoFilter="1">
      <pageMargins left="0" right="0" top="0" bottom="0" header="0" footer="0"/>
      <autoFilter ref="A2:AW1084" xr:uid="{FCEB5E87-5295-46E3-ADAF-DD25B8076CFE}">
        <filterColumn colId="3">
          <filters>
            <filter val="Altum"/>
            <filter val="Expert"/>
            <filter val="MI Smart"/>
            <filter val="Miura"/>
            <filter val="Nexco"/>
            <filter val="OP Club"/>
            <filter val="Poupinvista"/>
            <filter val="Solution For Life"/>
            <filter val="Voga"/>
          </filters>
        </filterColumn>
        <filterColumn colId="5">
          <filters>
            <filter val="Alexandre Xavier"/>
            <filter val="André de Queiroz Coelho"/>
            <filter val="Andrea Lopes"/>
            <filter val="Antonio Volpato"/>
            <filter val="Augusto Sampaio"/>
            <filter val="Bluemetrix"/>
            <filter val="Bruno Henrique"/>
            <filter val="Bruno Jaime"/>
            <filter val="Bruno Ribeiro"/>
            <filter val="Daniel Melhado"/>
            <filter val="Douglas Tuira"/>
            <filter val="Eduardo Leopoldino"/>
            <filter val="Eleazar Ferreira Junior"/>
            <filter val="Fabrício Bonfim"/>
            <filter val="Felipe Cravos"/>
            <filter val="Felipe Miranda"/>
            <filter val="Felipe Rios"/>
            <filter val="Flavio Miguel"/>
            <filter val="Gabriel Regis"/>
            <filter val="Guilherme dos Santos"/>
            <filter val="Guilherme Marques"/>
            <filter val="Guilherme Rios Guercio"/>
            <filter val="Guilherme Sales"/>
            <filter val="Gustavo Amorim"/>
            <filter val="Hugo Motta"/>
            <filter val="João Gabriel Miziara"/>
            <filter val="João Paulo Britto"/>
            <filter val="João Victor de Moura Beze"/>
            <filter val="Joney Alves"/>
            <filter val="Jorge Luiz Braga de Carvalho"/>
            <filter val="Larissa Montes"/>
            <filter val="Leonardo Nascimento Porto"/>
            <filter val="Luca Bueno"/>
            <filter val="Lucas Ferreira"/>
            <filter val="Lucas Oliveira"/>
            <filter val="Lucas Zambrin"/>
            <filter val="Luis Felipe"/>
            <filter val="Marcelo Franciscon"/>
            <filter val="Marcos Serra"/>
            <filter val="Marcus Macedo"/>
            <filter val="Mariana Rocha"/>
            <filter val="Matheus Vilar"/>
            <filter val="Norton Fritzsche"/>
            <filter val="Norton Jr"/>
            <filter val="Pamara Rosa"/>
            <filter val="Paula Bonfim"/>
            <filter val="Paula Lemos"/>
            <filter val="Rafael Guedes"/>
            <filter val="Rafael Pagnan"/>
            <filter val="Rafael Vilela"/>
            <filter val="Rafaela Souza"/>
            <filter val="Raoni Costa"/>
            <filter val="Rodolfo Gomes"/>
            <filter val="Rodrigo Milanez"/>
            <filter val="Thais Helena"/>
            <filter val="thiago Canabrava"/>
            <filter val="Valeria Viana"/>
            <filter val="Victor Hugo Laurentino"/>
            <filter val="Vitor Pedrazzi"/>
            <filter val="Vivian"/>
            <filter val="Yasmin Maia Muniz Xavier"/>
          </filters>
        </filterColumn>
      </autoFilter>
    </customSheetView>
    <customSheetView guid="{7AF13999-56AE-4926-8E0B-6078908E462E}" filter="1" showAutoFilter="1">
      <pageMargins left="0" right="0" top="0" bottom="0" header="0" footer="0"/>
      <autoFilter ref="AO2:AO1093" xr:uid="{C8E9E5E6-0B1E-456D-B743-246B6D064E80}"/>
    </customSheetView>
    <customSheetView guid="{C3AD15E8-13CC-456A-AB04-51AAF9E2980D}" filter="1" showAutoFilter="1">
      <pageMargins left="0" right="0" top="0" bottom="0" header="0" footer="0"/>
      <autoFilter ref="A1:AU1084" xr:uid="{B21EDBC6-AF0E-47DA-808C-DACBE1B417F4}"/>
    </customSheetView>
    <customSheetView guid="{1B04E56E-E798-4C11-95F4-24698B8E55CF}" filter="1" showAutoFilter="1">
      <pageMargins left="0" right="0" top="0" bottom="0" header="0" footer="0"/>
      <autoFilter ref="A2:AT1084" xr:uid="{83F8827E-882C-41B3-BA84-D1D36E878CE7}">
        <filterColumn colId="10">
          <filters>
            <filter val="01/02/2024"/>
            <filter val="01/04/2024"/>
            <filter val="01/04/2025"/>
            <filter val="01/07/2024"/>
            <filter val="01/07/2025"/>
            <filter val="01/08/2025"/>
            <filter val="01/10/2024"/>
            <filter val="01/12/2025"/>
            <filter val="02/01/2024"/>
            <filter val="02/01/2025"/>
            <filter val="02/05/2024"/>
            <filter val="02/06/2025"/>
            <filter val="02/07/2024"/>
            <filter val="02/08/2024"/>
            <filter val="02/09/2025"/>
            <filter val="03/02/2025"/>
            <filter val="03/04/2024"/>
            <filter val="03/04/2025"/>
            <filter val="03/05/2024"/>
            <filter val="03/06/2024"/>
            <filter val="03/06/2025"/>
            <filter val="03/07/2024"/>
            <filter val="03/07/2025"/>
            <filter val="03/10/2024"/>
            <filter val="03/11/2025"/>
            <filter val="04/02/2025"/>
            <filter val="04/03/2024"/>
            <filter val="04/04/2024"/>
            <filter val="04/06/2024"/>
            <filter val="04/06/2025"/>
            <filter val="04/09/2024"/>
            <filter val="04/09/2025"/>
            <filter val="04/11/2024"/>
            <filter val="04/12/2024"/>
            <filter val="04/12/2025"/>
            <filter val="05/01/2024"/>
            <filter val="05/01/2026"/>
            <filter val="05/02/2024"/>
            <filter val="05/02/2025"/>
            <filter val="05/03/2024"/>
            <filter val="05/04/2024"/>
            <filter val="05/05/2025"/>
            <filter val="05/06/2024"/>
            <filter val="05/11/2025"/>
            <filter val="06/01/2026"/>
            <filter val="06/02/2024"/>
            <filter val="06/02/2025"/>
            <filter val="06/03/2024"/>
            <filter val="06/05/2024"/>
            <filter val="06/06/2024"/>
            <filter val="06/06/2025"/>
            <filter val="06/11/2024"/>
            <filter val="07/02/2025"/>
            <filter val="07/04/2025"/>
            <filter val="07/05/2024"/>
            <filter val="07/05/2025"/>
            <filter val="07/06/2024"/>
            <filter val="07/07/2025"/>
            <filter val="07/10/2024"/>
            <filter val="07/11/2024"/>
            <filter val="07/11/2025"/>
            <filter val="08/01/2025"/>
            <filter val="08/01/2026"/>
            <filter val="08/02/2024"/>
            <filter val="08/03/2024"/>
            <filter val="08/04/2024"/>
            <filter val="08/04/2025"/>
            <filter val="08/05/2025"/>
            <filter val="08/07/2025"/>
            <filter val="08/10/2024"/>
            <filter val="08/10/2025"/>
            <filter val="08/11/2024"/>
            <filter val="09/01/2025"/>
            <filter val="09/02/2024"/>
            <filter val="09/04/2024"/>
            <filter val="09/04/2025"/>
            <filter val="09/05/2024"/>
            <filter val="09/08/2024"/>
            <filter val="09/09/2024"/>
            <filter val="09/09/2025"/>
            <filter val="09/10/2024"/>
            <filter val="10/01/2024"/>
            <filter val="10/02/2025"/>
            <filter val="10/03/2025"/>
            <filter val="10/04/2024"/>
            <filter val="10/04/2025"/>
            <filter val="10/05/2024"/>
            <filter val="10/06/2024"/>
            <filter val="10/07/2024"/>
            <filter val="10/07/2025"/>
            <filter val="10/09/2024"/>
            <filter val="10/09/2025"/>
            <filter val="10/10/2024"/>
            <filter val="10/10/2025"/>
            <filter val="10/12/2024"/>
            <filter val="10/12/2025"/>
            <filter val="11/02/2025"/>
            <filter val="11/03/2023"/>
            <filter val="11/03/2024"/>
            <filter val="11/04/2024"/>
            <filter val="11/06/2024"/>
            <filter val="11/06/2025"/>
            <filter val="11/08/2025"/>
            <filter val="11/09/2024"/>
            <filter val="11/10/2024"/>
            <filter val="11/11/2024"/>
            <filter val="11/12/2024"/>
            <filter val="11/12/2025"/>
            <filter val="12/02/2025"/>
            <filter val="12/03/2024"/>
            <filter val="12/03/2025"/>
            <filter val="12/06/2024"/>
            <filter val="12/08/2024"/>
            <filter val="12/09/2024"/>
            <filter val="12/12/2024"/>
            <filter val="12/12/2025"/>
            <filter val="13/01/2025"/>
            <filter val="13/01/2026"/>
            <filter val="13/02/2025"/>
            <filter val="13/03/2024"/>
            <filter val="13/03/2025"/>
            <filter val="13/05/2025"/>
            <filter val="13/06/2024"/>
            <filter val="13/09/2024"/>
            <filter val="13/11/2025"/>
            <filter val="13/12/2024"/>
            <filter val="14/03/2024"/>
            <filter val="14/03/2025"/>
            <filter val="14/05/2024"/>
            <filter val="14/06/2024"/>
            <filter val="14/07/2025"/>
            <filter val="14/08/2024"/>
            <filter val="14/10/2024"/>
            <filter val="14/11/2024"/>
            <filter val="15/01/2024"/>
            <filter val="15/01/2025"/>
            <filter val="15/02/2024"/>
            <filter val="15/05/2024"/>
            <filter val="15/07/2024"/>
            <filter val="15/08/2024"/>
            <filter val="15/09/2025"/>
            <filter val="15/10/2024"/>
            <filter val="15/10/2025"/>
            <filter val="16/01/2025"/>
            <filter val="16/02/2024"/>
            <filter val="16/04/2024"/>
            <filter val="16/06/2025"/>
            <filter val="16/07/2025"/>
            <filter val="16/08/2024"/>
            <filter val="16/09/2024"/>
            <filter val="16/09/2025"/>
            <filter val="16/12/2024"/>
            <filter val="16/12/2025"/>
            <filter val="17/01/2024"/>
            <filter val="17/02/2025"/>
            <filter val="17/03/2025"/>
            <filter val="17/04/2025"/>
            <filter val="17/06/2024"/>
            <filter val="17/06/2025"/>
            <filter val="17/07/2024"/>
            <filter val="17/09/2024"/>
            <filter val="17/09/2025"/>
            <filter val="17/10/2024"/>
            <filter val="18/01/2024"/>
            <filter val="18/02/2025"/>
            <filter val="18/03/2024"/>
            <filter val="18/06/2024"/>
            <filter val="18/06/2025"/>
            <filter val="18/09/2025"/>
            <filter val="18/11/2024"/>
            <filter val="18/12/2024"/>
            <filter val="18/12/2025"/>
            <filter val="19/02/2024"/>
            <filter val="19/03/2024"/>
            <filter val="19/04/2024"/>
            <filter val="19/06/2024"/>
            <filter val="19/08/2024"/>
            <filter val="19/11/2024"/>
            <filter val="19/12/2024"/>
            <filter val="19/12/2025"/>
            <filter val="20/01/2025"/>
            <filter val="20/02/2025"/>
            <filter val="20/03/2024"/>
            <filter val="20/03/2025"/>
            <filter val="20/05/2024"/>
            <filter val="20/06/2024"/>
            <filter val="20/06/2025"/>
            <filter val="20/10/2025"/>
            <filter val="20/12/2024"/>
            <filter val="21/02/2024"/>
            <filter val="21/02/2025"/>
            <filter val="21/05/2025"/>
            <filter val="21/06/2024"/>
            <filter val="21/08/2025"/>
            <filter val="21/10/2024"/>
            <filter val="21/10/2025"/>
            <filter val="21/11/2024"/>
            <filter val="21/11/2025"/>
            <filter val="22/01/2024"/>
            <filter val="22/02/2024"/>
            <filter val="22/03/2024"/>
            <filter val="22/07/2024"/>
            <filter val="22/10/2024"/>
            <filter val="22/10/2025"/>
            <filter val="22/12/2025"/>
            <filter val="23/01/2024"/>
            <filter val="23/02/2024"/>
            <filter val="23/04/2024"/>
            <filter val="23/05/2025"/>
            <filter val="23/07/2025"/>
            <filter val="23/09/2024"/>
            <filter val="23/09/2025"/>
            <filter val="23/12/2025"/>
            <filter val="24/01/2024"/>
            <filter val="24/01/2025"/>
            <filter val="24/04/2025"/>
            <filter val="24/06/2024"/>
            <filter val="24/06/2025"/>
            <filter val="24/09/2025"/>
            <filter val="24/11/2025"/>
            <filter val="25/02/2025"/>
            <filter val="25/03/2024"/>
            <filter val="25/03/2025"/>
            <filter val="25/04/2024"/>
            <filter val="25/04/2025"/>
            <filter val="25/06/2024"/>
            <filter val="25/07/2024"/>
            <filter val="25/08/2025"/>
            <filter val="25/09/2024"/>
            <filter val="25/09/2025"/>
            <filter val="25/11/2023"/>
            <filter val="26/02/2024"/>
            <filter val="26/03/2024"/>
            <filter val="26/03/2025"/>
            <filter val="26/04/2024"/>
            <filter val="26/06/2024"/>
            <filter val="26/09/2025"/>
            <filter val="26/12/2024"/>
            <filter val="27/02/2024"/>
            <filter val="27/03/2025"/>
            <filter val="27/05/2024"/>
            <filter val="27/06/2024"/>
            <filter val="27/06/2025"/>
            <filter val="27/08/2025"/>
            <filter val="27/09/2024"/>
            <filter val="27/10/2025"/>
            <filter val="27/11/2024"/>
            <filter val="28/01/2025"/>
            <filter val="28/02/2024"/>
            <filter val="28/02/2025"/>
            <filter val="28/05/2024"/>
            <filter val="29/05/2024"/>
            <filter val="29/05/2025"/>
            <filter val="29/08/2025"/>
            <filter val="29/11/2024"/>
            <filter val="29/12/2025"/>
            <filter val="30/01/2024"/>
            <filter val="30/04/2024"/>
            <filter val="30/04/2025"/>
            <filter val="30/05/2025"/>
            <filter val="30/07/2024"/>
            <filter val="30/09/2024"/>
            <filter val="30/10/2025"/>
            <filter val="31/01/2024"/>
            <filter val="31/01/2025"/>
            <filter val="31/07/2024"/>
            <filter val="31/07/2025"/>
            <filter val="31/10/2025"/>
          </filters>
        </filterColumn>
      </autoFilter>
    </customSheetView>
    <customSheetView guid="{C0BB8DA4-833E-4321-AB5F-AC42635F4B03}" filter="1" showAutoFilter="1">
      <pageMargins left="0" right="0" top="0" bottom="0" header="0" footer="0"/>
      <autoFilter ref="A1:AU1084" xr:uid="{54435796-7232-40B9-BE72-E884FB908B02}">
        <filterColumn colId="17">
          <filters>
            <filter val="A conta 008411505 foi encerrada a pedido dos clientes, que desejaram alterar o titular. Como solicitado, a conta 008458289 foi aberta."/>
            <filter val="Aguardando resposta do FA / Troca de Assessoria de Thiago Canbrava para Matheus Vilar"/>
            <filter val="Alteração dde carteira finalizada (09/09/2025)"/>
            <filter val="Alteração de carteira finalizada (01/03/2024)/ STVM Interna de saída para a conta 005161568"/>
            <filter val="Alteração de carteira finalizada (02/04/2024)"/>
            <filter val="Alteração de carteira finalizada (02/10/2024)"/>
            <filter val="Alteração de carteira finalizada (03/10/2023)"/>
            <filter val="Alteração de carteira finalizada (03/10/2024) / Diatrao unilateral"/>
            <filter val="Alteração de carteira finalizada (04/11/2024)"/>
            <filter val="Alteração de carteira finalizada (04/11/2025)"/>
            <filter val="Alteração de carteira finalizada (05/02/2024)"/>
            <filter val="Alteração de carteira finalizada (05/03/2024)"/>
            <filter val="Alteração de carteira finalizada (06/02/2025)"/>
            <filter val="Alteração de carteira finalizada (06/05/2025)"/>
            <filter val="Alteração de carteira finalizada (06/06/2025)"/>
            <filter val="Alteração de carteira finalizada (06/10/2023)"/>
            <filter val="Alteração de carteira finalizada (07/12/2023)"/>
            <filter val="Alteração de carteira finalizada (08/12/2025)"/>
            <filter val="Alteração de carteira finalizada (09/08/2024)"/>
            <filter val="Alteração de carteira finalizada (09/11/2023)"/>
            <filter val="Alteração de carteira finalizada (09/12/2024)"/>
            <filter val="Alteração de carteira finalizada (10/02/2025)"/>
            <filter val="Alteração de carteira finalizada (12/08/2025)"/>
            <filter val="Alteração de carteira finalizada (12/11/2025)"/>
            <filter val="Alteração de carteira finalizada (13/02/2025)"/>
            <filter val="Alteração de carteira finalizada (13/05/2024)"/>
            <filter val="Alteração de carteira finalizada (13/05/2025)"/>
            <filter val="Alteração de carteira finalizada (13/11/2023)"/>
            <filter val="Alteração de carteira finalizada (14/04/2025)"/>
            <filter val="Alteração de carteira finalizada (14/07/2023)"/>
            <filter val="Alteração de carteira finalizada (14/11/2025)"/>
            <filter val="Alteração de carteira finalizada (15/02/2024)"/>
            <filter val="Alteração de carteira finalizada (15/03/2024)"/>
            <filter val="Alteração de Carteira finalizada (15/09/2025)"/>
            <filter val="Alteração de carteira finalizada (17/01/2024)"/>
            <filter val="Alteração de carteira finalizada (17/06/2024)"/>
            <filter val="Alteração de carteira finalizada (17/07/2025)"/>
            <filter val="Alteração de carteira finalizada (17/11/2025)"/>
            <filter val="Alteração de carteira finalizada (17/12/2024)"/>
            <filter val="Alteração de carteira finalizada (20/01//2025)"/>
            <filter val="Alteração de carteira finalizada (20/01/2025)"/>
            <filter val="Alteração de carteira finalizada (21/10/2024)"/>
            <filter val="Alteração de carteira finalizada (22/07/2024)"/>
            <filter val="Alteração de carteira finalizada (23/10/2023)"/>
            <filter val="Alteração de carteira finalizada (24/01/2024)"/>
            <filter val="Alteração de carteira finalizada (24/07/2023)"/>
            <filter val="Alteração de carteira finalizada (25/09/2025)"/>
            <filter val="Alteração de carteira finalizada (26/02/2024)"/>
            <filter val="Alteração de carteira finalizada (26/11/2024)"/>
            <filter val="Alteração de carteira finalizada (27/03/2024)"/>
            <filter val="Alteração de carteira finalizada (27/06/2024)"/>
            <filter val="Alteração de carteira finalizada (27/07/2023)"/>
            <filter val="Alteração de carteira finalizada (27/11/2023)"/>
            <filter val="Alteração de carteira finalizada (29/01/2024)"/>
            <filter val="Alteração de carteira finalizada. (25/09/2025)"/>
            <filter val="Alterado a conta de N° 003836362 (sem saldo) / Alteração de carteira finalizada (18/04/2024)"/>
            <filter val="Cliente retornou a base com novo contrato (29/08/2025)"/>
            <filter val="Cliente retornou para a base dia 10/10/2024"/>
            <filter val="Cliente retornou para a base dia 21/10/2024 sob nova carteira"/>
            <filter val="Cliente saiu da base (18/09/2024)"/>
            <filter val="Cliente saiu da base dia 22/10/2024 retornou sob nova carteira dia 19/11/2024 / Alteração de carteira finalizada (30/01/2025)"/>
            <filter val="Cliente sofreu tentativa de fraude - qualquer alteração em seu cadastro ou movimentação na conta entrar em contato com o FA/Cliente para confirmação."/>
            <filter val="Cliente solicitou distrato"/>
            <filter val="Cliente solicitou distrato (19/08/2024)"/>
            <filter val="Cliente solicitou distrato (20/06/2024)"/>
            <filter val="Cliente solicitou distrato 23/05/2024"/>
            <filter val="Cliente solicitou distrato dia 25/04/2023"/>
            <filter val="Cliente solicitou o distrato (08/08/2024)"/>
            <filter val="Cliente solicitou troca de assessoria"/>
            <filter val="Cliente solicitou troca de assessoria (08/08/2024)"/>
            <filter val="Cliente solicitou troca de assessoria (17/07/2024)"/>
            <filter val="Cliente solicitou troca de assessoria (30/07/2024)"/>
            <filter val="Cliente solicitou troca de assessortia (16/07/2024)"/>
            <filter val="Cliente sumiu da base"/>
            <filter val="Cliente sumiu da base (06/05/2024)"/>
            <filter val="Cliente sumiu da base 05/03/2024"/>
            <filter val="Cliente vai resgatar sozinho/ Troca de Assessoria de Thiago Canbrava para Matheus Vilar"/>
            <filter val="Conta à ser encerrada, aguardando recebimentos de dividendo para 2025"/>
            <filter val="Conta criada sem necessidade (17/06/2024)"/>
            <filter val="Conta será encerrada"/>
            <filter val="Distrati unilateral"/>
            <filter val="Distrato solicitado dia 20/06/2024"/>
            <filter val="Distrato unilatera"/>
            <filter val="Distrato Unilateral"/>
            <filter val="Distrato unilateral."/>
            <filter val="Em processo de STVM"/>
            <filter val="Não apagar observação: Troca de assessor 01/12/2023 - Antigo: Conquest - Juliana Abreu"/>
            <filter val="PL acima de R$ 2.000.000,00, de forma que se o cliente resgatar a taxa retorne automático para 1,2%a.a., sem necessidade de novo contrato. STVM interna finalizada (05/06/2024)"/>
            <filter val="Primeira conta 004794805 viculada por erro do FA."/>
            <filter val="Solicitou resgate total dia 08/03/2024 / Distrato unilateral"/>
            <filter val="STVM de entrada da Guide finalizada (02/10/2023) / Alteração de carteira finalizada (15/09/2023)"/>
            <filter val="STVM de entrada da Guide finalizada (06/11/2023) / Alteração de carteira finalizada (05/08/2024)"/>
            <filter val="STVM de entrada da Guide finalizada (06/12/2023) / Alteração de carteira finalizada (22/12/2023)"/>
            <filter val="STVM de entrada da Guide finalizada (09/10/2023) / Alteração de carteira finalizada (21/01/2025)"/>
            <filter val="STVM de entrada da Guide finalizada (10/01/2024) / Alteração de carteira finalizada (20/01/2025)"/>
            <filter val="STVM de entrada da Guide finalizada (13/07/2023) / Alteração de carteira finalizada (21/01/2025)"/>
            <filter val="STVM de entrada da Guide finalizada (13/09/2023) / Alteração de carteira finalizada (01/03/2024)"/>
            <filter val="STVM de entrada da Guide finalizada (13/09/2023) / Alteração de carteira finalizada (22/12/2023)"/>
            <filter val="STVM de entrada da Guide finalizada (13/11/2023) Alteração de carteira finalizada (26/11/2024)"/>
            <filter val="STVM de entrada da Guide finalizada (30/10/2023) / Alteração de carteira finalizada (14/06/2024)"/>
            <filter val="STVM de entrada finalizada (28/05/2024)"/>
            <filter val="STVM de saída para XP finalizada (22/02/2024)"/>
            <filter val="STVM de saída para XP finalizada (31/01/2024)"/>
            <filter val="STVM de saída para XP iniciada (13/05/2024)"/>
            <filter val="STVM de saída para XP iniciada (25/06/2024) Cliente sumiu da base"/>
            <filter val="STVM Interna de entrada da conta 004254210"/>
            <filter val="STVM Interna finalizada (01/07/2024)"/>
            <filter val="STVM interna finalizada (08/01/2024) / Conta será encerrada após valor em trânsito cair"/>
            <filter val="STVM interna finalizada (12/03/2024)"/>
            <filter val="STVM interna finalizada (18/07/2024)"/>
            <filter val="STVM interna finalizada (19/03/2024) Cliente solicitou distrato 19/07/2024"/>
            <filter val="STVM interna finalizada (19/07/2024)"/>
            <filter val="STVM interna finalizada (27/02/2024)"/>
            <filter val="STVM interna finalizada (27/02/2024) / Alteração de carteira Finalizada (11/03/2024)"/>
            <filter val="Tirar da base (06/06/2024)"/>
            <filter val="Troca de Assessoria de Thiago Canabrava para Matheus Vilar"/>
            <filter val="Troca de Assessoria de Thiago Canbrava para Guilherme dos Santos"/>
            <filter val="Troca de Assessoria de Thiago Canbrava para Guilherme dos Santos / Resgate total da carteira (04/04/2024)"/>
            <filter val="Troca de Assessoria de Thiago Canbrava para Matheus Vilar"/>
          </filters>
        </filterColumn>
      </autoFilter>
    </customSheetView>
    <customSheetView guid="{C437C293-DD5A-46C1-9E17-A1E6569A844F}" filter="1" showAutoFilter="1">
      <pageMargins left="0" right="0" top="0" bottom="0" header="0" footer="0"/>
      <autoFilter ref="A1:AU1084" xr:uid="{869D3C94-584B-4C0C-818F-776100F9AF2C}">
        <filterColumn colId="35">
          <filters>
            <filter val="R$ 0.00"/>
            <filter val="R$ 0.01"/>
            <filter val="R$ 1,060.50"/>
            <filter val="R$ 1,110,727.78"/>
            <filter val="R$ 1,138,799.16"/>
            <filter val="R$ 1,152,279.75"/>
            <filter val="R$ 1,174,012.95"/>
            <filter val="R$ 1,391,813.01"/>
            <filter val="R$ 1,718,110.98"/>
            <filter val="R$ 1,835,034.42"/>
            <filter val="R$ 100,035.14"/>
            <filter val="R$ 102,150.96"/>
            <filter val="R$ 102,893.40"/>
            <filter val="R$ 109,412.19"/>
            <filter val="R$ 118,025.41"/>
            <filter val="R$ 124,741.99"/>
            <filter val="R$ 124,923.21"/>
            <filter val="R$ 134,565.58"/>
            <filter val="R$ 144,797.29"/>
            <filter val="R$ 15,000.00"/>
            <filter val="R$ 15,016.78"/>
            <filter val="R$ 15,906,624.59"/>
            <filter val="R$ 152,071.36"/>
            <filter val="R$ 152,610.03"/>
            <filter val="R$ 155,121.31"/>
            <filter val="R$ 172,150.64"/>
            <filter val="R$ 172,295.80"/>
            <filter val="R$ 173,538.72"/>
            <filter val="R$ 175,767.51"/>
            <filter val="R$ 176,868.64"/>
            <filter val="R$ 190,654.57"/>
            <filter val="R$ 198,564.62"/>
            <filter val="R$ 198,714.47"/>
            <filter val="R$ 2,010,017.61"/>
            <filter val="R$ 2,493,271.63"/>
            <filter val="R$ 2,699,231.96"/>
            <filter val="R$ 2,780,380.17"/>
            <filter val="R$ 2,781,216.38"/>
            <filter val="R$ 2,977,311.65"/>
            <filter val="R$ 2,994,048.19"/>
            <filter val="R$ 2.06"/>
            <filter val="R$ 20,003.03"/>
            <filter val="R$ 203,853.38"/>
            <filter val="R$ 205,400.96"/>
            <filter val="R$ 21,865.15"/>
            <filter val="R$ 211,048.19"/>
            <filter val="R$ 214,097.75"/>
            <filter val="R$ 218,921.92"/>
            <filter val="R$ 22,406.26"/>
            <filter val="R$ 22,682.07"/>
            <filter val="R$ 232,519.02"/>
            <filter val="R$ 24,827.30"/>
            <filter val="R$ 240,791.65"/>
            <filter val="R$ 249,563.53"/>
            <filter val="R$ 253,309.58"/>
            <filter val="R$ 267,762.35"/>
            <filter val="R$ 284,090.61"/>
            <filter val="R$ 288,794.28"/>
            <filter val="R$ 297,479.42"/>
            <filter val="R$ 30,166.52"/>
            <filter val="R$ 302,011.97"/>
            <filter val="R$ 302,348.09"/>
            <filter val="R$ 304,847.72"/>
            <filter val="R$ 31,196.96"/>
            <filter val="R$ 322,404.64"/>
            <filter val="R$ 336,441.18"/>
            <filter val="R$ 34,505.57"/>
            <filter val="R$ 371,328.96"/>
            <filter val="R$ 374,246.97"/>
            <filter val="R$ 378,063.59"/>
            <filter val="R$ 392,773.39"/>
            <filter val="R$ 4,066.02"/>
            <filter val="R$ 40,303.50"/>
            <filter val="R$ 42,071.82"/>
            <filter val="R$ 423,818.64"/>
            <filter val="R$ 424,706.47"/>
            <filter val="R$ 44,307.74"/>
            <filter val="R$ 44,917.04"/>
            <filter val="R$ 445,715.68"/>
            <filter val="R$ 45,427.45"/>
            <filter val="R$ 45,679.42"/>
            <filter val="R$ 473,873.60"/>
            <filter val="R$ 485,180.91"/>
            <filter val="R$ 49,951.69"/>
            <filter val="R$ 497,674.32"/>
            <filter val="R$ 5,432.22"/>
            <filter val="R$ 5,790.98"/>
            <filter val="R$ 50,152.64"/>
            <filter val="R$ 50,312.02"/>
            <filter val="R$ 50,596.26"/>
            <filter val="R$ 51,930.03"/>
            <filter val="R$ 522,921.32"/>
            <filter val="R$ 56,393.03"/>
            <filter val="R$ 560,421.19"/>
            <filter val="R$ 594,851.69"/>
            <filter val="R$ 596,444.02"/>
            <filter val="R$ 6,050.41"/>
            <filter val="R$ 60,000.00"/>
            <filter val="R$ 648,209.98"/>
            <filter val="R$ 65,927.09"/>
            <filter val="R$ 68,438.77"/>
            <filter val="R$ 68,499.79"/>
            <filter val="R$ 68,740.04"/>
            <filter val="R$ 682,529.36"/>
            <filter val="R$ 689,994.38"/>
            <filter val="R$ 7,168.33"/>
            <filter val="R$ 71,695.11"/>
            <filter val="R$ 78,310.67"/>
            <filter val="R$ 794,794.76"/>
            <filter val="R$ 798,318.68"/>
            <filter val="R$ 80,366.67"/>
            <filter val="R$ 80,773.53"/>
            <filter val="R$ 802,748.34"/>
            <filter val="R$ 841,947.60"/>
            <filter val="R$ 876,298.99"/>
            <filter val="R$ 90,779.20"/>
            <filter val="R$ 97,885.87"/>
            <filter val="R$ 99,999.09"/>
            <filter val="R$ 990,968.05"/>
          </filters>
        </filterColumn>
        <filterColumn colId="36">
          <filters blank="1">
            <filter val="31/03/2023"/>
            <filter val="R$ 0.00"/>
            <filter val="R$ 0.01"/>
            <filter val="R$ 1,024,736.72"/>
            <filter val="R$ 1,038,419.02"/>
            <filter val="R$ 1,114,382.73"/>
            <filter val="R$ 1,129,848.76"/>
            <filter val="R$ 1,152,760.38"/>
            <filter val="R$ 1,204,685.20"/>
            <filter val="R$ 1,204,769.98"/>
            <filter val="R$ 1,278,337.14"/>
            <filter val="R$ 1,309,680.34"/>
            <filter val="R$ 1,348.85"/>
            <filter val="R$ 1,365,838.92"/>
            <filter val="R$ 1,394,564.19"/>
            <filter val="R$ 1,594.06"/>
            <filter val="R$ 1,604,739.39"/>
            <filter val="R$ 1,643,644.34"/>
            <filter val="R$ 1,737,740.56"/>
            <filter val="R$ 1,783,320.01"/>
            <filter val="R$ 1,893,864.24"/>
            <filter val="R$ 1,896.74"/>
            <filter val="R$ 10,067,355.42"/>
            <filter val="R$ 100,452.44"/>
            <filter val="R$ 100,741.71"/>
            <filter val="R$ 100,841.03"/>
            <filter val="R$ 101,013.83"/>
            <filter val="R$ 101,119.41"/>
            <filter val="R$ 102,534.00"/>
            <filter val="R$ 103,256.95"/>
            <filter val="R$ 103,997.85"/>
            <filter val="R$ 104,138.41"/>
            <filter val="R$ 104,644.56"/>
            <filter val="R$ 104,644.90"/>
            <filter val="R$ 108,824.42"/>
            <filter val="R$ 110,310.81"/>
            <filter val="R$ 110,591.27"/>
            <filter val="R$ 116,340.75"/>
            <filter val="R$ 119,332.76"/>
            <filter val="R$ 119,885.32"/>
            <filter val="R$ 120,603.37"/>
            <filter val="R$ 123,178.45"/>
            <filter val="R$ 127,283.37"/>
            <filter val="R$ 131,030.57"/>
            <filter val="R$ 140,217.14"/>
            <filter val="R$ 140,275.53"/>
            <filter val="R$ 141,660.30"/>
            <filter val="R$ 145,316.61"/>
            <filter val="R$ 15,000.00"/>
            <filter val="R$ 15,092.34"/>
            <filter val="R$ 15,914,768.17"/>
            <filter val="R$ 150,000.00"/>
            <filter val="R$ 150,419.13"/>
            <filter val="R$ 154,284.45"/>
            <filter val="R$ 155,653.14"/>
            <filter val="R$ 155,704.76"/>
            <filter val="R$ 156,498.64"/>
            <filter val="R$ 160,000.00"/>
            <filter val="R$ 162,023.29"/>
            <filter val="R$ 163,277.33"/>
            <filter val="R$ 165,623.10"/>
            <filter val="R$ 17,955.96"/>
            <filter val="R$ 174,896.65"/>
            <filter val="R$ 178,713.53"/>
            <filter val="R$ 184,963.20"/>
            <filter val="R$ 192,722.37"/>
            <filter val="R$ 2,031,340.41"/>
            <filter val="R$ 2,311,316.92"/>
            <filter val="R$ 2,346,598.11"/>
            <filter val="R$ 2,520,762.31"/>
            <filter val="R$ 2,728,008.19"/>
            <filter val="R$ 2,743,133.96"/>
            <filter val="R$ 2,812,243.72"/>
            <filter val="R$ 2,812,325.28"/>
            <filter val="R$ 20,207.06"/>
            <filter val="R$ 200,875.49"/>
            <filter val="R$ 206,066.06"/>
            <filter val="R$ 207,992.18"/>
            <filter val="R$ 215,098.70"/>
            <filter val="R$ 215,903.39"/>
            <filter val="R$ 218,727.87"/>
            <filter val="R$ 221,085.40"/>
            <filter val="R$ 240,699.04"/>
            <filter val="R$ 242,169.05"/>
            <filter val="R$ 243,357.27"/>
            <filter val="R$ 246,513.10"/>
            <filter val="R$ 25,083.91"/>
            <filter val="R$ 25,864.70"/>
            <filter val="R$ 254,947.94"/>
            <filter val="R$ 254,973.37"/>
            <filter val="R$ 255,619.92"/>
            <filter val="R$ 26,103.99"/>
            <filter val="R$ 266,412.32"/>
            <filter val="R$ 266,535.10"/>
            <filter val="R$ 28,599.53"/>
            <filter val="R$ 285,585.79"/>
            <filter val="R$ 29,418.53"/>
            <filter val="R$ 3,037,619.94"/>
            <filter val="R$ 3,571,441.62"/>
            <filter val="R$ 302,924.14"/>
            <filter val="R$ 304,867.61"/>
            <filter val="R$ 305,056.61"/>
            <filter val="R$ 305,861.97"/>
            <filter val="R$ 307,682.12"/>
            <filter val="R$ 31,403.17"/>
            <filter val="R$ 317,061.28"/>
            <filter val="R$ 32,411.69"/>
            <filter val="R$ 322,729.09"/>
            <filter val="R$ 325,628.19"/>
            <filter val="R$ 336,439.07"/>
            <filter val="R$ 336,452.80"/>
            <filter val="R$ 339,363.55"/>
            <filter val="R$ 339,644.96"/>
            <filter val="R$ 350,337.58"/>
            <filter val="R$ 36,392.24"/>
            <filter val="R$ 367,764.99"/>
            <filter val="R$ 368,265.24"/>
            <filter val="R$ 37,824.00"/>
            <filter val="R$ 376,736.61"/>
            <filter val="R$ 38,619.74"/>
            <filter val="R$ 390,507.04"/>
            <filter val="R$ 397,012.49"/>
            <filter val="R$ 397,131.76"/>
            <filter val="R$ 4,226.53"/>
            <filter val="R$ 4,290.59"/>
            <filter val="R$ 412,014.46"/>
            <filter val="R$ 428,408.17"/>
            <filter val="R$ 428,705.70"/>
            <filter val="R$ 43,465.11"/>
            <filter val="R$ 44,329.56"/>
            <filter val="R$ 45,916.51"/>
            <filter val="R$ 452,250.65"/>
            <filter val="R$ 46,286.01"/>
            <filter val="R$ 46,776.24"/>
            <filter val="R$ 48,573.21"/>
            <filter val="R$ 48,822.54"/>
            <filter val="R$ 481,691.48"/>
            <filter val="R$ 482,402.02"/>
            <filter val="R$ 484,136.36"/>
            <filter val="R$ 487,428.52"/>
            <filter val="R$ 49,617.77"/>
            <filter val="R$ 490,650.14"/>
            <filter val="R$ 497,306.27"/>
            <filter val="R$ 5,852.75"/>
            <filter val="R$ 50,254.30"/>
            <filter val="R$ 50,312.94"/>
            <filter val="R$ 50,841.72"/>
            <filter val="R$ 501,068.64"/>
            <filter val="R$ 51,039.26"/>
            <filter val="R$ 51,063.01"/>
            <filter val="R$ 52,009.59"/>
            <filter val="R$ 521,621.68"/>
            <filter val="R$ 53,199.19"/>
            <filter val="R$ 53,545.80"/>
            <filter val="R$ 537,871.72"/>
            <filter val="R$ 55,128.26"/>
            <filter val="R$ 58,093.97"/>
            <filter val="R$ 586,527.81"/>
            <filter val="R$ 6,120.43"/>
            <filter val="R$ 60,571.25"/>
            <filter val="R$ 600,854.27"/>
            <filter val="R$ 601,591.75"/>
            <filter val="R$ 62,447.48"/>
            <filter val="R$ 638,672.40"/>
            <filter val="R$ 639,901.80"/>
            <filter val="R$ 66,639.29"/>
            <filter val="R$ 67,255.19"/>
            <filter val="R$ 68,939.38"/>
            <filter val="R$ 685,952.92"/>
            <filter val="R$ 69,255.53"/>
            <filter val="R$ 695,807.82"/>
            <filter val="R$ 7,449,482.68"/>
            <filter val="R$ 70,041.45"/>
            <filter val="R$ 711,474.60"/>
            <filter val="R$ 72,215.39"/>
            <filter val="R$ 730,631.33"/>
            <filter val="R$ 745,648.09"/>
            <filter val="R$ 75,711.68"/>
            <filter val="R$ 77,064.11"/>
            <filter val="R$ 77,129.59"/>
            <filter val="R$ 79,413.38"/>
            <filter val="R$ 803,301.69"/>
            <filter val="R$ 807,877.60"/>
            <filter val="R$ 81,226.47"/>
            <filter val="R$ 81,445.48"/>
            <filter val="R$ 82,017.27"/>
            <filter val="R$ 831,494.82"/>
            <filter val="R$ 851,371.63"/>
            <filter val="R$ 87,777.54"/>
            <filter val="R$ 872,141.19"/>
            <filter val="R$ 877,861.49"/>
            <filter val="R$ 9.65"/>
            <filter val="R$ 91,750.46"/>
            <filter val="R$ 913,671.31"/>
            <filter val="R$ 916,687.06"/>
            <filter val="R$ 943,347.36"/>
            <filter val="R$ 98,175.52"/>
          </filters>
        </filterColumn>
        <filterColumn colId="37">
          <filters blank="1">
            <filter val="0"/>
            <filter val="28/04/2023"/>
            <filter val="R$ 0.00"/>
            <filter val="R$ 0.01"/>
            <filter val="R$ 1,017.37"/>
            <filter val="R$ 1,044,490.68"/>
            <filter val="R$ 1,051,542.11"/>
            <filter val="R$ 1,071,917.64"/>
            <filter val="R$ 1,110,519.60"/>
            <filter val="R$ 1,124,960.48"/>
            <filter val="R$ 1,159,316.29"/>
            <filter val="R$ 1,203,727.57"/>
            <filter val="R$ 1,213,660.87"/>
            <filter val="R$ 1,219,227.02"/>
            <filter val="R$ 1,257,106.81"/>
            <filter val="R$ 1,263,788.53"/>
            <filter val="R$ 1,265,154.49"/>
            <filter val="R$ 1,277,504.53"/>
            <filter val="R$ 1,304,279.67"/>
            <filter val="R$ 1,374,697.27"/>
            <filter val="R$ 1,473,903.20"/>
            <filter val="R$ 1,642,101.90"/>
            <filter val="R$ 1,653,139.89"/>
            <filter val="R$ 1,684,755.32"/>
            <filter val="R$ 1,689,189.64"/>
            <filter val="R$ 1,751,867.31"/>
            <filter val="R$ 1,765,182.14"/>
            <filter val="R$ 1,906.54"/>
            <filter val="R$ 10,017.88"/>
            <filter val="R$ 10,181,812.38"/>
            <filter val="R$ 100,244.63"/>
            <filter val="R$ 101,642.93"/>
            <filter val="R$ 101,652.76"/>
            <filter val="R$ 101,836.34"/>
            <filter val="R$ 102,305.34"/>
            <filter val="R$ 104,029.31"/>
            <filter val="R$ 104,799.51"/>
            <filter val="R$ 104,992.36"/>
            <filter val="R$ 105,009.13"/>
            <filter val="R$ 105,350.23"/>
            <filter val="R$ 107,406.13"/>
            <filter val="R$ 109,478.85"/>
            <filter val="R$ 112,366.37"/>
            <filter val="R$ 114,376.09"/>
            <filter val="R$ 114,482.14"/>
            <filter val="R$ 120,271.08"/>
            <filter val="R$ 120,387.26"/>
            <filter val="R$ 125,221.88"/>
            <filter val="R$ 128,816.60"/>
            <filter val="R$ 13,680.76"/>
            <filter val="R$ 130,309.69"/>
            <filter val="R$ 131,524.98"/>
            <filter val="R$ 131,907.25"/>
            <filter val="R$ 134,455.91"/>
            <filter val="R$ 137,580.65"/>
            <filter val="R$ 138,047.59"/>
            <filter val="R$ 14,160.03"/>
            <filter val="R$ 14,649.95"/>
            <filter val="R$ 141,559.66"/>
            <filter val="R$ 142,994.83"/>
            <filter val="R$ 144,114.28"/>
            <filter val="R$ 145,842.39"/>
            <filter val="R$ 149,651.12"/>
            <filter val="R$ 15,000.00"/>
            <filter val="R$ 15,035.36"/>
            <filter val="R$ 15,185.70"/>
            <filter val="R$ 15,390.31"/>
            <filter val="R$ 153,405.60"/>
            <filter val="R$ 155,466.58"/>
            <filter val="R$ 155,956.48"/>
            <filter val="R$ 156,998.83"/>
            <filter val="R$ 159,700.37"/>
            <filter val="R$ 16,010.84"/>
            <filter val="R$ 16,044,618.61"/>
            <filter val="R$ 160,367.74"/>
            <filter val="R$ 163,652.60"/>
            <filter val="R$ 167,201.90"/>
            <filter val="R$ 169,594.56"/>
            <filter val="R$ 177,876.97"/>
            <filter val="R$ 178,768.84"/>
            <filter val="R$ 179,798.22"/>
            <filter val="R$ 18,549.92"/>
            <filter val="R$ 180,408.94"/>
            <filter val="R$ 191,564.02"/>
            <filter val="R$ 194,185.27"/>
            <filter val="R$ 194,185.85"/>
            <filter val="R$ 2,000,594.47"/>
            <filter val="R$ 2,005,947.36"/>
            <filter val="R$ 2,045,094.56"/>
            <filter val="R$ 2,130.62"/>
            <filter val="R$ 2,246,971.91"/>
            <filter val="R$ 2,338,313.82"/>
            <filter val="R$ 2,538,779.45"/>
            <filter val="R$ 2,738,653.68"/>
            <filter val="R$ 2,763,862.97"/>
            <filter val="R$ 2,836,358.20"/>
            <filter val="R$ 20,000.00"/>
            <filter val="R$ 20,036.96"/>
            <filter val="R$ 20,624.50"/>
            <filter val="R$ 200,493.23"/>
            <filter val="R$ 202,443.78"/>
            <filter val="R$ 206,415.12"/>
            <filter val="R$ 207,604.09"/>
            <filter val="R$ 215,468.62"/>
            <filter val="R$ 216,876.15"/>
            <filter val="R$ 220,678.08"/>
            <filter val="R$ 222,967.51"/>
            <filter val="R$ 236,338.07"/>
            <filter val="R$ 237,121.83"/>
            <filter val="R$ 240,346.35"/>
            <filter val="R$ 242,066.06"/>
            <filter val="R$ 242,683.04"/>
            <filter val="R$ 243,989.82"/>
            <filter val="R$ 245,077.86"/>
            <filter val="R$ 247,654.61"/>
            <filter val="R$ 25,270.13"/>
            <filter val="R$ 256,691.10"/>
            <filter val="R$ 257,567.67"/>
            <filter val="R$ 268,529.92"/>
            <filter val="R$ 272,043.36"/>
            <filter val="R$ 274,798.86"/>
            <filter val="R$ 28,871.73"/>
            <filter val="R$ 286,046.33"/>
            <filter val="R$ 289,978.59"/>
            <filter val="R$ 292,820.86"/>
            <filter val="R$ 3,047,635.57"/>
            <filter val="R$ 3,055,373.84"/>
            <filter val="R$ 3,193,690.29"/>
            <filter val="R$ 3,204,638.15"/>
            <filter val="R$ 3,908,519.48"/>
            <filter val="R$ 30,115.64"/>
            <filter val="R$ 30,146.55"/>
            <filter val="R$ 305,070.15"/>
            <filter val="R$ 307,539.42"/>
            <filter val="R$ 307,995.71"/>
            <filter val="R$ 309,166.56"/>
            <filter val="R$ 318,570.65"/>
            <filter val="R$ 32,783.39"/>
            <filter val="R$ 323,308.41"/>
            <filter val="R$ 328,553.35"/>
            <filter val="R$ 33,029.19"/>
            <filter val="R$ 332,686.07"/>
            <filter val="R$ 338,334.87"/>
            <filter val="R$ 338,756.18"/>
            <filter val="R$ 34,251.92"/>
            <filter val="R$ 34,582.67"/>
            <filter val="R$ 340,562.58"/>
            <filter val="R$ 341,209.52"/>
            <filter val="R$ 341,771.90"/>
            <filter val="R$ 347,988.69"/>
            <filter val="R$ 351,903.67"/>
            <filter val="R$ 355,326.46"/>
            <filter val="R$ 360,937.54"/>
            <filter val="R$ 365,637.43"/>
            <filter val="R$ 367,686.19"/>
            <filter val="R$ 377,025.32"/>
            <filter val="R$ 38,036.68"/>
            <filter val="R$ 38,153.64"/>
            <filter val="R$ 38,658.35"/>
            <filter val="R$ 387,469.55"/>
            <filter val="R$ 39,585.71"/>
            <filter val="R$ 392,253.97"/>
            <filter val="R$ 397,508.34"/>
            <filter val="R$ 4,346.31"/>
            <filter val="R$ 4,494.36"/>
            <filter val="R$ 40,121.16"/>
            <filter val="R$ 400,319.23"/>
            <filter val="R$ 402,278.31"/>
            <filter val="R$ 404,393.62"/>
            <filter val="R$ 41,622.38"/>
            <filter val="R$ 415,110.81"/>
            <filter val="R$ 423,185.18"/>
            <filter val="R$ 423,811.97"/>
            <filter val="R$ 43,794.10"/>
            <filter val="R$ 431,156.36"/>
            <filter val="R$ 444,063.69"/>
            <filter val="R$ 445,004.58"/>
            <filter val="R$ 448,793.99"/>
            <filter val="R$ 451,821.82"/>
            <filter val="R$ 459,936.64"/>
            <filter val="R$ 46,179.63"/>
            <filter val="R$ 46,229.26"/>
            <filter val="R$ 46,680.77"/>
            <filter val="R$ 47,556.19"/>
            <filter val="R$ 48,813.34"/>
            <filter val="R$ 483,551.39"/>
            <filter val="R$ 485,613.74"/>
            <filter val="R$ 49,569.35"/>
            <filter val="R$ 49,866.06"/>
            <filter val="R$ 49,918.83"/>
            <filter val="R$ 490,845.49"/>
            <filter val="R$ 494,510.23"/>
            <filter val="R$ 499,566.11"/>
            <filter val="R$ 5,431.76"/>
            <filter val="R$ 5,888.04"/>
            <filter val="R$ 504,162.28"/>
            <filter val="R$ 504,869.41"/>
            <filter val="R$ 508,810.75"/>
            <filter val="R$ 51,910.50"/>
            <filter val="R$ 510,841.58"/>
            <filter val="R$ 511,256.93"/>
            <filter val="R$ 52,412.85"/>
            <filter val="R$ 52,548.06"/>
            <filter val="R$ 53,520.35"/>
            <filter val="R$ 532,518.37"/>
            <filter val="R$ 54,182.77"/>
            <filter val="R$ 542,346.66"/>
            <filter val="R$ 545,084.31"/>
            <filter val="R$ 546,983.70"/>
            <filter val="R$ 56,051.76"/>
            <filter val="R$ 563,290.94"/>
            <filter val="R$ 571,325.29"/>
            <filter val="R$ 58,106.63"/>
            <filter val="R$ 58,552.20"/>
            <filter val="R$ 589,105.09"/>
            <filter val="R$ 59,816.41"/>
            <filter val="R$ 60,212.68"/>
            <filter val="R$ 60,384.18"/>
            <filter val="R$ 60,428.36"/>
            <filter val="R$ 605,246.45"/>
            <filter val="R$ 616,485.77"/>
            <filter val="R$ 62,942.91"/>
            <filter val="R$ 640,706.50"/>
            <filter val="R$ 651,770.08"/>
            <filter val="R$ 654,204.69"/>
            <filter val="R$ 664,128.98"/>
            <filter val="R$ 67,134.96"/>
            <filter val="R$ 687,270.90"/>
            <filter val="R$ 69,786.20"/>
            <filter val="R$ 69,815.35"/>
            <filter val="R$ 7,434,949.61"/>
            <filter val="R$ 70,577.15"/>
            <filter val="R$ 700,054.09"/>
            <filter val="R$ 701,658.56"/>
            <filter val="R$ 701,737.29"/>
            <filter val="R$ 701,999.45"/>
            <filter val="R$ 71,165.00"/>
            <filter val="R$ 717,386.93"/>
            <filter val="R$ 718,977.18"/>
            <filter val="R$ 72,488.98"/>
            <filter val="R$ 749,900.83"/>
            <filter val="R$ 77,712.62"/>
            <filter val="R$ 773,689.80"/>
            <filter val="R$ 776,700.26"/>
            <filter val="R$ 79,248.86"/>
            <filter val="R$ 793,813.54"/>
            <filter val="R$ 808,932.47"/>
            <filter val="R$ 81,824.72"/>
            <filter val="R$ 81,833.22"/>
            <filter val="R$ 813,726.89"/>
            <filter val="R$ 82,865.36"/>
            <filter val="R$ 839,282.30"/>
            <filter val="R$ 84,128.08"/>
            <filter val="R$ 84,549.19"/>
            <filter val="R$ 85,514.69"/>
            <filter val="R$ 857,106.85"/>
            <filter val="R$ 87,717.56"/>
            <filter val="R$ 883,858.74"/>
            <filter val="R$ 9.66"/>
            <filter val="R$ 918,724.54"/>
            <filter val="R$ 922,926.96"/>
            <filter val="R$ 94,101.27"/>
            <filter val="R$ 950,389.54"/>
            <filter val="R$ 98,150.60"/>
            <filter val="R$ 985,211.98"/>
          </filters>
        </filterColumn>
        <filterColumn colId="38">
          <filters blank="1">
            <filter val="31/05/2023"/>
            <filter val="R$ 0.00"/>
            <filter val="R$ 0.01"/>
            <filter val="R$ 1,010.11"/>
            <filter val="R$ 1,027.31"/>
            <filter val="R$ 1,042,177.69"/>
            <filter val="R$ 1,048,743.06"/>
            <filter val="R$ 1,072,991.87"/>
            <filter val="R$ 1,082,128.18"/>
            <filter val="R$ 1,089,087.97"/>
            <filter val="R$ 1,098,123.19"/>
            <filter val="R$ 1,140,148.39"/>
            <filter val="R$ 1,141,560.80"/>
            <filter val="R$ 1,157,718.00"/>
            <filter val="R$ 1,160,229.71"/>
            <filter val="R$ 1,207,452.88"/>
            <filter val="R$ 1,226,801.03"/>
            <filter val="R$ 1,236,011.28"/>
            <filter val="R$ 1,279,464.70"/>
            <filter val="R$ 1,292,029.39"/>
            <filter val="R$ 1,297,521.30"/>
            <filter val="R$ 1,307,731.72"/>
            <filter val="R$ 1,309,970.99"/>
            <filter val="R$ 1,389,671.12"/>
            <filter val="R$ 1,404,159.84"/>
            <filter val="R$ 1,481,389.20"/>
            <filter val="R$ 1,534,943.49"/>
            <filter val="R$ 1,644,341.39"/>
            <filter val="R$ 1,667,434.67"/>
            <filter val="R$ 1,696,169.83"/>
            <filter val="R$ 1,728,001.75"/>
            <filter val="R$ 1,769,481.97"/>
            <filter val="R$ 1,919.93"/>
            <filter val="R$ 10,121.37"/>
            <filter val="R$ 10,590.80"/>
            <filter val="R$ 100,563.06"/>
            <filter val="R$ 100,648.86"/>
            <filter val="R$ 101,366.48"/>
            <filter val="R$ 102,562.49"/>
            <filter val="R$ 102,906.88"/>
            <filter val="R$ 102,937.17"/>
            <filter val="R$ 105,096.22"/>
            <filter val="R$ 105,881.35"/>
            <filter val="R$ 106,366.95"/>
            <filter val="R$ 106,396.79"/>
            <filter val="R$ 106,502.53"/>
            <filter val="R$ 107,103.66"/>
            <filter val="R$ 107,326.56"/>
            <filter val="R$ 107,537.03"/>
            <filter val="R$ 107,737.05"/>
            <filter val="R$ 108,108.28"/>
            <filter val="R$ 113,918.96"/>
            <filter val="R$ 116,324.12"/>
            <filter val="R$ 117,722.06"/>
            <filter val="R$ 119,165.24"/>
            <filter val="R$ 121,542.65"/>
            <filter val="R$ 121,930.35"/>
            <filter val="R$ 122,550.79"/>
            <filter val="R$ 125,151.44"/>
            <filter val="R$ 127,766.28"/>
            <filter val="R$ 129,627.90"/>
            <filter val="R$ 13,707.40"/>
            <filter val="R$ 130,817.66"/>
            <filter val="R$ 131,947.19"/>
            <filter val="R$ 134,113.35"/>
            <filter val="R$ 135,591.54"/>
            <filter val="R$ 138,871.22"/>
            <filter val="R$ 139,372.91"/>
            <filter val="R$ 146,491.67"/>
            <filter val="R$ 147,938.64"/>
            <filter val="R$ 147,998.45"/>
            <filter val="R$ 148,461.24"/>
            <filter val="R$ 15,000.00"/>
            <filter val="R$ 15,561.04"/>
            <filter val="R$ 15,896,277.26"/>
            <filter val="R$ 151,242.98"/>
            <filter val="R$ 157,127.40"/>
            <filter val="R$ 157,716.83"/>
            <filter val="R$ 158,275.19"/>
            <filter val="R$ 163,569.63"/>
            <filter val="R$ 165,822.31"/>
            <filter val="R$ 166,990.86"/>
            <filter val="R$ 168,414.97"/>
            <filter val="R$ 168,860.19"/>
            <filter val="R$ 171,559.12"/>
            <filter val="R$ 174,038.01"/>
            <filter val="R$ 178,117.61"/>
            <filter val="R$ 179,377.58"/>
            <filter val="R$ 180,521.59"/>
            <filter val="R$ 181,860.56"/>
            <filter val="R$ 182,350.83"/>
            <filter val="R$ 196,237.19"/>
            <filter val="R$ 198,416.28"/>
            <filter val="R$ 2,027,949.47"/>
            <filter val="R$ 2,066,995.05"/>
            <filter val="R$ 2,070,022.35"/>
            <filter val="R$ 2,151.04"/>
            <filter val="R$ 2,168,757.62"/>
            <filter val="R$ 2,455,150.22"/>
            <filter val="R$ 2,466,852.75"/>
            <filter val="R$ 2,484,801.55"/>
            <filter val="R$ 2,497,905.81"/>
            <filter val="R$ 2,566,640.21"/>
            <filter val="R$ 2,770,866.74"/>
            <filter val="R$ 2,795,420.34"/>
            <filter val="R$ 2,870,623.99"/>
            <filter val="R$ 20,245.20"/>
            <filter val="R$ 202,518.84"/>
            <filter val="R$ 204,655.88"/>
            <filter val="R$ 209,789.01"/>
            <filter val="R$ 210,494.19"/>
            <filter val="R$ 212,181.64"/>
            <filter val="R$ 214,989.41"/>
            <filter val="R$ 217,477.55"/>
            <filter val="R$ 217,959.20"/>
            <filter val="R$ 22,448.47"/>
            <filter val="R$ 223,209.27"/>
            <filter val="R$ 225,285.35"/>
            <filter val="R$ 227,605.23"/>
            <filter val="R$ 23,401.90"/>
            <filter val="R$ 230,828.89"/>
            <filter val="R$ 233,418.45"/>
            <filter val="R$ 241,167.17"/>
            <filter val="R$ 244,022.86"/>
            <filter val="R$ 245,715.26"/>
            <filter val="R$ 247,554.61"/>
            <filter val="R$ 250,702.30"/>
            <filter val="R$ 259,544.42"/>
            <filter val="R$ 26,661.75"/>
            <filter val="R$ 260,425.27"/>
            <filter val="R$ 268,061.12"/>
            <filter val="R$ 268,927.25"/>
            <filter val="R$ 274,010.13"/>
            <filter val="R$ 274,818.05"/>
            <filter val="R$ 276,198.08"/>
            <filter val="R$ 276,929.50"/>
            <filter val="R$ 280,076.21"/>
            <filter val="R$ 288,087.22"/>
            <filter val="R$ 289,366.31"/>
            <filter val="R$ 29,257.61"/>
            <filter val="R$ 299,873.01"/>
            <filter val="R$ 3,122,146.91"/>
            <filter val="R$ 3,182,425.32"/>
            <filter val="R$ 3,188,978.01"/>
            <filter val="R$ 3,239,178.93"/>
            <filter val="R$ 3,332,193.62"/>
            <filter val="R$ 3,353,269.63"/>
            <filter val="R$ 30,452.71"/>
            <filter val="R$ 302,958.03"/>
            <filter val="R$ 306,493.43"/>
            <filter val="R$ 308,282.00"/>
            <filter val="R$ 31,014.04"/>
            <filter val="R$ 310,265.38"/>
            <filter val="R$ 311,282.54"/>
            <filter val="R$ 312,389.67"/>
            <filter val="R$ 324,898.95"/>
            <filter val="R$ 326,697.58"/>
            <filter val="R$ 33,319.77"/>
            <filter val="R$ 331,938.47"/>
            <filter val="R$ 340,102.23"/>
            <filter val="R$ 341,698.42"/>
            <filter val="R$ 342,130.28"/>
            <filter val="R$ 344,793.73"/>
            <filter val="R$ 347,483.42"/>
            <filter val="R$ 347,561.87"/>
            <filter val="R$ 357,473.90"/>
            <filter val="R$ 357,710.52"/>
            <filter val="R$ 36,143.78"/>
            <filter val="R$ 360,391.21"/>
            <filter val="R$ 363,226.57"/>
            <filter val="R$ 37,421.92"/>
            <filter val="R$ 372,607.98"/>
            <filter val="R$ 378,013.16"/>
            <filter val="R$ 38,402.56"/>
            <filter val="R$ 384,253.18"/>
            <filter val="R$ 39,676.93"/>
            <filter val="R$ 396,340.75"/>
            <filter val="R$ 4,364,609.29"/>
            <filter val="R$ 4,384.53"/>
            <filter val="R$ 40,189.89"/>
            <filter val="R$ 40,478.05"/>
            <filter val="R$ 40,564.96"/>
            <filter val="R$ 403,819.67"/>
            <filter val="R$ 406,919.01"/>
            <filter val="R$ 407,252.56"/>
            <filter val="R$ 408,190.60"/>
            <filter val="R$ 414,552.97"/>
            <filter val="R$ 42,040.96"/>
            <filter val="R$ 427,761.52"/>
            <filter val="R$ 43,353.84"/>
            <filter val="R$ 43,995.85"/>
            <filter val="R$ 430,183.62"/>
            <filter val="R$ 433,492.38"/>
            <filter val="R$ 439,840.02"/>
            <filter val="R$ 44,467.04"/>
            <filter val="R$ 44,968.78"/>
            <filter val="R$ 450,031.58"/>
            <filter val="R$ 46,550.74"/>
            <filter val="R$ 46,739.32"/>
            <filter val="R$ 461,665.96"/>
            <filter val="R$ 468,483.92"/>
            <filter val="R$ 47,800.97"/>
            <filter val="R$ 49,815.46"/>
            <filter val="R$ 49,931.15"/>
            <filter val="R$ 493,663.84"/>
            <filter val="R$ 494,989.38"/>
            <filter val="R$ 499,291.51"/>
            <filter val="R$ 5,000.00"/>
            <filter val="R$ 5,316.89"/>
            <filter val="R$ 50,389.96"/>
            <filter val="R$ 507,006.42"/>
            <filter val="R$ 509,775.18"/>
            <filter val="R$ 51,210.32"/>
            <filter val="R$ 510,334.32"/>
            <filter val="R$ 510,336.77"/>
            <filter val="R$ 515,470.43"/>
            <filter val="R$ 52,222.99"/>
            <filter val="R$ 525,755.99"/>
            <filter val="R$ 534,786.71"/>
            <filter val="R$ 54,661.25"/>
            <filter val="R$ 54,741.43"/>
            <filter val="R$ 56,248.95"/>
            <filter val="R$ 566,724.20"/>
            <filter val="R$ 569,712.92"/>
            <filter val="R$ 57,317.61"/>
            <filter val="R$ 579,285.01"/>
            <filter val="R$ 579,356.60"/>
            <filter val="R$ 58,477.42"/>
            <filter val="R$ 582,319.12"/>
            <filter val="R$ 584,340.22"/>
            <filter val="R$ 59,285.70"/>
            <filter val="R$ 599,462.24"/>
            <filter val="R$ 6,317.77"/>
            <filter val="R$ 6,409.45"/>
            <filter val="R$ 60,985.13"/>
            <filter val="R$ 607,920.45"/>
            <filter val="R$ 611,790.00"/>
            <filter val="R$ 615,707.80"/>
            <filter val="R$ 618,853.27"/>
            <filter val="R$ 62,211.39"/>
            <filter val="R$ 625,317.48"/>
            <filter val="R$ 627,525.17"/>
            <filter val="R$ 628,636.38"/>
            <filter val="R$ 63,991.85"/>
            <filter val="R$ 631,261.12"/>
            <filter val="R$ 64,503.79"/>
            <filter val="R$ 64,526.73"/>
            <filter val="R$ 667,808.17"/>
            <filter val="R$ 67,680.42"/>
            <filter val="R$ 671,497.32"/>
            <filter val="R$ 686,212.09"/>
            <filter val="R$ 697,627.07"/>
            <filter val="R$ 70,426.32"/>
            <filter val="R$ 70,572.13"/>
            <filter val="R$ 704,652.48"/>
            <filter val="R$ 707,734.86"/>
            <filter val="R$ 709,432.98"/>
            <filter val="R$ 709,503.56"/>
            <filter val="R$ 709,516.96"/>
            <filter val="R$ 71,927.97"/>
            <filter val="R$ 712.78"/>
            <filter val="R$ 714,697.76"/>
            <filter val="R$ 73,058.10"/>
            <filter val="R$ 747,604.76"/>
            <filter val="R$ 756,752.38"/>
            <filter val="R$ 76,467.35"/>
            <filter val="R$ 775,970.71"/>
            <filter val="R$ 8,788,058.62"/>
            <filter val="R$ 8.53"/>
            <filter val="R$ 80,132.51"/>
            <filter val="R$ 80,855.08"/>
            <filter val="R$ 804,596.25"/>
            <filter val="R$ 81,126.58"/>
            <filter val="R$ 817,587.84"/>
            <filter val="R$ 82,180.02"/>
            <filter val="R$ 820,233.94"/>
            <filter val="R$ 83,333.43"/>
            <filter val="R$ 83,869.63"/>
            <filter val="R$ 832,614.92"/>
            <filter val="R$ 850,795.67"/>
            <filter val="R$ 86,217.05"/>
            <filter val="R$ 86,409.50"/>
            <filter val="R$ 87,335.75"/>
            <filter val="R$ 887,588.24"/>
            <filter val="R$ 890,507.37"/>
            <filter val="R$ 9,042.84"/>
            <filter val="R$ 9,046.45"/>
            <filter val="R$ 9,048.26"/>
            <filter val="R$ 9.67"/>
            <filter val="R$ 917,050.58"/>
            <filter val="R$ 930,674.54"/>
            <filter val="R$ 95,641.04"/>
            <filter val="R$ 959,768.12"/>
            <filter val="R$ 98,581.04"/>
            <filter val="R$ 99,754.48"/>
          </filters>
        </filterColumn>
        <filterColumn colId="39">
          <filters blank="1">
            <filter val="30/06/2023"/>
            <filter val="R$ 0.00"/>
            <filter val="R$ 0.01"/>
            <filter val="R$ 1,008,445.97"/>
            <filter val="R$ 1,019.44"/>
            <filter val="R$ 1,031.59"/>
            <filter val="R$ 1,063,288.17"/>
            <filter val="R$ 1,065,696.25"/>
            <filter val="R$ 1,092,925.25"/>
            <filter val="R$ 1,093,084.04"/>
            <filter val="R$ 1,096,279.87"/>
            <filter val="R$ 1,108,291.77"/>
            <filter val="R$ 1,154,904.36"/>
            <filter val="R$ 1,167,395.63"/>
            <filter val="R$ 1,171,602.83"/>
            <filter val="R$ 1,175,009.74"/>
            <filter val="R$ 1,248,592.63"/>
            <filter val="R$ 1,273,091.45"/>
            <filter val="R$ 1,303,880.50"/>
            <filter val="R$ 1,306,782.92"/>
            <filter val="R$ 1,311,380.19"/>
            <filter val="R$ 1,318,217.79"/>
            <filter val="R$ 1,320,623.24"/>
            <filter val="R$ 1,337,693.54"/>
            <filter val="R$ 1,402,232.72"/>
            <filter val="R$ 1,410,022.14"/>
            <filter val="R$ 1,453,747.79"/>
            <filter val="R$ 1,491,823.87"/>
            <filter val="R$ 1,560,140.11"/>
            <filter val="R$ 1,637,940.49"/>
            <filter val="R$ 1,683,033.97"/>
            <filter val="R$ 1,715,562.20"/>
            <filter val="R$ 1,735,162.85"/>
            <filter val="R$ 1,781,611.74"/>
            <filter val="R$ 1,903,309.48"/>
            <filter val="R$ 1,913,063.17"/>
            <filter val="R$ 10,046.26"/>
            <filter val="R$ 10,052.23"/>
            <filter val="R$ 10,216.79"/>
            <filter val="R$ 100,410.67"/>
            <filter val="R$ 100,855.31"/>
            <filter val="R$ 101,414.15"/>
            <filter val="R$ 101,482.84"/>
            <filter val="R$ 101,955.21"/>
            <filter val="R$ 103,228.03"/>
            <filter val="R$ 103,590.46"/>
            <filter val="R$ 104,060.87"/>
            <filter val="R$ 106,857.75"/>
            <filter val="R$ 107,124.87"/>
            <filter val="R$ 107,455.17"/>
            <filter val="R$ 107,496.60"/>
            <filter val="R$ 107,602.25"/>
            <filter val="R$ 108,032.27"/>
            <filter val="R$ 108,290.97"/>
            <filter val="R$ 108,827.97"/>
            <filter val="R$ 108,917.80"/>
            <filter val="R$ 11,645.25"/>
            <filter val="R$ 111,588.77"/>
            <filter val="R$ 117,665.37"/>
            <filter val="R$ 118,731.32"/>
            <filter val="R$ 120,847.69"/>
            <filter val="R$ 121,226.11"/>
            <filter val="R$ 122,676.85"/>
            <filter val="R$ 123,140.07"/>
            <filter val="R$ 123,227.77"/>
            <filter val="R$ 124,736.01"/>
            <filter val="R$ 128,229.47"/>
            <filter val="R$ 128,997.24"/>
            <filter val="R$ 13,791.31"/>
            <filter val="R$ 130,683.94"/>
            <filter val="R$ 130,886.44"/>
            <filter val="R$ 133,995.65"/>
            <filter val="R$ 134,395.32"/>
            <filter val="R$ 135,314.45"/>
            <filter val="R$ 136,023.07"/>
            <filter val="R$ 139,442.52"/>
            <filter val="R$ 143,006.24"/>
            <filter val="R$ 143,938.86"/>
            <filter val="R$ 144,597.64"/>
            <filter val="R$ 149,308.13"/>
            <filter val="R$ 149,606.67"/>
            <filter val="R$ 149,699.12"/>
            <filter val="R$ 15,046.90"/>
            <filter val="R$ 15,708.24"/>
            <filter val="R$ 152,357.62"/>
            <filter val="R$ 152,615.25"/>
            <filter val="R$ 153,290.86"/>
            <filter val="R$ 153,522.02"/>
            <filter val="R$ 154,130.79"/>
            <filter val="R$ 155,770.65"/>
            <filter val="R$ 158,575.16"/>
            <filter val="R$ 16,058,616.37"/>
            <filter val="R$ 165,862.50"/>
            <filter val="R$ 167,418.83"/>
            <filter val="R$ 170,307.91"/>
            <filter val="R$ 170,952.21"/>
            <filter val="R$ 171,702.31"/>
            <filter val="R$ 175,858.96"/>
            <filter val="R$ 177,711.30"/>
            <filter val="R$ 179,706.97"/>
            <filter val="R$ 18.00"/>
            <filter val="R$ 181,097.77"/>
            <filter val="R$ 183,302.19"/>
            <filter val="R$ 184,021.08"/>
            <filter val="R$ 184,229.48"/>
            <filter val="R$ 185,313.16"/>
            <filter val="R$ 187,209.86"/>
            <filter val="R$ 194,253.16"/>
            <filter val="R$ 197,994.45"/>
            <filter val="R$ 199,994.84"/>
            <filter val="R$ 2,082,493.54"/>
            <filter val="R$ 2,086,021.94"/>
            <filter val="R$ 2,103,502.64"/>
            <filter val="R$ 2,206,209.90"/>
            <filter val="R$ 2,314,336.97"/>
            <filter val="R$ 2,458,871.91"/>
            <filter val="R$ 2,474,330.36"/>
            <filter val="R$ 2,498,485.38"/>
            <filter val="R$ 2,522,741.14"/>
            <filter val="R$ 2,590,353.90"/>
            <filter val="R$ 2,798,261.37"/>
            <filter val="R$ 2,901,586.24"/>
            <filter val="R$ 20,421.27"/>
            <filter val="R$ 20,613.26"/>
            <filter val="R$ 20,667.09"/>
            <filter val="R$ 200,323.08"/>
            <filter val="R$ 200,612.93"/>
            <filter val="R$ 204,207.46"/>
            <filter val="R$ 206,621.50"/>
            <filter val="R$ 211,684.93"/>
            <filter val="R$ 214,322.39"/>
            <filter val="R$ 214,409.69"/>
            <filter val="R$ 219,227.81"/>
            <filter val="R$ 221,274.76"/>
            <filter val="R$ 223,725.03"/>
            <filter val="R$ 226,496.40"/>
            <filter val="R$ 227,559.12"/>
            <filter val="R$ 231,139.98"/>
            <filter val="R$ 233,457.50"/>
            <filter val="R$ 249,107.77"/>
            <filter val="R$ 25,144.17"/>
            <filter val="R$ 251,230.62"/>
            <filter val="R$ 253,116.48"/>
            <filter val="R$ 255,492.88"/>
            <filter val="R$ 261,686.40"/>
            <filter val="R$ 262,967.65"/>
            <filter val="R$ 263,021.44"/>
            <filter val="R$ 265,869.69"/>
            <filter val="R$ 27,481.85"/>
            <filter val="R$ 27,560.74"/>
            <filter val="R$ 270,457.41"/>
            <filter val="R$ 270,708.34"/>
            <filter val="R$ 271,686.79"/>
            <filter val="R$ 276,251.33"/>
            <filter val="R$ 277,203.64"/>
            <filter val="R$ 277,673.23"/>
            <filter val="R$ 277.80"/>
            <filter val="R$ 278,882.47"/>
            <filter val="R$ 28,087.71"/>
            <filter val="R$ 28,496.71"/>
            <filter val="R$ 282,591.82"/>
            <filter val="R$ 284,890.51"/>
            <filter val="R$ 292,898.11"/>
            <filter val="R$ 297,526.94"/>
            <filter val="R$ 3,088,831.62"/>
            <filter val="R$ 3,221,516.64"/>
            <filter val="R$ 3,226.35"/>
            <filter val="R$ 3,243,875.86"/>
            <filter val="R$ 3,268,216.61"/>
            <filter val="R$ 3,378,633.61"/>
            <filter val="R$ 3,483,183.91"/>
            <filter val="R$ 3,553,838.57"/>
            <filter val="R$ 30,059.16"/>
            <filter val="R$ 302,577.74"/>
            <filter val="R$ 308,792.89"/>
            <filter val="R$ 31,545.57"/>
            <filter val="R$ 31,904.55"/>
            <filter val="R$ 311,014.03"/>
            <filter val="R$ 311,081.44"/>
            <filter val="R$ 311,135.49"/>
            <filter val="R$ 314,326.47"/>
            <filter val="R$ 328,100.56"/>
            <filter val="R$ 328,944.06"/>
            <filter val="R$ 33,450.01"/>
            <filter val="R$ 33,459.87"/>
            <filter val="R$ 332,995.49"/>
            <filter val="R$ 335,213.54"/>
            <filter val="R$ 341,945.34"/>
            <filter val="R$ 344,541.66"/>
            <filter val="R$ 344,838.06"/>
            <filter val="R$ 344,984.05"/>
            <filter val="R$ 347,244.02"/>
            <filter val="R$ 35,206.62"/>
            <filter val="R$ 352,698.01"/>
            <filter val="R$ 353,373.86"/>
            <filter val="R$ 353,546.33"/>
            <filter val="R$ 364,672.27"/>
            <filter val="R$ 366,392.92"/>
            <filter val="R$ 366,511.00"/>
            <filter val="R$ 375,411.82"/>
            <filter val="R$ 375,835.95"/>
            <filter val="R$ 380,089.60"/>
            <filter val="R$ 380,658.69"/>
            <filter val="R$ 386,365.49"/>
            <filter val="R$ 389,699.92"/>
            <filter val="R$ 4,000.00"/>
            <filter val="R$ 4,422.04"/>
            <filter val="R$ 4,719.37"/>
            <filter val="R$ 4,860,509.32"/>
            <filter val="R$ 40,114.94"/>
            <filter val="R$ 40,597.33"/>
            <filter val="R$ 40,856.76"/>
            <filter val="R$ 40.97"/>
            <filter val="R$ 400,226.43"/>
            <filter val="R$ 407,595.85"/>
            <filter val="R$ 409,394.24"/>
            <filter val="R$ 41,342.64"/>
            <filter val="R$ 41,444.93"/>
            <filter val="R$ 412,192.57"/>
            <filter val="R$ 417,043.39"/>
            <filter val="R$ 42,401.20"/>
            <filter val="R$ 431,627.77"/>
            <filter val="R$ 438,425.42"/>
            <filter val="R$ 44,016.30"/>
            <filter val="R$ 44,081.08"/>
            <filter val="R$ 44,411.94"/>
            <filter val="R$ 446,395.97"/>
            <filter val="R$ 449,191.02"/>
            <filter val="R$ 450,372.33"/>
            <filter val="R$ 450,534.84"/>
            <filter val="R$ 454,481.44"/>
            <filter val="R$ 458,436.40"/>
            <filter val="R$ 46,351.99"/>
            <filter val="R$ 46,962.62"/>
            <filter val="R$ 473,644.04"/>
            <filter val="R$ 481,161.13"/>
            <filter val="R$ 481,579.68"/>
            <filter val="R$ 493,279.87"/>
            <filter val="R$ 5,026.08"/>
            <filter val="R$ 5,698.80"/>
            <filter val="R$ 5,730,277.89"/>
            <filter val="R$ 50,012.00"/>
            <filter val="R$ 50,580.59"/>
            <filter val="R$ 50,614.22"/>
            <filter val="R$ 50,792.07"/>
            <filter val="R$ 50,830.05"/>
            <filter val="R$ 50.26"/>
            <filter val="R$ 500,079.13"/>
            <filter val="R$ 503,579.04"/>
            <filter val="R$ 507,653.15"/>
            <filter val="R$ 509,914.47"/>
            <filter val="R$ 51,939.10"/>
            <filter val="R$ 514,928.52"/>
            <filter val="R$ 515,447.49"/>
            <filter val="R$ 520,486.64"/>
            <filter val="R$ 54,504.69"/>
            <filter val="R$ 545,178.37"/>
            <filter val="R$ 55,533.69"/>
            <filter val="R$ 55,803.18"/>
            <filter val="R$ 557,848.13"/>
            <filter val="R$ 56,870.02"/>
            <filter val="R$ 567,339.85"/>
            <filter val="R$ 57,739.53"/>
            <filter val="R$ 577,636.93"/>
            <filter val="R$ 58,707.84"/>
            <filter val="R$ 58,966.85"/>
            <filter val="R$ 583,264.52"/>
            <filter val="R$ 59,569.73"/>
            <filter val="R$ 59,580.63"/>
            <filter val="R$ 594,830.28"/>
            <filter val="R$ 599,690.17"/>
            <filter val="R$ 6,480.83"/>
            <filter val="R$ 6,868.15"/>
            <filter val="R$ 602,522.31"/>
            <filter val="R$ 604,195.66"/>
            <filter val="R$ 61,168.62"/>
            <filter val="R$ 620,316.84"/>
            <filter val="R$ 621,659.37"/>
            <filter val="R$ 622,860.35"/>
            <filter val="R$ 623,400.99"/>
            <filter val="R$ 623,799.05"/>
            <filter val="R$ 63,009.59"/>
            <filter val="R$ 63,535.51"/>
            <filter val="R$ 636,897.62"/>
            <filter val="R$ 64,634.52"/>
            <filter val="R$ 64,890.58"/>
            <filter val="R$ 640,821.67"/>
            <filter val="R$ 645,478.28"/>
            <filter val="R$ 65,262.09"/>
            <filter val="R$ 65,307.83"/>
            <filter val="R$ 66,263.15"/>
            <filter val="R$ 670,333.70"/>
            <filter val="R$ 675,072.26"/>
            <filter val="R$ 675,434.06"/>
            <filter val="R$ 68,277.54"/>
            <filter val="R$ 69,759.11"/>
            <filter val="R$ 7,154.16"/>
            <filter val="R$ 70,008.87"/>
            <filter val="R$ 70,966.44"/>
            <filter val="R$ 706,625.56"/>
            <filter val="R$ 71,091.48"/>
            <filter val="R$ 71,251.35"/>
            <filter val="R$ 712.78"/>
            <filter val="R$ 714,716.36"/>
            <filter val="R$ 731,399.04"/>
            <filter val="R$ 732,005.28"/>
            <filter val="R$ 74,121.42"/>
            <filter val="R$ 76,561.17"/>
            <filter val="R$ 77,435.25"/>
            <filter val="R$ 772,289.75"/>
            <filter val="R$ 78,704.46"/>
            <filter val="R$ 782,725.41"/>
            <filter val="R$ 784,615.31"/>
            <filter val="R$ 798,854.32"/>
            <filter val="R$ 8,874,098.43"/>
            <filter val="R$ 8.45"/>
            <filter val="R$ 81,626.89"/>
            <filter val="R$ 82,627.98"/>
            <filter val="R$ 824,932.72"/>
            <filter val="R$ 83,184.68"/>
            <filter val="R$ 83,223.64"/>
            <filter val="R$ 84,647.01"/>
            <filter val="R$ 84,997.63"/>
            <filter val="R$ 843,575.38"/>
            <filter val="R$ 844,672.09"/>
            <filter val="R$ 85,172.94"/>
            <filter val="R$ 861,974.11"/>
            <filter val="R$ 862.31"/>
            <filter val="R$ 87,159.14"/>
            <filter val="R$ 870,034.71"/>
            <filter val="R$ 88,076.51"/>
            <filter val="R$ 896,950.17"/>
            <filter val="R$ 9.67"/>
            <filter val="R$ 911,550.56"/>
            <filter val="R$ 921,849.32"/>
            <filter val="R$ 939,224.97"/>
            <filter val="R$ 964,261.47"/>
            <filter val="R$ 97,219.44"/>
            <filter val="R$ 984,540.31"/>
            <filter val="R$ 986,813.10"/>
          </filters>
        </filterColumn>
        <filterColumn colId="41">
          <filters blank="1">
            <filter val="0"/>
            <filter val="31/08/2023"/>
            <filter val="R$ 0.00"/>
            <filter val="R$ 0.01"/>
            <filter val="R$ 1,002,548.97"/>
            <filter val="R$ 1,004,120.36"/>
            <filter val="R$ 1,008,072.00"/>
            <filter val="R$ 1,013,078.07"/>
            <filter val="R$ 1,025,511.35"/>
            <filter val="R$ 1,041.12"/>
            <filter val="R$ 1,055.11"/>
            <filter val="R$ 1,064,172.67"/>
            <filter val="R$ 1,083,419.33"/>
            <filter val="R$ 1,085,256.77"/>
            <filter val="R$ 1,113,323.77"/>
            <filter val="R$ 1,114,290.66"/>
            <filter val="R$ 1,117,404.69"/>
            <filter val="R$ 1,155,551.70"/>
            <filter val="R$ 1,162,884.52"/>
            <filter val="R$ 1,174,050.43"/>
            <filter val="R$ 1,187,563.07"/>
            <filter val="R$ 1,194,211.62"/>
            <filter val="R$ 1,197,819.19"/>
            <filter val="R$ 1,243,750.43"/>
            <filter val="R$ 1,248,695.89"/>
            <filter val="R$ 1,248,948.75"/>
            <filter val="R$ 1,264,482.79"/>
            <filter val="R$ 1,271,123.79"/>
            <filter val="R$ 1,278,216.11"/>
            <filter val="R$ 1,291,270.00"/>
            <filter val="R$ 1,301,655.48"/>
            <filter val="R$ 1,345,337.41"/>
            <filter val="R$ 1,353,480.45"/>
            <filter val="R$ 1,360,026.96"/>
            <filter val="R$ 1,412,260.71"/>
            <filter val="R$ 1,422,979.54"/>
            <filter val="R$ 1,521,108.44"/>
            <filter val="R$ 1,550,885.26"/>
            <filter val="R$ 1,639,182.88"/>
            <filter val="R$ 1,710,534.55"/>
            <filter val="R$ 1,768,651.30"/>
            <filter val="R$ 1,770,431.54"/>
            <filter val="R$ 1,805,336.03"/>
            <filter val="R$ 1,896,446.30"/>
            <filter val="R$ 1,904,031.27"/>
            <filter val="R$ 1,948,995.52"/>
            <filter val="R$ 1,967,966.43"/>
            <filter val="R$ 10,256.52"/>
            <filter val="R$ 10,339.45"/>
            <filter val="R$ 100,505.12"/>
            <filter val="R$ 100,797.46"/>
            <filter val="R$ 101,772.24"/>
            <filter val="R$ 102,078.59"/>
            <filter val="R$ 102,469.64"/>
            <filter val="R$ 103,894.93"/>
            <filter val="R$ 104,109.61"/>
            <filter val="R$ 104,899.60"/>
            <filter val="R$ 105,466.81"/>
            <filter val="R$ 105,473.89"/>
            <filter val="R$ 105,836.32"/>
            <filter val="R$ 108,656.69"/>
            <filter val="R$ 108,868.49"/>
            <filter val="R$ 109,381.01"/>
            <filter val="R$ 109,392.57"/>
            <filter val="R$ 109,535.09"/>
            <filter val="R$ 109,854.09"/>
            <filter val="R$ 111,690.06"/>
            <filter val="R$ 112,828.31"/>
            <filter val="R$ 113,054.22"/>
            <filter val="R$ 113,710.95"/>
            <filter val="R$ 114,705.22"/>
            <filter val="R$ 115,422.50"/>
            <filter val="R$ 118,898.37"/>
            <filter val="R$ 12,077.10"/>
            <filter val="R$ 12,266.12"/>
            <filter val="R$ 12,827.29"/>
            <filter val="R$ 120,539.62"/>
            <filter val="R$ 120,707.61"/>
            <filter val="R$ 122,936.31"/>
            <filter val="R$ 125,031.02"/>
            <filter val="R$ 125,034.68"/>
            <filter val="R$ 125,631.62"/>
            <filter val="R$ 126,009.64"/>
            <filter val="R$ 130,008.98"/>
            <filter val="R$ 132,234.70"/>
            <filter val="R$ 133,041.37"/>
            <filter val="R$ 133,338.15"/>
            <filter val="R$ 133,449.27"/>
            <filter val="R$ 134,736.77"/>
            <filter val="R$ 135,422.27"/>
            <filter val="R$ 135,579.88"/>
            <filter val="R$ 135,795.54"/>
            <filter val="R$ 137,914.67"/>
            <filter val="R$ 138,571.70"/>
            <filter val="R$ 139,805.06"/>
            <filter val="R$ 139,892.01"/>
            <filter val="R$ 14,043.02"/>
            <filter val="R$ 14.67"/>
            <filter val="R$ 141,196.37"/>
            <filter val="R$ 145,052.98"/>
            <filter val="R$ 148,733.47"/>
            <filter val="R$ 149,636.09"/>
            <filter val="R$ 150,839.36"/>
            <filter val="R$ 151,119.77"/>
            <filter val="R$ 151,456.37"/>
            <filter val="R$ 152,684.86"/>
            <filter val="R$ 154,568.80"/>
            <filter val="R$ 155,248.84"/>
            <filter val="R$ 155,535.53"/>
            <filter val="R$ 157,315.27"/>
            <filter val="R$ 158,805.14"/>
            <filter val="R$ 159,693.13"/>
            <filter val="R$ 16,141,643.87"/>
            <filter val="R$ 161,459.68"/>
            <filter val="R$ 166,402.01"/>
            <filter val="R$ 169,137.32"/>
            <filter val="R$ 169,304.00"/>
            <filter val="R$ 171,802.08"/>
            <filter val="R$ 175,131.05"/>
            <filter val="R$ 181,945.64"/>
            <filter val="R$ 186,334.77"/>
            <filter val="R$ 186,414.72"/>
            <filter val="R$ 187,477.34"/>
            <filter val="R$ 194,857.67"/>
            <filter val="R$ 196,880.83"/>
            <filter val="R$ 198,726.27"/>
            <filter val="R$ 2,001.99"/>
            <filter val="R$ 2,078,715.76"/>
            <filter val="R$ 2,116,358.07"/>
            <filter val="R$ 2,124,517.67"/>
            <filter val="R$ 2,249,409.44"/>
            <filter val="R$ 2,254,706.17"/>
            <filter val="R$ 2,451,968.17"/>
            <filter val="R$ 2,602,048.34"/>
            <filter val="R$ 2,636,690.92"/>
            <filter val="R$ 2,695,076.71"/>
            <filter val="R$ 2,780,342.13"/>
            <filter val="R$ 2,851,375.93"/>
            <filter val="R$ 2,920,496.59"/>
            <filter val="R$ 20,122.09"/>
            <filter val="R$ 200,551.99"/>
            <filter val="R$ 200,583.37"/>
            <filter val="R$ 201,716.40"/>
            <filter val="R$ 202,631.36"/>
            <filter val="R$ 203,028.42"/>
            <filter val="R$ 203,267.32"/>
            <filter val="R$ 205,565.40"/>
            <filter val="R$ 207,176.92"/>
            <filter val="R$ 207,720.41"/>
            <filter val="R$ 21,044.03"/>
            <filter val="R$ 210,444.58"/>
            <filter val="R$ 211,510.28"/>
            <filter val="R$ 211,821.84"/>
            <filter val="R$ 212,285.51"/>
            <filter val="R$ 215,625.62"/>
            <filter val="R$ 215,837.83"/>
            <filter val="R$ 218,126.16"/>
            <filter val="R$ 218,840.55"/>
            <filter val="R$ 221,510.59"/>
            <filter val="R$ 224,362.58"/>
            <filter val="R$ 227,507.52"/>
            <filter val="R$ 231,160.19"/>
            <filter val="R$ 232,386.73"/>
            <filter val="R$ 232,512.44"/>
            <filter val="R$ 233,004.03"/>
            <filter val="R$ 236,929.21"/>
            <filter val="R$ 238,446.53"/>
            <filter val="R$ 239,432.92"/>
            <filter val="R$ 240,637.98"/>
            <filter val="R$ 242,316.62"/>
            <filter val="R$ 25,603.34"/>
            <filter val="R$ 25,952.12"/>
            <filter val="R$ 251,998.20"/>
            <filter val="R$ 253,049.10"/>
            <filter val="R$ 253,258.18"/>
            <filter val="R$ 254,401.12"/>
            <filter val="R$ 254,460.35"/>
            <filter val="R$ 254,727.21"/>
            <filter val="R$ 255,749.46"/>
            <filter val="R$ 261,132.35"/>
            <filter val="R$ 261,151.03"/>
            <filter val="R$ 267,662.59"/>
            <filter val="R$ 268,103.17"/>
            <filter val="R$ 268,251.05"/>
            <filter val="R$ 27,085.37"/>
            <filter val="R$ 27,772.17"/>
            <filter val="R$ 272,748.49"/>
            <filter val="R$ 274,251.90"/>
            <filter val="R$ 274,529.92"/>
            <filter val="R$ 275,521.85"/>
            <filter val="R$ 276,593.56"/>
            <filter val="R$ 28,233.84"/>
            <filter val="R$ 282,280.53"/>
            <filter val="R$ 283,651.31"/>
            <filter val="R$ 297,702.80"/>
            <filter val="R$ 3,070,459.36"/>
            <filter val="R$ 3,151,164.23"/>
            <filter val="R$ 3,242,700.75"/>
            <filter val="R$ 3,293,994.07"/>
            <filter val="R$ 3,323,567.62"/>
            <filter val="R$ 3,461,095.04"/>
            <filter val="R$ 3,606,773.39"/>
            <filter val="R$ 30,619.31"/>
            <filter val="R$ 307,519.42"/>
            <filter val="R$ 31,355.16"/>
            <filter val="R$ 31,614.77"/>
            <filter val="R$ 312,075.07"/>
            <filter val="R$ 313,634.66"/>
            <filter val="R$ 313.80"/>
            <filter val="R$ 315,352.28"/>
            <filter val="R$ 316,128.00"/>
            <filter val="R$ 318,190.88"/>
            <filter val="R$ 319,206.65"/>
            <filter val="R$ 319,984.74"/>
            <filter val="R$ 32,273.10"/>
            <filter val="R$ 320,550.36"/>
            <filter val="R$ 323,891.64"/>
            <filter val="R$ 325,564.92"/>
            <filter val="R$ 33,812.38"/>
            <filter val="R$ 333,648.49"/>
            <filter val="R$ 334,242.33"/>
            <filter val="R$ 338,203.14"/>
            <filter val="R$ 338,513.34"/>
            <filter val="R$ 34,059.66"/>
            <filter val="R$ 34,553.64"/>
            <filter val="R$ 340,950.00"/>
            <filter val="R$ 342,462.76"/>
            <filter val="R$ 348,232.20"/>
            <filter val="R$ 348,396.55"/>
            <filter val="R$ 349,171.08"/>
            <filter val="R$ 349,411.89"/>
            <filter val="R$ 349,927.23"/>
            <filter val="R$ 351,131.10"/>
            <filter val="R$ 353,649.99"/>
            <filter val="R$ 356,698.92"/>
            <filter val="R$ 356,967.54"/>
            <filter val="R$ 360,860.21"/>
            <filter val="R$ 362,265.63"/>
            <filter val="R$ 367,855.05"/>
            <filter val="R$ 371,859.91"/>
            <filter val="R$ 374,390.39"/>
            <filter val="R$ 375,895.74"/>
            <filter val="R$ 379,303.12"/>
            <filter val="R$ 38,323.64"/>
            <filter val="R$ 383,540.60"/>
            <filter val="R$ 387,540.51"/>
            <filter val="R$ 391,724.01"/>
            <filter val="R$ 392,514.41"/>
            <filter val="R$ 397,321.78"/>
            <filter val="R$ 4,065,602.47"/>
            <filter val="R$ 4,321.99"/>
            <filter val="R$ 4,803.86"/>
            <filter val="R$ 4,905,588.65"/>
            <filter val="R$ 40,571.92"/>
            <filter val="R$ 40,792.84"/>
            <filter val="R$ 400,633.57"/>
            <filter val="R$ 403,615.16"/>
            <filter val="R$ 406,228.53"/>
            <filter val="R$ 407,861.72"/>
            <filter val="R$ 41,391.99"/>
            <filter val="R$ 413,918.55"/>
            <filter val="R$ 413,976.63"/>
            <filter val="R$ 416,674.53"/>
            <filter val="R$ 42,960.57"/>
            <filter val="R$ 426,832.92"/>
            <filter val="R$ 432,606.19"/>
            <filter val="R$ 432,768.81"/>
            <filter val="R$ 434.00"/>
            <filter val="R$ 439,899.37"/>
            <filter val="R$ 44,153.50"/>
            <filter val="R$ 44,440.77"/>
            <filter val="R$ 447,110.31"/>
            <filter val="R$ 45,255.67"/>
            <filter val="R$ 450,929.66"/>
            <filter val="R$ 454,771.05"/>
            <filter val="R$ 46,115.80"/>
            <filter val="R$ 460,141.61"/>
            <filter val="R$ 460,284.09"/>
            <filter val="R$ 462,672.20"/>
            <filter val="R$ 47,540.60"/>
            <filter val="R$ 47,901.55"/>
            <filter val="R$ 471,049.81"/>
            <filter val="R$ 48,613.69"/>
            <filter val="R$ 482,826.85"/>
            <filter val="R$ 487,362.75"/>
            <filter val="R$ 488,861.80"/>
            <filter val="R$ 49,494.51"/>
            <filter val="R$ 49,881.29"/>
            <filter val="R$ 49,917.84"/>
            <filter val="R$ 491,270.74"/>
            <filter val="R$ 5,022.66"/>
            <filter val="R$ 5,390.36"/>
            <filter val="R$ 5,957,345.32"/>
            <filter val="R$ 5.55"/>
            <filter val="R$ 50,509.51"/>
            <filter val="R$ 50,738.19"/>
            <filter val="R$ 50.26"/>
            <filter val="R$ 506,892.03"/>
            <filter val="R$ 51,186.80"/>
            <filter val="R$ 51,327.17"/>
            <filter val="R$ 51,722.59"/>
            <filter val="R$ 51,743.98"/>
            <filter val="R$ 510,876.26"/>
            <filter val="R$ 512,302.95"/>
            <filter val="R$ 513,461.70"/>
            <filter val="R$ 52,239.98"/>
            <filter val="R$ 52,357.90"/>
            <filter val="R$ 52,603.38"/>
            <filter val="R$ 524,719.40"/>
            <filter val="R$ 529,994.43"/>
            <filter val="R$ 53,231.46"/>
            <filter val="R$ 54,230.36"/>
            <filter val="R$ 544,900.07"/>
            <filter val="R$ 546,504.00"/>
            <filter val="R$ 55,714.57"/>
            <filter val="R$ 562,884.98"/>
            <filter val="R$ 562,995.45"/>
            <filter val="R$ 567,372.97"/>
            <filter val="R$ 570,213.32"/>
            <filter val="R$ 577,848.45"/>
            <filter val="R$ 578,158.38"/>
            <filter val="R$ 58,978.07"/>
            <filter val="R$ 582,943.23"/>
            <filter val="R$ 585,634.41"/>
            <filter val="R$ 59,914.65"/>
            <filter val="R$ 598,103.92"/>
            <filter val="R$ 598,199.86"/>
            <filter val="R$ 6,607.98"/>
            <filter val="R$ 601,175.90"/>
            <filter val="R$ 604,525.29"/>
            <filter val="R$ 606,180.80"/>
            <filter val="R$ 607,906.65"/>
            <filter val="R$ 62,276.69"/>
            <filter val="R$ 62,827.66"/>
            <filter val="R$ 624,915.15"/>
            <filter val="R$ 629,166.25"/>
            <filter val="R$ 631,821.54"/>
            <filter val="R$ 634,687.11"/>
            <filter val="R$ 637,489.29"/>
            <filter val="R$ 639,942.68"/>
            <filter val="R$ 64,136.46"/>
            <filter val="R$ 641,406.10"/>
            <filter val="R$ 645,446.74"/>
            <filter val="R$ 646,739.90"/>
            <filter val="R$ 648,264.32"/>
            <filter val="R$ 65,991.55"/>
            <filter val="R$ 657,075.80"/>
            <filter val="R$ 66,693.43"/>
            <filter val="R$ 66,902.60"/>
            <filter val="R$ 662,208.82"/>
            <filter val="R$ 67,173.20"/>
            <filter val="R$ 674,215.24"/>
            <filter val="R$ 678,596.76"/>
            <filter val="R$ 679,714.54"/>
            <filter val="R$ 684,676.14"/>
            <filter val="R$ 686,313.07"/>
            <filter val="R$ 69,561.70"/>
            <filter val="R$ 69,593.19"/>
            <filter val="R$ 69,724.15"/>
            <filter val="R$ 69,737.71"/>
            <filter val="R$ 7,834.09"/>
            <filter val="R$ 701,601.40"/>
            <filter val="R$ 71,148.86"/>
            <filter val="R$ 71,354.76"/>
            <filter val="R$ 716,756.26"/>
            <filter val="R$ 729,037.97"/>
            <filter val="R$ 729.09"/>
            <filter val="R$ 74,772.62"/>
            <filter val="R$ 75,990.57"/>
            <filter val="R$ 750,615.93"/>
            <filter val="R$ 761,838.54"/>
            <filter val="R$ 763,934.31"/>
            <filter val="R$ 773,124.25"/>
            <filter val="R$ 788,285.49"/>
            <filter val="R$ 79,118.79"/>
            <filter val="R$ 79,176.09"/>
            <filter val="R$ 79,671.28"/>
            <filter val="R$ 796,962.58"/>
            <filter val="R$ 798,796.03"/>
            <filter val="R$ 8,235,068.80"/>
            <filter val="R$ 8,628.77"/>
            <filter val="R$ 802,901.84"/>
            <filter val="R$ 815,467.53"/>
            <filter val="R$ 817,625.14"/>
            <filter val="R$ 83,654.29"/>
            <filter val="R$ 831,837.71"/>
            <filter val="R$ 838,055.38"/>
            <filter val="R$ 839,324.22"/>
            <filter val="R$ 84,810.25"/>
            <filter val="R$ 840,143.99"/>
            <filter val="R$ 847,092.01"/>
            <filter val="R$ 85,059.73"/>
            <filter val="R$ 85,703.16"/>
            <filter val="R$ 85,868.25"/>
            <filter val="R$ 86,137.17"/>
            <filter val="R$ 86,640.52"/>
            <filter val="R$ 86,978.60"/>
            <filter val="R$ 866,431.26"/>
            <filter val="R$ 87,219.24"/>
            <filter val="R$ 87,680.81"/>
            <filter val="R$ 88,851.51"/>
            <filter val="R$ 88,981.60"/>
            <filter val="R$ 89,589.62"/>
            <filter val="R$ 894,427.47"/>
            <filter val="R$ 9,332,207.65"/>
            <filter val="R$ 9.69"/>
            <filter val="R$ 90,224.01"/>
            <filter val="R$ 90,781.64"/>
            <filter val="R$ 912,107.56"/>
            <filter val="R$ 927,788.28"/>
            <filter val="R$ 932,372.26"/>
            <filter val="R$ 95,343.18"/>
            <filter val="R$ 98,214.51"/>
            <filter val="R$ 99,818.75"/>
            <filter val="R$ 996,849.67"/>
          </filters>
        </filterColumn>
        <filterColumn colId="43">
          <filters blank="1">
            <filter val="31/10/2023"/>
            <filter val="R$ 0.00"/>
            <filter val="R$ 0.01"/>
            <filter val="R$ 0.04"/>
            <filter val="R$ 0.05"/>
            <filter val="R$ 1,018,991.99"/>
            <filter val="R$ 1,020,081.73"/>
            <filter val="R$ 1,024,973.20"/>
            <filter val="R$ 1,030,597.86"/>
            <filter val="R$ 1,054,650.81"/>
            <filter val="R$ 1,058,910.21"/>
            <filter val="R$ 1,060,111.65"/>
            <filter val="R$ 1,062.82"/>
            <filter val="R$ 1,066,207.24"/>
            <filter val="R$ 1,067,565.04"/>
            <filter val="R$ 1,077.10"/>
            <filter val="R$ 1,078,972.63"/>
            <filter val="R$ 1,087,386.42"/>
            <filter val="R$ 1,132,366.37"/>
            <filter val="R$ 1,148,983.41"/>
            <filter val="R$ 1,163,013.64"/>
            <filter val="R$ 1,175,913.46"/>
            <filter val="R$ 1,208,309.75"/>
            <filter val="R$ 1,219,197.63"/>
            <filter val="R$ 1,228,233.75"/>
            <filter val="R$ 1,230,464.75"/>
            <filter val="R$ 1,240,433.53"/>
            <filter val="R$ 1,249,070.19"/>
            <filter val="R$ 1,249,250.74"/>
            <filter val="R$ 1,265,269.88"/>
            <filter val="R$ 1,287,933.72"/>
            <filter val="R$ 1,294,721.43"/>
            <filter val="R$ 1,302,805.80"/>
            <filter val="R$ 1,330,950.57"/>
            <filter val="R$ 1,337,778.23"/>
            <filter val="R$ 1,363,068.73"/>
            <filter val="R$ 1,366,216.04"/>
            <filter val="R$ 1,401,599.23"/>
            <filter val="R$ 1,447,073.51"/>
            <filter val="R$ 1,480,823.47"/>
            <filter val="R$ 1,501.80"/>
            <filter val="R$ 1,516,384.23"/>
            <filter val="R$ 1,549,643.83"/>
            <filter val="R$ 1,659,459.85"/>
            <filter val="R$ 1,732,559.45"/>
            <filter val="R$ 1,786,530.17"/>
            <filter val="R$ 1,815,036.86"/>
            <filter val="R$ 1,901,777.71"/>
            <filter val="R$ 1,905,968.81"/>
            <filter val="R$ 1,984,304.20"/>
            <filter val="R$ 10,303.30"/>
            <filter val="R$ 10,548.21"/>
            <filter val="R$ 100,000.00"/>
            <filter val="R$ 100,240.88"/>
            <filter val="R$ 100,266.31"/>
            <filter val="R$ 100.00"/>
            <filter val="R$ 101,439.73"/>
            <filter val="R$ 102,112.14"/>
            <filter val="R$ 103,586.63"/>
            <filter val="R$ 105,060.30"/>
            <filter val="R$ 105,231.89"/>
            <filter val="R$ 105,447.51"/>
            <filter val="R$ 105,845.33"/>
            <filter val="R$ 106,189.76"/>
            <filter val="R$ 106,310.81"/>
            <filter val="R$ 106,495.19"/>
            <filter val="R$ 106,670.24"/>
            <filter val="R$ 107,291.03"/>
            <filter val="R$ 107,631.81"/>
            <filter val="R$ 110,541.69"/>
            <filter val="R$ 110,627.56"/>
            <filter val="R$ 110,709.64"/>
            <filter val="R$ 110,715.87"/>
            <filter val="R$ 111,352.41"/>
            <filter val="R$ 111,394.25"/>
            <filter val="R$ 111,815.67"/>
            <filter val="R$ 114,006.86"/>
            <filter val="R$ 114,698.60"/>
            <filter val="R$ 114,841.84"/>
            <filter val="R$ 116,779.86"/>
            <filter val="R$ 117,141.19"/>
            <filter val="R$ 119,309.69"/>
            <filter val="R$ 12,973.30"/>
            <filter val="R$ 121,096.23"/>
            <filter val="R$ 122,333.01"/>
            <filter val="R$ 122,488.33"/>
            <filter val="R$ 123,194.03"/>
            <filter val="R$ 126,058.34"/>
            <filter val="R$ 127,288.00"/>
            <filter val="R$ 128,014.40"/>
            <filter val="R$ 128,721.41"/>
            <filter val="R$ 13,659.99"/>
            <filter val="R$ 13,818.94"/>
            <filter val="R$ 132,119.61"/>
            <filter val="R$ 132,166.66"/>
            <filter val="R$ 132,833.71"/>
            <filter val="R$ 132,974.39"/>
            <filter val="R$ 135,090.37"/>
            <filter val="R$ 135,424.92"/>
            <filter val="R$ 136,319.08"/>
            <filter val="R$ 137,218.75"/>
            <filter val="R$ 137,637.89"/>
            <filter val="R$ 139,024.40"/>
            <filter val="R$ 14.67"/>
            <filter val="R$ 140,187.42"/>
            <filter val="R$ 140,857.09"/>
            <filter val="R$ 141,258.94"/>
            <filter val="R$ 142,546.85"/>
            <filter val="R$ 145,078.47"/>
            <filter val="R$ 146,745.03"/>
            <filter val="R$ 148,547.36"/>
            <filter val="R$ 15,053.15"/>
            <filter val="R$ 15,733.96"/>
            <filter val="R$ 151,948.12"/>
            <filter val="R$ 153,223.70"/>
            <filter val="R$ 153,582.35"/>
            <filter val="R$ 154,046.65"/>
            <filter val="R$ 155,000.13"/>
            <filter val="R$ 155,985.48"/>
            <filter val="R$ 157,671.03"/>
            <filter val="R$ 158,432.58"/>
            <filter val="R$ 158,528.26"/>
            <filter val="R$ 16,054,702.01"/>
            <filter val="R$ 160,346.51"/>
            <filter val="R$ 163,717.89"/>
            <filter val="R$ 164,169.26"/>
            <filter val="R$ 164,502.06"/>
            <filter val="R$ 164,836.78"/>
            <filter val="R$ 17.86"/>
            <filter val="R$ 171,877.91"/>
            <filter val="R$ 172,124.46"/>
            <filter val="R$ 172,288.07"/>
            <filter val="R$ 175,758.13"/>
            <filter val="R$ 177,487.27"/>
            <filter val="R$ 178,119.97"/>
            <filter val="R$ 181,576.12"/>
            <filter val="R$ 183,105.10"/>
            <filter val="R$ 184.86"/>
            <filter val="R$ 187,400.79"/>
            <filter val="R$ 189,010.76"/>
            <filter val="R$ 189,585.81"/>
            <filter val="R$ 189,897.63"/>
            <filter val="R$ 19,446.68"/>
            <filter val="R$ 190,678.08"/>
            <filter val="R$ 191,279.63"/>
            <filter val="R$ 193,488.64"/>
            <filter val="R$ 194,378.52"/>
            <filter val="R$ 196,248.70"/>
            <filter val="R$ 196,972.77"/>
            <filter val="R$ 2,000,000.00"/>
            <filter val="R$ 2,065,620.69"/>
            <filter val="R$ 2,160,907.49"/>
            <filter val="R$ 2,235,994.67"/>
            <filter val="R$ 2,277,468.78"/>
            <filter val="R$ 2,682,028.77"/>
            <filter val="R$ 2,726,002.40"/>
            <filter val="R$ 2,754,067.60"/>
            <filter val="R$ 2,774,840.60"/>
            <filter val="R$ 2,892,360.45"/>
            <filter val="R$ 2,969,879.49"/>
            <filter val="R$ 20,580.91"/>
            <filter val="R$ 200,959.98"/>
            <filter val="R$ 201,445.17"/>
            <filter val="R$ 201,720.06"/>
            <filter val="R$ 205,220.16"/>
            <filter val="R$ 205,526.47"/>
            <filter val="R$ 206,781.25"/>
            <filter val="R$ 211,199.67"/>
            <filter val="R$ 214,129.11"/>
            <filter val="R$ 214,818.17"/>
            <filter val="R$ 215,002.09"/>
            <filter val="R$ 215,140.58"/>
            <filter val="R$ 215,286.59"/>
            <filter val="R$ 215,498.84"/>
            <filter val="R$ 219,295.90"/>
            <filter val="R$ 22,262.60"/>
            <filter val="R$ 22,687.80"/>
            <filter val="R$ 223,089.66"/>
            <filter val="R$ 229,311.73"/>
            <filter val="R$ 229,759.50"/>
            <filter val="R$ 232,166.14"/>
            <filter val="R$ 232,632.70"/>
            <filter val="R$ 237,389.47"/>
            <filter val="R$ 237,754.02"/>
            <filter val="R$ 237,988.82"/>
            <filter val="R$ 238,416.30"/>
            <filter val="R$ 239,681.00"/>
            <filter val="R$ 240,098.90"/>
            <filter val="R$ 243,545.23"/>
            <filter val="R$ 244,551.99"/>
            <filter val="R$ 25,817.29"/>
            <filter val="R$ 25,899.62"/>
            <filter val="R$ 254,816.15"/>
            <filter val="R$ 254,915.89"/>
            <filter val="R$ 255,090.55"/>
            <filter val="R$ 255,791.67"/>
            <filter val="R$ 256,710.05"/>
            <filter val="R$ 258,437.49"/>
            <filter val="R$ 258,603.46"/>
            <filter val="R$ 258,614.98"/>
            <filter val="R$ 26,423.82"/>
            <filter val="R$ 263,304.76"/>
            <filter val="R$ 263,943.59"/>
            <filter val="R$ 266,900.28"/>
            <filter val="R$ 268,541.05"/>
            <filter val="R$ 269,955.31"/>
            <filter val="R$ 27,767.72"/>
            <filter val="R$ 273,195.75"/>
            <filter val="R$ 276,097.30"/>
            <filter val="R$ 277,711.72"/>
            <filter val="R$ 277.30"/>
            <filter val="R$ 279,721.99"/>
            <filter val="R$ 28,009.08"/>
            <filter val="R$ 281,591.95"/>
            <filter val="R$ 285,881.02"/>
            <filter val="R$ 286,695.65"/>
            <filter val="R$ 297,092.46"/>
            <filter val="R$ 299,398.27"/>
            <filter val="R$ 3,031,897.57"/>
            <filter val="R$ 3,121,736.93"/>
            <filter val="R$ 3,155,608.43"/>
            <filter val="R$ 3,308,732.70"/>
            <filter val="R$ 3,316,293.09"/>
            <filter val="R$ 3,358,659.09"/>
            <filter val="R$ 3,468,512.14"/>
            <filter val="R$ 3,615,194.62"/>
            <filter val="R$ 3,653,413.64"/>
            <filter val="R$ 3,881,924.48"/>
            <filter val="R$ 3.86"/>
            <filter val="R$ 30,221.63"/>
            <filter val="R$ 302,212.93"/>
            <filter val="R$ 31,138.01"/>
            <filter val="R$ 312,072.35"/>
            <filter val="R$ 312,639.69"/>
            <filter val="R$ 313,206.47"/>
            <filter val="R$ 317,180.27"/>
            <filter val="R$ 318,618.01"/>
            <filter val="R$ 32,798.24"/>
            <filter val="R$ 320,370.19"/>
            <filter val="R$ 324,182.96"/>
            <filter val="R$ 325,639.68"/>
            <filter val="R$ 325.32"/>
            <filter val="R$ 329,253.36"/>
            <filter val="R$ 330,289.47"/>
            <filter val="R$ 330,730.58"/>
            <filter val="R$ 331,459.89"/>
            <filter val="R$ 334,907.89"/>
            <filter val="R$ 335,443.66"/>
            <filter val="R$ 34,032.59"/>
            <filter val="R$ 34,177.44"/>
            <filter val="R$ 34,481.94"/>
            <filter val="R$ 340,099.71"/>
            <filter val="R$ 343,653.30"/>
            <filter val="R$ 344,200.37"/>
            <filter val="R$ 344,570.82"/>
            <filter val="R$ 348,048.83"/>
            <filter val="R$ 349,419.43"/>
            <filter val="R$ 350,742.28"/>
            <filter val="R$ 351,187.59"/>
            <filter val="R$ 353,700.83"/>
            <filter val="R$ 353,935.74"/>
            <filter val="R$ 354,086.89"/>
            <filter val="R$ 354,108.05"/>
            <filter val="R$ 354,443.63"/>
            <filter val="R$ 359,135.21"/>
            <filter val="R$ 362,332.13"/>
            <filter val="R$ 362,555.21"/>
            <filter val="R$ 362,677.22"/>
            <filter val="R$ 368,762.06"/>
            <filter val="R$ 369,535.58"/>
            <filter val="R$ 373,865.00"/>
            <filter val="R$ 376,422.29"/>
            <filter val="R$ 376,718.50"/>
            <filter val="R$ 38,906.26"/>
            <filter val="R$ 384,393.43"/>
            <filter val="R$ 389,507.22"/>
            <filter val="R$ 39,568.06"/>
            <filter val="R$ 394,148.17"/>
            <filter val="R$ 395,593.05"/>
            <filter val="R$ 397.94"/>
            <filter val="R$ 398,364.46"/>
            <filter val="R$ 4,104,623.12"/>
            <filter val="R$ 4,118,031.41"/>
            <filter val="R$ 4,462.58"/>
            <filter val="R$ 4,750,632.23"/>
            <filter val="R$ 40,282.69"/>
            <filter val="R$ 40,627.37"/>
            <filter val="R$ 405,398.15"/>
            <filter val="R$ 408,062.01"/>
            <filter val="R$ 408,579.22"/>
            <filter val="R$ 41,413.94"/>
            <filter val="R$ 41,555.67"/>
            <filter val="R$ 410,236.80"/>
            <filter val="R$ 411,488.48"/>
            <filter val="R$ 414,069.55"/>
            <filter val="R$ 417,626.06"/>
            <filter val="R$ 418,518.76"/>
            <filter val="R$ 42,436.21"/>
            <filter val="R$ 420,357.87"/>
            <filter val="R$ 420,511.08"/>
            <filter val="R$ 427,783.51"/>
            <filter val="R$ 432,464.51"/>
            <filter val="R$ 433.82"/>
            <filter val="R$ 437,400.25"/>
            <filter val="R$ 44,838.89"/>
            <filter val="R$ 440,042.95"/>
            <filter val="R$ 446,342.96"/>
            <filter val="R$ 449,202.07"/>
            <filter val="R$ 45,000.80"/>
            <filter val="R$ 450,886.23"/>
            <filter val="R$ 455,268.96"/>
            <filter val="R$ 455,605.43"/>
            <filter val="R$ 459,118.81"/>
            <filter val="R$ 46,192.47"/>
            <filter val="R$ 47,181.15"/>
            <filter val="R$ 47,478.27"/>
            <filter val="R$ 47,504.14"/>
            <filter val="R$ 47,815.83"/>
            <filter val="R$ 470,661.51"/>
            <filter val="R$ 48,047.89"/>
            <filter val="R$ 48,073.61"/>
            <filter val="R$ 48,256.80"/>
            <filter val="R$ 48,591.25"/>
            <filter val="R$ 48,822.53"/>
            <filter val="R$ 49,034.53"/>
            <filter val="R$ 49,049.48"/>
            <filter val="R$ 49,615.32"/>
            <filter val="R$ 49,764.17"/>
            <filter val="R$ 491,878.69"/>
            <filter val="R$ 492,271.00"/>
            <filter val="R$ 495,607.59"/>
            <filter val="R$ 5,006.41"/>
            <filter val="R$ 5,646.25"/>
            <filter val="R$ 5,969.88"/>
            <filter val="R$ 5.55"/>
            <filter val="R$ 50,213.72"/>
            <filter val="R$ 50,485.35"/>
            <filter val="R$ 50,584.61"/>
            <filter val="R$ 50.26"/>
            <filter val="R$ 50.92"/>
            <filter val="R$ 500,246.61"/>
            <filter val="R$ 509,208.33"/>
            <filter val="R$ 52,450.33"/>
            <filter val="R$ 520,849.72"/>
            <filter val="R$ 522,608.53"/>
            <filter val="R$ 523,946.66"/>
            <filter val="R$ 526,109.95"/>
            <filter val="R$ 53,123.37"/>
            <filter val="R$ 533,677.29"/>
            <filter val="R$ 537,439.00"/>
            <filter val="R$ 54,127.45"/>
            <filter val="R$ 55,998.07"/>
            <filter val="R$ 554,795.52"/>
            <filter val="R$ 559,509.81"/>
            <filter val="R$ 559,522.29"/>
            <filter val="R$ 56,301.66"/>
            <filter val="R$ 564,056.01"/>
            <filter val="R$ 566,451.91"/>
            <filter val="R$ 570,352.28"/>
            <filter val="R$ 578,834.06"/>
            <filter val="R$ 585,277.97"/>
            <filter val="R$ 588,943.46"/>
            <filter val="R$ 593.20"/>
            <filter val="R$ 594,911.39"/>
            <filter val="R$ 599,761.88"/>
            <filter val="R$ 6,026,667.02"/>
            <filter val="R$ 6,587.54"/>
            <filter val="R$ 6,665.81"/>
            <filter val="R$ 60,377.08"/>
            <filter val="R$ 60,918.44"/>
            <filter val="R$ 611,489.99"/>
            <filter val="R$ 615,699.79"/>
            <filter val="R$ 618,147.01"/>
            <filter val="R$ 618,554.44"/>
            <filter val="R$ 622,970.52"/>
            <filter val="R$ 627,376.06"/>
            <filter val="R$ 63,368.38"/>
            <filter val="R$ 63,743.87"/>
            <filter val="R$ 635,116.45"/>
            <filter val="R$ 637,936.48"/>
            <filter val="R$ 638,633.82"/>
            <filter val="R$ 640,660.17"/>
            <filter val="R$ 648,936.31"/>
            <filter val="R$ 665,519.79"/>
            <filter val="R$ 67,044.49"/>
            <filter val="R$ 67,426.70"/>
            <filter val="R$ 670,425.23"/>
            <filter val="R$ 675,574.55"/>
            <filter val="R$ 68,617.76"/>
            <filter val="R$ 687,798.21"/>
            <filter val="R$ 688,107.42"/>
            <filter val="R$ 69,330.72"/>
            <filter val="R$ 690,160.78"/>
            <filter val="R$ 690,269.86"/>
            <filter val="R$ 7,075.21"/>
            <filter val="R$ 7,111.33"/>
            <filter val="R$ 7,514.41"/>
            <filter val="R$ 701,272.22"/>
            <filter val="R$ 71,100.93"/>
            <filter val="R$ 71,890.20"/>
            <filter val="R$ 71,993.83"/>
            <filter val="R$ 72,317.98"/>
            <filter val="R$ 731.42"/>
            <filter val="R$ 737,416.96"/>
            <filter val="R$ 738,799.22"/>
            <filter val="R$ 74,366.70"/>
            <filter val="R$ 740,955.26"/>
            <filter val="R$ 751,964.49"/>
            <filter val="R$ 761,808.76"/>
            <filter val="R$ 774,767.00"/>
            <filter val="R$ 78,274.95"/>
            <filter val="R$ 78,381.66"/>
            <filter val="R$ 78,462.55"/>
            <filter val="R$ 78,497.84"/>
            <filter val="R$ 792,816.03"/>
            <filter val="R$ 794,481.47"/>
            <filter val="R$ 796,616.21"/>
            <filter val="R$ 798,873.52"/>
            <filter val="R$ 8,086.59"/>
            <filter val="R$ 8,255.62"/>
            <filter val="R$ 8,338,874.47"/>
            <filter val="R$ 8,712.66"/>
            <filter val="R$ 80,094.84"/>
            <filter val="R$ 80,332.19"/>
            <filter val="R$ 80,771.11"/>
            <filter val="R$ 802,618.33"/>
            <filter val="R$ 804,260.81"/>
            <filter val="R$ 804,365.53"/>
            <filter val="R$ 81,636.55"/>
            <filter val="R$ 82,767.94"/>
            <filter val="R$ 827,608.99"/>
            <filter val="R$ 841,298.65"/>
            <filter val="R$ 844,581.11"/>
            <filter val="R$ 854,397.79"/>
            <filter val="R$ 856,971.53"/>
            <filter val="R$ 86,280.89"/>
            <filter val="R$ 86,670.15"/>
            <filter val="R$ 87,579.02"/>
            <filter val="R$ 88,869.13"/>
            <filter val="R$ 885,191.86"/>
            <filter val="R$ 89,078.46"/>
            <filter val="R$ 9.71"/>
            <filter val="R$ 903,584.83"/>
            <filter val="R$ 904,514.02"/>
            <filter val="R$ 92,396.30"/>
            <filter val="R$ 93,072.73"/>
            <filter val="R$ 937,853.27"/>
            <filter val="R$ 94,701.07"/>
            <filter val="R$ 94,902.41"/>
            <filter val="R$ 946,137.88"/>
            <filter val="R$ 95,296.87"/>
            <filter val="R$ 96,544.81"/>
            <filter val="R$ 97,261.04"/>
            <filter val="R$ 97,860.25"/>
            <filter val="R$ 98,424.87"/>
            <filter val="R$ 98,603.27"/>
            <filter val="R$ 994,268.77"/>
            <filter val="R$ 994,357.77"/>
          </filters>
        </filterColumn>
      </autoFilter>
    </customSheetView>
    <customSheetView guid="{92D059E1-DD44-46EF-9817-CE8E9ED08641}" filter="1" showAutoFilter="1">
      <pageMargins left="0" right="0" top="0" bottom="0" header="0" footer="0"/>
      <autoFilter ref="A1:AW1084" xr:uid="{92A4B178-D859-4AB4-842F-804A5897FF38}">
        <filterColumn colId="12">
          <filters>
            <filter val="CON/ COADM"/>
            <filter val="CON/ PREV CON"/>
            <filter val="CON/ PREV MOD"/>
            <filter val="DIV/ COADM"/>
            <filter val="EQT/ COADM"/>
            <filter val="INC CP"/>
            <filter val="INC CP/ COADM"/>
            <filter val="INC/ COADM"/>
            <filter val="INC/ PREV CON"/>
            <filter val="INC/ PREV MOD"/>
            <filter val="MOD/ COADM"/>
            <filter val="MOD/ PREV ARR"/>
            <filter val="MOD/ PREV MOD"/>
            <filter val="MOD/ PREV MOD/ COADM"/>
            <filter val="MONT/ COADM"/>
            <filter val="MULT PRIV"/>
            <filter val="MULT PRIV/ CO ADM"/>
            <filter val="STOCK"/>
          </filters>
        </filterColumn>
      </autoFilter>
    </customSheetView>
    <customSheetView guid="{B9BC7587-C8FA-44AE-AF72-4EC169138123}" filter="1" showAutoFilter="1">
      <pageMargins left="0" right="0" top="0" bottom="0" header="0" footer="0"/>
      <autoFilter ref="A2:AQ1088" xr:uid="{7D7A47C8-B77F-4EB2-9E63-5C0D94DF7A18}">
        <filterColumn colId="3">
          <filters blank="1">
            <filter val="Altum"/>
            <filter val="Expert"/>
            <filter val="MI Smart"/>
            <filter val="Miura"/>
            <filter val="Nexco"/>
            <filter val="OP Club"/>
            <filter val="Poupinvista"/>
            <filter val="Solution For Life"/>
            <filter val="VcInvest"/>
            <filter val="Voga"/>
          </filters>
        </filterColumn>
      </autoFilter>
    </customSheetView>
    <customSheetView guid="{C9E04318-49D5-413C-AE45-5FA13028FBA7}" filter="1" showAutoFilter="1">
      <pageMargins left="0" right="0" top="0" bottom="0" header="0" footer="0"/>
      <autoFilter ref="A2:AQ1088" xr:uid="{DA3D323D-46C7-4D93-9AC9-1ADE39083A52}"/>
    </customSheetView>
    <customSheetView guid="{0C093EF2-FE71-4A36-A5D0-0CC1ED345771}" filter="1" showAutoFilter="1">
      <pageMargins left="0" right="0" top="0" bottom="0" header="0" footer="0"/>
      <autoFilter ref="A1:AQ1088" xr:uid="{44CC0893-76AA-406D-9FD0-DCFEEC8DEE4E}">
        <filterColumn colId="6">
          <filters>
            <filter val="Marcus"/>
            <filter val="Gabriel"/>
          </filters>
        </filterColumn>
        <filterColumn colId="7">
          <filters blank="1">
            <filter val="Ativo"/>
            <filter val="Pode Operar"/>
            <filter val="Status"/>
          </filters>
        </filterColumn>
        <filterColumn colId="8">
          <filters blank="1">
            <filter val="Monitoramento"/>
            <filter val="Resgate Total"/>
            <filter val="Sem Saldo"/>
            <filter val="Situação"/>
            <filter val="STVM Saída"/>
            <filter val="Troca de Assessoria"/>
          </filters>
        </filterColumn>
      </autoFilter>
    </customSheetView>
    <customSheetView guid="{1CA5E0BF-68F0-49B9-BAC3-D5150E9684AC}" filter="1" showAutoFilter="1">
      <pageMargins left="0" right="0" top="0" bottom="0" header="0" footer="0"/>
      <autoFilter ref="A1:AW1084" xr:uid="{7083EB59-AD18-4308-B4A5-ABD136731481}">
        <filterColumn colId="12">
          <filters>
            <filter val="CON/ COADM"/>
            <filter val="DIV/ COADM"/>
            <filter val="EQT/ COADM"/>
            <filter val="FUND"/>
            <filter val="INC CP"/>
            <filter val="INC CP/ COADM"/>
            <filter val="INC/ COADM"/>
            <filter val="MOD/ COADM"/>
            <filter val="MOD/ PREV MOD/ COADM"/>
            <filter val="MONT/ COADM"/>
            <filter val="MULT PRIV"/>
            <filter val="MULT PRIV/ CO ADM"/>
            <filter val="STOCK"/>
          </filters>
        </filterColumn>
      </autoFilter>
    </customSheetView>
    <customSheetView guid="{FBF43EAE-8290-440F-B9C7-B7F1CB34234E}" filter="1" showAutoFilter="1">
      <pageMargins left="0" right="0" top="0" bottom="0" header="0" footer="0"/>
      <autoFilter ref="A1:AR1093" xr:uid="{F5692CE1-75C8-47AC-8411-93B22A3FBB1E}">
        <filterColumn colId="6">
          <filters>
            <filter val="Marcus"/>
            <filter val="Gabriel"/>
          </filters>
        </filterColumn>
        <filterColumn colId="7">
          <filters blank="1">
            <filter val="Pode Operar"/>
            <filter val="Status"/>
          </filters>
        </filterColumn>
      </autoFilter>
    </customSheetView>
    <customSheetView guid="{5AA61B26-04EA-4139-9C7F-0A469271FB39}" filter="1" showAutoFilter="1">
      <pageMargins left="0" right="0" top="0" bottom="0" header="0" footer="0"/>
      <autoFilter ref="K2:K1093" xr:uid="{F792504A-B72F-4470-8665-0EA71D9A8B44}"/>
    </customSheetView>
    <customSheetView guid="{D072EB94-FC7A-42D0-92E6-38EC69ADB85A}" filter="1" showAutoFilter="1">
      <pageMargins left="0" right="0" top="0" bottom="0" header="0" footer="0"/>
      <autoFilter ref="M2:O1093" xr:uid="{7B74C9C9-F187-48DE-A85A-FB24AC165BC1}"/>
    </customSheetView>
    <customSheetView guid="{FB88F0D5-C0C4-49EA-AA98-7E894FD09BBF}" filter="1" showAutoFilter="1">
      <pageMargins left="0" right="0" top="0" bottom="0" header="0" footer="0"/>
      <autoFilter ref="AM2:AM1093" xr:uid="{EAEFC007-2B90-4B9F-B176-D9F455D1E4BB}"/>
    </customSheetView>
    <customSheetView guid="{30DCFFE6-AC46-4E31-A4DE-A50A8DB8D6EE}" filter="1" showAutoFilter="1">
      <pageMargins left="0" right="0" top="0" bottom="0" header="0" footer="0"/>
      <autoFilter ref="B2:AO1093" xr:uid="{5BCA5FA0-5DF8-4659-9D53-532D0C0C47CB}">
        <filterColumn colId="39">
          <filters>
            <filter val="R$ 0.00"/>
            <filter val="R$ 0.01"/>
            <filter val="R$ 1,015,957.57"/>
            <filter val="R$ 1,029.10"/>
            <filter val="R$ 1,042.93"/>
            <filter val="R$ 1,073,945.36"/>
            <filter val="R$ 1,090,968.79"/>
            <filter val="R$ 1,103,042.33"/>
            <filter val="R$ 1,104,974.04"/>
            <filter val="R$ 1,131,931.21"/>
            <filter val="R$ 1,139,042.65"/>
            <filter val="R$ 1,162,232.12"/>
            <filter val="R$ 1,175,708.77"/>
            <filter val="R$ 1,176,247.47"/>
            <filter val="R$ 1,185,006.62"/>
            <filter val="R$ 1,228,192.68"/>
            <filter val="R$ 1,242,237.90"/>
            <filter val="R$ 1,259,014.66"/>
            <filter val="R$ 1,266,407.64"/>
            <filter val="R$ 1,283,492.26"/>
            <filter val="R$ 1,317,426.15"/>
            <filter val="R$ 1,319,712.68"/>
            <filter val="R$ 1,332,023.96"/>
            <filter val="R$ 1,335,930.60"/>
            <filter val="R$ 1,349,842.02"/>
            <filter val="R$ 1,374,140.03"/>
            <filter val="R$ 1,374,434.26"/>
            <filter val="R$ 1,409,788.24"/>
            <filter val="R$ 1,470,305.87"/>
            <filter val="R$ 1,504,511.49"/>
            <filter val="R$ 1,694,859.99"/>
            <filter val="R$ 1,750,873.41"/>
            <filter val="R$ 1,795,213.42"/>
            <filter val="R$ 1,875,447.01"/>
            <filter val="R$ 1,910,989.17"/>
            <filter val="R$ 1,929,869.86"/>
            <filter val="R$ 1,962,080.60"/>
            <filter val="R$ 10,091.93"/>
            <filter val="R$ 10,266.22"/>
            <filter val="R$ 100,133.79"/>
            <filter val="R$ 101,431.94"/>
            <filter val="R$ 101,432.92"/>
            <filter val="R$ 101,705.90"/>
            <filter val="R$ 102,260.12"/>
            <filter val="R$ 102,832.14"/>
            <filter val="R$ 103,098.95"/>
            <filter val="R$ 104,020.22"/>
            <filter val="R$ 104,499.45"/>
            <filter val="R$ 105,138.59"/>
            <filter val="R$ 107,813.68"/>
            <filter val="R$ 107,989.96"/>
            <filter val="R$ 108,307.08"/>
            <filter val="R$ 108,349.80"/>
            <filter val="R$ 108,468.23"/>
            <filter val="R$ 109,573.66"/>
            <filter val="R$ 112,674.22"/>
            <filter val="R$ 117,331.38"/>
            <filter val="R$ 119,621.40"/>
            <filter val="R$ 119,855.66"/>
            <filter val="R$ 12,149.58"/>
            <filter val="R$ 12,752.84"/>
            <filter val="R$ 120,267.44"/>
            <filter val="R$ 123,793.05"/>
            <filter val="R$ 124,208.62"/>
            <filter val="R$ 126,205.58"/>
            <filter val="R$ 128,735.41"/>
            <filter val="R$ 129,836.83"/>
            <filter val="R$ 13,905.96"/>
            <filter val="R$ 131,177.81"/>
            <filter val="R$ 131,755.43"/>
            <filter val="R$ 132,006.38"/>
            <filter val="R$ 132,133.96"/>
            <filter val="R$ 134,443.75"/>
            <filter val="R$ 135,329.99"/>
            <filter val="R$ 136,932.44"/>
            <filter val="R$ 137,240.08"/>
            <filter val="R$ 137,980.08"/>
            <filter val="R$ 138,763.11"/>
            <filter val="R$ 139,849.87"/>
            <filter val="R$ 14.67"/>
            <filter val="R$ 146,285.25"/>
            <filter val="R$ 148,311.97"/>
            <filter val="R$ 150,534.88"/>
            <filter val="R$ 151,065.74"/>
            <filter val="R$ 153,657.18"/>
            <filter val="R$ 154,003.32"/>
            <filter val="R$ 154,121.10"/>
            <filter val="R$ 156,012.55"/>
            <filter val="R$ 156,154.21"/>
            <filter val="R$ 157,547.30"/>
            <filter val="R$ 157,675.40"/>
            <filter val="R$ 158,063.24"/>
            <filter val="R$ 159,926.25"/>
            <filter val="R$ 16,099,820.12"/>
            <filter val="R$ 161,227.33"/>
            <filter val="R$ 167,691.47"/>
            <filter val="R$ 171,767.27"/>
            <filter val="R$ 171,906.21"/>
            <filter val="R$ 174,734.94"/>
            <filter val="R$ 184,796.44"/>
            <filter val="R$ 185,673.70"/>
            <filter val="R$ 191,310.25"/>
            <filter val="R$ 195,637.75"/>
            <filter val="R$ 196,044.31"/>
            <filter val="R$ 196,307.12"/>
            <filter val="R$ 199,122.82"/>
            <filter val="R$ 2,025,074.38"/>
            <filter val="R$ 2,076,597.42"/>
            <filter val="R$ 2,104,306.92"/>
            <filter val="R$ 2,127,232.49"/>
            <filter val="R$ 2,223,135.83"/>
            <filter val="R$ 2,330,169.23"/>
            <filter val="R$ 2,466,301.64"/>
            <filter val="R$ 2,613,104.75"/>
            <filter val="R$ 2,825,569.34"/>
            <filter val="R$ 2,892,594.60"/>
            <filter val="R$ 2,927,527.12"/>
            <filter val="R$ 20,817.53"/>
            <filter val="R$ 201,266.25"/>
            <filter val="R$ 201,894.44"/>
            <filter val="R$ 202,185.21"/>
            <filter val="R$ 205,780.31"/>
            <filter val="R$ 208,460.87"/>
            <filter val="R$ 210,779.70"/>
            <filter val="R$ 211,013.95"/>
            <filter val="R$ 213,546.39"/>
            <filter val="R$ 216,544.32"/>
            <filter val="R$ 218,300.70"/>
            <filter val="R$ 222,554.38"/>
            <filter val="R$ 222,907,286.78"/>
            <filter val="R$ 224,043.27"/>
            <filter val="R$ 225,654.51"/>
            <filter val="R$ 226,649.71"/>
            <filter val="R$ 228,050.04"/>
            <filter val="R$ 233,533.56"/>
            <filter val="R$ 233,832.43"/>
            <filter val="R$ 234,730.68"/>
            <filter val="R$ 235,284.62"/>
            <filter val="R$ 236,912.56"/>
            <filter val="R$ 242,504.57"/>
            <filter val="R$ 249,151.62"/>
            <filter val="R$ 25,359.46"/>
            <filter val="R$ 251,183.31"/>
            <filter val="R$ 251,302.85"/>
            <filter val="R$ 257,944.56"/>
            <filter val="R$ 258,221.49"/>
            <filter val="R$ 265,529.31"/>
            <filter val="R$ 266,116.93"/>
            <filter val="R$ 266,291.47"/>
            <filter val="R$ 269,316.47"/>
            <filter val="R$ 272,850.52"/>
            <filter val="R$ 273,736.55"/>
            <filter val="R$ 274,621.30"/>
            <filter val="R$ 276,192.79"/>
            <filter val="R$ 279,989.85"/>
            <filter val="R$ 28,441.96"/>
            <filter val="R$ 28,721.07"/>
            <filter val="R$ 280,072.57"/>
            <filter val="R$ 281,372.59"/>
            <filter val="R$ 282,738.00"/>
            <filter val="R$ 286,860.28"/>
            <filter val="R$ 295,833.26"/>
            <filter val="R$ 3,118,395.57"/>
            <filter val="R$ 3,255,128.52"/>
            <filter val="R$ 3,297,963.12"/>
            <filter val="R$ 3,303,894.64"/>
            <filter val="R$ 3,417,528.18"/>
            <filter val="R$ 3,583,128.63"/>
            <filter val="R$ 3,764.58"/>
            <filter val="R$ 30,326.11"/>
            <filter val="R$ 30,883.77"/>
            <filter val="R$ 302,770.32"/>
            <filter val="R$ 304,671.28"/>
            <filter val="R$ 312,544.00"/>
            <filter val="R$ 312,644.16"/>
            <filter val="R$ 313,149.40"/>
            <filter val="R$ 313,732.45"/>
            <filter val="R$ 314,336.41"/>
            <filter val="R$ 314,906.04"/>
            <filter val="R$ 317,302.40"/>
            <filter val="R$ 32,117.36"/>
            <filter val="R$ 32,831.67"/>
            <filter val="R$ 320,613.61"/>
            <filter val="R$ 320,715.33"/>
            <filter val="R$ 33,570.75"/>
            <filter val="R$ 330,975.28"/>
            <filter val="R$ 338,304.64"/>
            <filter val="R$ 341,722.93"/>
            <filter val="R$ 342,580.44"/>
            <filter val="R$ 345,033.68"/>
            <filter val="R$ 346,952.70"/>
            <filter val="R$ 347,340.16"/>
            <filter val="R$ 347,862.28"/>
            <filter val="R$ 349,078.77"/>
            <filter val="R$ 35,253.69"/>
            <filter val="R$ 35,422.57"/>
            <filter val="R$ 35,709.37"/>
            <filter val="R$ 353,197.08"/>
            <filter val="R$ 353,259.52"/>
            <filter val="R$ 355,920.24"/>
            <filter val="R$ 357,015.53"/>
            <filter val="R$ 361,798.24"/>
            <filter val="R$ 363,060.22"/>
            <filter val="R$ 368,988.46"/>
            <filter val="R$ 370,316.11"/>
            <filter val="R$ 370,568.08"/>
            <filter val="R$ 376,086.90"/>
            <filter val="R$ 384,001.86"/>
            <filter val="R$ 394,420.72"/>
            <filter val="R$ 398,347.79"/>
            <filter val="R$ 4,028,279.21"/>
            <filter val="R$ 4,473.34"/>
            <filter val="R$ 4,760.49"/>
            <filter val="R$ 4,890,104.61"/>
            <filter val="R$ 40,553.65"/>
            <filter val="R$ 40,979.01"/>
            <filter val="R$ 401,081.80"/>
            <filter val="R$ 403,716.37"/>
            <filter val="R$ 41,056.47"/>
            <filter val="R$ 41,471.87"/>
            <filter val="R$ 410,402.21"/>
            <filter val="R$ 411,428.94"/>
            <filter val="R$ 413,199.93"/>
            <filter val="R$ 419,792.77"/>
            <filter val="R$ 42,756.62"/>
            <filter val="R$ 423,787.50"/>
            <filter val="R$ 43,329.27"/>
            <filter val="R$ 43,658.82"/>
            <filter val="R$ 43,803.84"/>
            <filter val="R$ 435,468.55"/>
            <filter val="R$ 436,082.42"/>
            <filter val="R$ 44,694.58"/>
            <filter val="R$ 447,413.88"/>
            <filter val="R$ 449,077.62"/>
            <filter val="R$ 451,876.08"/>
            <filter val="R$ 453,576.53"/>
            <filter val="R$ 458,776.15"/>
            <filter val="R$ 460,484.47"/>
            <filter val="R$ 467,877.68"/>
            <filter val="R$ 469,355.86"/>
            <filter val="R$ 47,341.05"/>
            <filter val="R$ 479,112.38"/>
            <filter val="R$ 480,581.05"/>
            <filter val="R$ 483,333.15"/>
            <filter val="R$ 483,870.82"/>
            <filter val="R$ 5,852.36"/>
            <filter val="R$ 5,935,459.35"/>
            <filter val="R$ 50,159.60"/>
            <filter val="R$ 50,227.21"/>
            <filter val="R$ 50,378.93"/>
            <filter val="R$ 50,609.72"/>
            <filter val="R$ 50,918.73"/>
            <filter val="R$ 50.26"/>
            <filter val="R$ 503,634.65"/>
            <filter val="R$ 507,721.03"/>
            <filter val="R$ 508,181.96"/>
            <filter val="R$ 51,041.15"/>
            <filter val="R$ 51,225.61"/>
            <filter val="R$ 51,761.90"/>
            <filter val="R$ 519,371.42"/>
            <filter val="R$ 52,409.24"/>
            <filter val="R$ 52,613.31"/>
            <filter val="R$ 524,784.14"/>
            <filter val="R$ 53,366.88"/>
            <filter val="R$ 532,488.02"/>
            <filter val="R$ 534,109.97"/>
            <filter val="R$ 556,458.33"/>
            <filter val="R$ 562,832.00"/>
            <filter val="R$ 564,875.41"/>
            <filter val="R$ 565,393.68"/>
            <filter val="R$ 565,993.39"/>
            <filter val="R$ 57,669.29"/>
            <filter val="R$ 572,321.15"/>
            <filter val="R$ 58,198.80"/>
            <filter val="R$ 58,614.75"/>
            <filter val="R$ 58,760.66"/>
            <filter val="R$ 584,594.91"/>
            <filter val="R$ 59,456.92"/>
            <filter val="R$ 598,857.52"/>
            <filter val="R$ 6,541.24"/>
            <filter val="R$ 6,927.27"/>
            <filter val="R$ 60,765.60"/>
            <filter val="R$ 601,397.66"/>
            <filter val="R$ 602,056.04"/>
            <filter val="R$ 61,652.23"/>
            <filter val="R$ 619,206.82"/>
            <filter val="R$ 625,244.89"/>
            <filter val="R$ 625,662.88"/>
            <filter val="R$ 626,680.78"/>
            <filter val="R$ 627,093.70"/>
            <filter val="R$ 628,230.14"/>
            <filter val="R$ 628,805.12"/>
            <filter val="R$ 64,110.84"/>
            <filter val="R$ 64,630.92"/>
            <filter val="R$ 64,644.78"/>
            <filter val="R$ 64,645.61"/>
            <filter val="R$ 641,342.23"/>
            <filter val="R$ 648,299.81"/>
            <filter val="R$ 65,383.65"/>
            <filter val="R$ 65,965.11"/>
            <filter val="R$ 650,405.77"/>
            <filter val="R$ 652,844.08"/>
            <filter val="R$ 655,818.74"/>
            <filter val="R$ 661,276.45"/>
            <filter val="R$ 68,884.14"/>
            <filter val="R$ 680,203.78"/>
            <filter val="R$ 681,159.69"/>
            <filter val="R$ 69,957.42"/>
            <filter val="R$ 7,194.80"/>
            <filter val="R$ 70,324.05"/>
            <filter val="R$ 70,636.99"/>
            <filter val="R$ 705,083.30"/>
            <filter val="R$ 71,598.24"/>
            <filter val="R$ 721,538.05"/>
            <filter val="R$ 729.09"/>
            <filter val="R$ 737,658.93"/>
            <filter val="R$ 74,859.75"/>
            <filter val="R$ 75,419.21"/>
            <filter val="R$ 75,863.42"/>
            <filter val="R$ 753,620.12"/>
            <filter val="R$ 755,370.21"/>
            <filter val="R$ 76,565.75"/>
            <filter val="R$ 77,220.32"/>
            <filter val="R$ 770,449.99"/>
            <filter val="R$ 78,226.19"/>
            <filter val="R$ 78,422.94"/>
            <filter val="R$ 788,355.82"/>
            <filter val="R$ 788,470.50"/>
            <filter val="R$ 790,313.84"/>
            <filter val="R$ 791,856.43"/>
            <filter val="R$ 8,956,806.00"/>
            <filter val="R$ 80,567.80"/>
            <filter val="R$ 806,756.24"/>
            <filter val="R$ 82,858.01"/>
            <filter val="R$ 83,258.80"/>
            <filter val="R$ 83,477.75"/>
            <filter val="R$ 831,994.21"/>
            <filter val="R$ 832,895.88"/>
            <filter val="R$ 84,064.34"/>
            <filter val="R$ 84,945.20"/>
            <filter val="R$ 85,646.08"/>
            <filter val="R$ 86,267.59"/>
            <filter val="R$ 86,692.70"/>
            <filter val="R$ 862,874.84"/>
            <filter val="R$ 87,914.05"/>
            <filter val="R$ 888,211.88"/>
            <filter val="R$ 89,551.90"/>
            <filter val="R$ 9,062,219.04"/>
            <filter val="R$ 9.68"/>
            <filter val="R$ 90,215.35"/>
            <filter val="R$ 904,259.97"/>
            <filter val="R$ 923,030.07"/>
            <filter val="R$ 925,915.22"/>
            <filter val="R$ 936,984.48"/>
            <filter val="R$ 946,529.43"/>
            <filter val="R$ 97,953.34"/>
            <filter val="R$ 971,845.22"/>
            <filter val="R$ 98,019.24"/>
            <filter val="R$ 98,285.69"/>
            <filter val="R$ 993,536.81"/>
            <filter val="R$ 994,494.78"/>
          </filters>
        </filterColumn>
      </autoFilter>
    </customSheetView>
    <customSheetView guid="{A5104C11-AB4D-42DF-BDB1-C9ECB067E779}" filter="1" showAutoFilter="1">
      <pageMargins left="0" right="0" top="0" bottom="0" header="0" footer="0"/>
      <autoFilter ref="A1:AQ1088" xr:uid="{5DF7437F-2545-4AC2-97C0-9684441CDA3F}">
        <filterColumn colId="6">
          <filters blank="1">
            <filter val="Gabriel"/>
            <filter val="Marcus"/>
          </filters>
        </filterColumn>
      </autoFilter>
    </customSheetView>
    <customSheetView guid="{868430C6-0589-475C-A71F-471025F1F9DA}" filter="1" showAutoFilter="1">
      <pageMargins left="0" right="0" top="0" bottom="0" header="0" footer="0"/>
      <autoFilter ref="F2:F1093" xr:uid="{D8996FA9-2D4C-4D03-9231-4CC75B7CABFB}"/>
    </customSheetView>
    <customSheetView guid="{D8819ACB-4D4A-4A46-9E67-27B50537E1A0}" filter="1" showAutoFilter="1">
      <pageMargins left="0" right="0" top="0" bottom="0" header="0" footer="0"/>
      <autoFilter ref="A1:AQ1093" xr:uid="{5056DA5A-15BD-49DF-9908-A48A724537D0}"/>
    </customSheetView>
    <customSheetView guid="{7EAC6D07-C079-4E1F-8351-32A4134DCF17}" filter="1" showAutoFilter="1">
      <pageMargins left="0" right="0" top="0" bottom="0" header="0" footer="0"/>
      <autoFilter ref="A1:AT1084" xr:uid="{BFA45C32-DEAC-4214-9008-A8F69526E0E2}"/>
    </customSheetView>
    <customSheetView guid="{EA321758-483F-4473-88B9-B2CF626E6766}" filter="1" showAutoFilter="1">
      <pageMargins left="0" right="0" top="0" bottom="0" header="0" footer="0"/>
      <autoFilter ref="A1:AQ1088" xr:uid="{9DEDFFA8-076F-44F2-9C3E-D9E4F667460D}">
        <filterColumn colId="12">
          <filters blank="1">
            <filter val="ARR"/>
            <filter val="BDR"/>
            <filter val="CON/ COADM"/>
            <filter val="CON/ GR"/>
            <filter val="DIV"/>
            <filter val="DIV/ COADM"/>
            <filter val="EQT"/>
            <filter val="EQT/ COADM"/>
            <filter val="FII"/>
            <filter val="INC CP"/>
            <filter val="INC CP/ COADM"/>
            <filter val="INC/ COADM"/>
            <filter val="MOD"/>
            <filter val="MOD/ COADM"/>
            <filter val="MOD/ GR"/>
            <filter val="MOD/ PREV MOD/ COADM"/>
            <filter val="MONT/ COADM"/>
            <filter val="MULT PRIV"/>
            <filter val="MULT PRIV/ CO ADM"/>
            <filter val="SMLL"/>
            <filter val="STOCK"/>
          </filters>
        </filterColumn>
      </autoFilter>
    </customSheetView>
    <customSheetView guid="{F5C3EDBE-D036-4F19-BBFF-08129EB89FC5}" filter="1" showAutoFilter="1">
      <pageMargins left="0" right="0" top="0" bottom="0" header="0" footer="0"/>
      <autoFilter ref="A1:AU1093" xr:uid="{35902D43-3CD2-404D-931D-6C073CC1D46C}">
        <filterColumn colId="4">
          <filters blank="1">
            <filter val="DF"/>
            <filter val="RJ"/>
            <filter val="SP"/>
            <filter val="UF"/>
          </filters>
        </filterColumn>
        <filterColumn colId="17">
          <filters>
            <filter val="A conta 008411505 foi encerrada a pedido dos clientes, que desejaram alterar o titular. Como solicitado, a conta 008458289 foi aberta."/>
            <filter val="Aguardando resposta do FA / Troca de Assessoria de Thiago Canbrava para Matheus Vilar"/>
            <filter val="Alteração dde carteira finalizada (09/09/2025)"/>
            <filter val="Alteração de carteira finalizada (01/03/2024)/ STVM Interna de saída para a conta 005161568"/>
            <filter val="Alteração de carteira finalizada (02/04/2024)"/>
            <filter val="Alteração de carteira finalizada (02/10/2024)"/>
            <filter val="Alteração de carteira finalizada (03/10/2023)"/>
            <filter val="Alteração de carteira finalizada (03/10/2024) / Diatrao unilateral"/>
            <filter val="Alteração de carteira finalizada (04/11/2024)"/>
            <filter val="Alteração de carteira finalizada (04/11/2025)"/>
            <filter val="Alteração de carteira finalizada (05/02/2024)"/>
            <filter val="Alteração de carteira finalizada (05/03/2024)"/>
            <filter val="Alteração de carteira finalizada (06/02/2025)"/>
            <filter val="Alteração de carteira finalizada (06/05/2025)"/>
            <filter val="Alteração de carteira finalizada (06/06/2025)"/>
            <filter val="Alteração de carteira finalizada (06/10/2023)"/>
            <filter val="Alteração de carteira finalizada (07/12/2023)"/>
            <filter val="Alteração de carteira finalizada (08/12/2025)"/>
            <filter val="Alteração de carteira finalizada (09/08/2024)"/>
            <filter val="Alteração de carteira finalizada (09/11/2023)"/>
            <filter val="Alteração de carteira finalizada (09/12/2024)"/>
            <filter val="Alteração de carteira finalizada (10/02/2025)"/>
            <filter val="Alteração de carteira finalizada (12/08/2025)"/>
            <filter val="Alteração de carteira finalizada (12/11/2025)"/>
            <filter val="Alteração de carteira finalizada (13/02/2025)"/>
            <filter val="Alteração de carteira finalizada (13/05/2024)"/>
            <filter val="Alteração de carteira finalizada (13/05/2025)"/>
            <filter val="Alteração de carteira finalizada (13/11/2023)"/>
            <filter val="Alteração de carteira finalizada (14/04/2025)"/>
            <filter val="Alteração de carteira finalizada (14/07/2023)"/>
            <filter val="Alteração de carteira finalizada (14/11/2025)"/>
            <filter val="Alteração de carteira finalizada (15/02/2024)"/>
            <filter val="Alteração de carteira finalizada (15/03/2024)"/>
            <filter val="Alteração de Carteira finalizada (15/09/2025)"/>
            <filter val="Alteração de carteira finalizada (17/01/2024)"/>
            <filter val="Alteração de carteira finalizada (17/06/2024)"/>
            <filter val="Alteração de carteira finalizada (17/07/2025)"/>
            <filter val="Alteração de carteira finalizada (17/11/2025)"/>
            <filter val="Alteração de carteira finalizada (17/12/2024)"/>
            <filter val="Alteração de carteira finalizada (20/01//2025)"/>
            <filter val="Alteração de carteira finalizada (20/01/2025)"/>
            <filter val="Alteração de carteira finalizada (21/10/2024)"/>
            <filter val="Alteração de carteira finalizada (22/07/2024)"/>
            <filter val="Alteração de carteira finalizada (23/10/2023)"/>
            <filter val="Alteração de carteira finalizada (24/01/2024)"/>
            <filter val="Alteração de carteira finalizada (24/07/2023)"/>
            <filter val="Alteração de carteira finalizada (25/09/2025)"/>
            <filter val="Alteração de carteira finalizada (26/02/2024)"/>
            <filter val="Alteração de carteira finalizada (26/11/2024)"/>
            <filter val="Alteração de carteira finalizada (27/03/2024)"/>
            <filter val="Alteração de carteira finalizada (27/06/2024)"/>
            <filter val="Alteração de carteira finalizada (27/07/2023)"/>
            <filter val="Alteração de carteira finalizada (27/11/2023)"/>
            <filter val="Alteração de carteira finalizada (29/01/2024)"/>
            <filter val="Alteração de carteira finalizada. (25/09/2025)"/>
            <filter val="Alterado a conta de N° 003836362 (sem saldo) / Alteração de carteira finalizada (18/04/2024)"/>
            <filter val="Cliente retornou a base com novo contrato (29/08/2025)"/>
            <filter val="Cliente retornou para a base dia 10/10/2024"/>
            <filter val="Cliente retornou para a base dia 21/10/2024 sob nova carteira"/>
            <filter val="Cliente saiu da base (18/09/2024)"/>
            <filter val="Cliente saiu da base dia 22/10/2024 retornou sob nova carteira dia 19/11/2024 / Alteração de carteira finalizada (30/01/2025)"/>
            <filter val="Cliente solicitou distrato"/>
            <filter val="Cliente solicitou distrato (19/08/2024)"/>
            <filter val="Cliente solicitou distrato (20/06/2024)"/>
            <filter val="Cliente solicitou distrato 23/05/2024"/>
            <filter val="Cliente solicitou distrato dia 25/04/2023"/>
            <filter val="Cliente solicitou o distrato (04/09/2023)"/>
            <filter val="Cliente solicitou o distrato (08/08/2024)"/>
            <filter val="Cliente solicitou o distrato dia 30/08/2023"/>
            <filter val="Cliente solicitou troca de assessoria"/>
            <filter val="Cliente solicitou troca de assessoria (08/08/2024)"/>
            <filter val="Cliente solicitou troca de assessoria (17/07/2024)"/>
            <filter val="Cliente solicitou troca de assessoria (30/07/2024)"/>
            <filter val="Cliente solicitou troca de assessortia (16/07/2024)"/>
            <filter val="Cliente sumiu da base"/>
            <filter val="Cliente sumiu da base (06/05/2024)"/>
            <filter val="Cliente sumiu da base 05/03/2024"/>
            <filter val="Cliente vai resgatar sozinho/ Troca de Assessoria de Thiago Canbrava para Matheus Vilar"/>
            <filter val="Conta à ser encerrada, aguardando recebimentos de dividendo para 2025"/>
            <filter val="Conta criada sem necessidade (17/06/2024)"/>
            <filter val="Conta será encerrada"/>
            <filter val="Distrati unilateral"/>
            <filter val="Distrato solicitado dia 20/06/2024"/>
            <filter val="Distrato unilatera"/>
            <filter val="Distrato Unilateral"/>
            <filter val="Distrato unilateral."/>
            <filter val="Em processo de STVM"/>
            <filter val="Está em processo de portabilidade dos recursos do safra para o Bluemetrix."/>
            <filter val="Está em processo de transferência dos recursos"/>
            <filter val="Fez o resgate para compra de imóvel, em breve deve voltar a fazer aportes."/>
            <filter val="Monitoramento  p/ envio de ativos da conta principal que estão fora da estrategia"/>
            <filter val="Não apagar observação: Troca de assessor 01/12/2023 - Antigo: Conquest - Juliana Abreu"/>
            <filter val="PL acima de R$ 2.000.000,00, de forma que se o cliente resgatar a taxa retorne automático para 1,2%a.a., sem necessidade de novo contrato. STVM interna finalizada (05/06/2024)"/>
            <filter val="Pretende fazer aportes futuros"/>
            <filter val="Primeira conta 004794805 viculada por erro do FA."/>
            <filter val="Solicitou resgate total dia 08/03/2024 / Distrato unilateral"/>
            <filter val="STVM de entrada da Guide finalizada (01/09/2023)"/>
            <filter val="STVM de entrada da Guide finalizada (02/08/2023)"/>
            <filter val="STVM de entrada da Guide finalizada (02/10/2023)"/>
            <filter val="STVM de entrada da Guide finalizada (02/10/2023) / Alteração de carteira finalizada (15/09/2023)"/>
            <filter val="STVM de entrada da Guide finalizada (03/01/2024)"/>
            <filter val="STVM de entrada da Guide finalizada (03/09/2023)"/>
            <filter val="STVM de entrada da Guide finalizada (04/09/2023)"/>
            <filter val="STVM de entrada da Guide finalizada (05/09/2023)"/>
            <filter val="STVM de entrada da Guide finalizada (06/11/2023) / Alteração de carteira finalizada (05/08/2024)"/>
            <filter val="STVM de entrada da Guide finalizada (06/12/2023) / Alteração de carteira finalizada (22/12/2023)"/>
            <filter val="STVM de entrada da Guide finalizada (08/09/2023)"/>
            <filter val="STVM de entrada da Guide finalizada (09/10/2023) / Alteração de carteira finalizada (21/01/2025)"/>
            <filter val="STVM de entrada da Guide finalizada (10/01/2024) / Alteração de carteira finalizada (20/01/2025)"/>
            <filter val="STVM de entrada da Guide finalizada (10/09/2023)"/>
            <filter val="STVM de entrada da Guide finalizada (10/10/2023)"/>
            <filter val="STVM de entrada da Guide finalizada (13/07/2023) / Alteração de carteira finalizada (21/01/2025)"/>
            <filter val="STVM de entrada da Guide finalizada (13/09/2023) / Alteração de carteira finalizada (01/03/2024)"/>
            <filter val="STVM de entrada da Guide finalizada (13/09/2023) / Alteração de carteira finalizada (22/12/2023)"/>
            <filter val="STVM de entrada da Guide finalizada (13/11/2023) Alteração de carteira finalizada (26/11/2024)"/>
            <filter val="STVM de entrada da Guide finalizada (15/12/2023)"/>
            <filter val="STVM de entrada da Guide finalizada (19/12/2023)"/>
            <filter val="STVM de entrada da Guide finalizada (21/09/2023)"/>
            <filter val="STVM de entrada da Guide finalizada (27/12/2023) / Portabilidade de fundo a ser finalizada"/>
            <filter val="STVM de entrada da Guide finalizada (28/09/2023)"/>
            <filter val="STVM de entrada da Guide finalizada (30/08/2023)"/>
            <filter val="STVM de entrada da Guide finalizada (30/10/2023) / Alteração de carteira finalizada (14/06/2024)"/>
            <filter val="STVM de entrada da Órama finalizada (11/01/2024)"/>
            <filter val="STVM de entrada finalizada (28/05/2024)"/>
            <filter val="STVM de saída para XP finalizada (04/09/2023)"/>
            <filter val="STVM de saída para XP finalizada (11/01/2024)"/>
            <filter val="STVM de saída para XP finalizada (22/02/2024)"/>
            <filter val="STVM de saída para XP finalizada (29/08/2023)"/>
            <filter val="STVM de saída para XP finalizada (31/01/2024)"/>
            <filter val="STVM de saída para XP iniciada (13/05/2024)"/>
            <filter val="STVM de saída para XP iniciada (25/06/2024) Cliente sumiu da base"/>
            <filter val="STVM Interna de entrada da conta 004254210"/>
            <filter val="STVM Interna finalizada (01/07/2024)"/>
            <filter val="STVM interna finalizada (08/01/2024) / Conta será encerrada após valor em trânsito cair"/>
            <filter val="STVM interna finalizada (12/03/2024)"/>
            <filter val="STVM interna finalizada (18/07/2024)"/>
            <filter val="STVM interna finalizada (19/03/2024) Cliente solicitou distrato 19/07/2024"/>
            <filter val="STVM interna finalizada (19/07/2024)"/>
            <filter val="STVM interna finalizada (25/01/2024)"/>
            <filter val="STVM interna finalizada (27/02/2024)"/>
            <filter val="STVM interna finalizada (27/02/2024) / Alteração de carteira Finalizada (11/03/2024)"/>
            <filter val="STVM interna finalizada (28/09/2023)"/>
            <filter val="Tirar da base (06/06/2024)"/>
            <filter val="Troca de Assessoria de Thiago Canabrava para Matheus Vilar"/>
            <filter val="Troca de Assessoria de Thiago Canbrava para Guilherme dos Santos"/>
            <filter val="Troca de Assessoria de Thiago Canbrava para Guilherme dos Santos / Resgate total da carteira (04/04/2024)"/>
            <filter val="Troca de Assessoria de Thiago Canbrava para Matheus Vilar"/>
          </filters>
        </filterColumn>
      </autoFilter>
    </customSheetView>
    <customSheetView guid="{B3245F46-37F0-4BF4-A32E-422B28702198}" filter="1" showAutoFilter="1">
      <pageMargins left="0" right="0" top="0" bottom="0" header="0" footer="0"/>
      <autoFilter ref="A1:AU1084" xr:uid="{1B9945C5-13F3-48A1-9182-2FE7FE363E48}">
        <filterColumn colId="17">
          <filters>
            <filter val="A conta 008411505 foi encerrada a pedido dos clientes, que desejaram alterar o titular. Como solicitado, a conta 008458289 foi aberta."/>
            <filter val="Aguardando resposta do FA / Troca de Assessoria de Thiago Canbrava para Matheus Vilar"/>
            <filter val="Alteração dde carteira finalizada (09/09/2025)"/>
            <filter val="Alteração de carteira finalizada (01/03/2024)/ STVM Interna de saída para a conta 005161568"/>
            <filter val="Alteração de carteira finalizada (02/04/2024)"/>
            <filter val="Alteração de carteira finalizada (02/10/2024)"/>
            <filter val="Alteração de carteira finalizada (03/10/2023)"/>
            <filter val="Alteração de carteira finalizada (03/10/2024) / Diatrao unilateral"/>
            <filter val="Alteração de carteira finalizada (04/11/2024)"/>
            <filter val="Alteração de carteira finalizada (04/11/2025)"/>
            <filter val="Alteração de carteira finalizada (05/02/2024)"/>
            <filter val="Alteração de carteira finalizada (05/03/2024)"/>
            <filter val="Alteração de carteira finalizada (06/02/2025)"/>
            <filter val="Alteração de carteira finalizada (06/05/2025)"/>
            <filter val="Alteração de carteira finalizada (06/06/2025)"/>
            <filter val="Alteração de carteira finalizada (06/10/2023)"/>
            <filter val="Alteração de carteira finalizada (07/12/2023)"/>
            <filter val="Alteração de carteira finalizada (08/12/2025)"/>
            <filter val="Alteração de carteira finalizada (09/08/2024)"/>
            <filter val="Alteração de carteira finalizada (09/11/2023)"/>
            <filter val="Alteração de carteira finalizada (09/12/2024)"/>
            <filter val="Alteração de carteira finalizada (10/02/2025)"/>
            <filter val="Alteração de carteira finalizada (12/08/2025)"/>
            <filter val="Alteração de carteira finalizada (12/11/2025)"/>
            <filter val="Alteração de carteira finalizada (13/02/2025)"/>
            <filter val="Alteração de carteira finalizada (13/05/2024)"/>
            <filter val="Alteração de carteira finalizada (13/05/2025)"/>
            <filter val="Alteração de carteira finalizada (13/11/2023)"/>
            <filter val="Alteração de carteira finalizada (14/04/2025)"/>
            <filter val="Alteração de carteira finalizada (14/07/2023)"/>
            <filter val="Alteração de carteira finalizada (14/11/2025)"/>
            <filter val="Alteração de carteira finalizada (15/02/2024)"/>
            <filter val="Alteração de carteira finalizada (15/03/2024)"/>
            <filter val="Alteração de Carteira finalizada (15/09/2025)"/>
            <filter val="Alteração de carteira finalizada (17/01/2024)"/>
            <filter val="Alteração de carteira finalizada (17/06/2024)"/>
            <filter val="Alteração de carteira finalizada (17/07/2025)"/>
            <filter val="Alteração de carteira finalizada (17/11/2025)"/>
            <filter val="Alteração de carteira finalizada (17/12/2024)"/>
            <filter val="Alteração de carteira finalizada (20/01//2025)"/>
            <filter val="Alteração de carteira finalizada (20/01/2025)"/>
            <filter val="Alteração de carteira finalizada (21/10/2024)"/>
            <filter val="Alteração de carteira finalizada (22/07/2024)"/>
            <filter val="Alteração de carteira finalizada (23/10/2023)"/>
            <filter val="Alteração de carteira finalizada (24/01/2024)"/>
            <filter val="Alteração de carteira finalizada (24/07/2023)"/>
            <filter val="Alteração de carteira finalizada (25/09/2025)"/>
            <filter val="Alteração de carteira finalizada (26/02/2024)"/>
            <filter val="Alteração de carteira finalizada (26/11/2024)"/>
            <filter val="Alteração de carteira finalizada (27/03/2024)"/>
            <filter val="Alteração de carteira finalizada (27/06/2024)"/>
            <filter val="Alteração de carteira finalizada (27/07/2023)"/>
            <filter val="Alteração de carteira finalizada (27/11/2023)"/>
            <filter val="Alteração de carteira finalizada (29/01/2024)"/>
            <filter val="Alteração de carteira finalizada. (25/09/2025)"/>
            <filter val="Alterado a conta de N° 003836362 (sem saldo) / Alteração de carteira finalizada (18/04/2024)"/>
            <filter val="Aporte acontecerá em breve"/>
            <filter val="Carteira Conservadora 80/20 - PL acima de R$ 2.000.000,00, de forma que se o cliente resgatar a taxa retorne automático para 1,2%a.a., sem necessidade de novo contrato."/>
            <filter val="Cliente desistiu de migrar recurso aguardando FA sobre migração"/>
            <filter val="Cliente deve voltar em 2024"/>
            <filter val="Cliente faleceu"/>
            <filter val="Cliente retornou a base com novo contrato (29/08/2025)"/>
            <filter val="Cliente retornou para a base dia 10/10/2024"/>
            <filter val="Cliente retornou para a base dia 21/10/2024 sob nova carteira"/>
            <filter val="Cliente saiu da base"/>
            <filter val="Cliente saiu da base (18/09/2024)"/>
            <filter val="Cliente saiu da base dia 22/10/2024 retornou sob nova carteira dia 19/11/2024 / Alteração de carteira finalizada (30/01/2025)"/>
            <filter val="Cliente sofreu tentativa de fraude - qualquer alteração em seu cadastro ou movimentação na conta entrar em contato com o FA/Cliente para confirmação."/>
            <filter val="Cliente solicitou distrato"/>
            <filter val="Cliente solicitou distrato (19/08/2024)"/>
            <filter val="Cliente solicitou distrato (20/06/2024)"/>
            <filter val="Cliente solicitou distrato 23/05/2024"/>
            <filter val="Cliente solicitou distrato dia 25/04/2023"/>
            <filter val="Cliente solicitou o distrato (04/09/2023)"/>
            <filter val="Cliente solicitou o distrato (08/08/2024)"/>
            <filter val="Cliente solicitou o distrato dia 30/08/2023"/>
            <filter val="Cliente solicitou troca de assessoria"/>
            <filter val="Cliente solicitou troca de assessoria (08/08/2024)"/>
            <filter val="Cliente solicitou troca de assessoria (17/07/2024)"/>
            <filter val="Cliente solicitou troca de assessoria (30/07/2024)"/>
            <filter val="Cliente solicitou troca de assessortia (16/07/2024)"/>
            <filter val="Cliente sumiu da base"/>
            <filter val="Cliente sumiu da base (06/05/2024)"/>
            <filter val="Cliente sumiu da base 05/03/2024"/>
            <filter val="Cliente vai resgatar sozinho/ Troca de Assessoria de Thiago Canbrava para Matheus Vilar"/>
            <filter val="Conta à ser encerrada, aguardando recebimentos de dividendo para 2025"/>
            <filter val="Conta criada sem necessidade (17/06/2024)"/>
            <filter val="Conta da filha do cliente Pedro Guilherme Ramos Goya"/>
            <filter val="Conta será encerrada"/>
            <filter val="Distrati unilateral"/>
            <filter val="Distrato solicitado dia 20/06/2024"/>
            <filter val="Distrato unilatera"/>
            <filter val="Distrato Unilateral"/>
            <filter val="Distrato unilateral."/>
            <filter val="Em processo de STVM"/>
            <filter val="Esperando os rendimentos que vecem em 10/24 para transferir o saldo para a outra conta."/>
            <filter val="Está em processo de portabilidade dos recursos do safra para o Bluemetrix."/>
            <filter val="Está em processo de transferência dos recursos"/>
            <filter val="Fez o resgate para compra de imóvel, em breve deve voltar a fazer aportes."/>
            <filter val="Incluir contas bancárias enviadas no e-mail &quot;Cadastro de conta de Origem&quot;"/>
            <filter val="Manter conta ativa para possivél retorno do cliente"/>
            <filter val="Monitoramento  p/ envio de ativos da conta principal que estão fora da estrategia"/>
            <filter val="Não apagar observação: Troca de assessor 01/12/2023 - Antigo: Conquest - Juliana Abreu"/>
            <filter val="Observações Backoffice"/>
            <filter val="PL acima de R$ 2.000.000,00, de forma que se o cliente resgatar a taxa retorne automático para 1,2%a.a., sem necessidade de novo contrato. STVM interna finalizada (05/06/2024)"/>
            <filter val="Possível aporte 2024"/>
            <filter val="Possivel retorno futuro"/>
            <filter val="Possivel retorno futuro."/>
            <filter val="Possui duas contas, breve de aportar recursos nesta"/>
            <filter val="Pretende fazer aportes futuros"/>
            <filter val="Primeira conta 004794805 viculada por erro do FA."/>
            <filter val="Sem pagamento de taxa para assessores"/>
            <filter val="Solicitou resgate total dia 08/03/2024 / Distrato unilateral"/>
            <filter val="STVM de entrada da Guide finalizada (01/09/2023)"/>
            <filter val="STVM de entrada da Guide finalizada (02/08/2023)"/>
            <filter val="STVM de entrada da Guide finalizada (02/10/2023)"/>
            <filter val="STVM de entrada da Guide finalizada (02/10/2023) / Alteração de carteira finalizada (15/09/2023)"/>
            <filter val="STVM de entrada da Guide finalizada (03/01/2024)"/>
            <filter val="STVM de entrada da Guide finalizada (03/09/2023)"/>
            <filter val="STVM de entrada da Guide finalizada (04/09/2023)"/>
            <filter val="STVM de entrada da Guide finalizada (05/09/2023)"/>
            <filter val="STVM de entrada da Guide finalizada (06/11/2023) / Alteração de carteira finalizada (05/08/2024)"/>
            <filter val="STVM de entrada da Guide finalizada (06/12/2023) / Alteração de carteira finalizada (22/12/2023)"/>
            <filter val="STVM de entrada da Guide finalizada (08/09/2023)"/>
            <filter val="STVM de entrada da Guide finalizada (09/10/2023) / Alteração de carteira finalizada (21/01/2025)"/>
            <filter val="STVM de entrada da Guide finalizada (10/01/2024) / Alteração de carteira finalizada (20/01/2025)"/>
            <filter val="STVM de entrada da Guide finalizada (10/09/2023)"/>
            <filter val="STVM de entrada da Guide finalizada (10/10/2023)"/>
            <filter val="STVM de entrada da Guide finalizada (13/07/2023) / Alteração de carteira finalizada (21/01/2025)"/>
            <filter val="STVM de entrada da Guide finalizada (13/09/2023) / Alteração de carteira finalizada (01/03/2024)"/>
            <filter val="STVM de entrada da Guide finalizada (13/09/2023) / Alteração de carteira finalizada (22/12/2023)"/>
            <filter val="STVM de entrada da Guide finalizada (13/11/2023) Alteração de carteira finalizada (26/11/2024)"/>
            <filter val="STVM de entrada da Guide finalizada (15/12/2023)"/>
            <filter val="STVM de entrada da Guide finalizada (19/12/2023)"/>
            <filter val="STVM de entrada da Guide finalizada (21/09/2023)"/>
            <filter val="STVM de entrada da Guide finalizada (27/12/2023) / Portabilidade de fundo a ser finalizada"/>
            <filter val="STVM de entrada da Guide finalizada (28/09/2023)"/>
            <filter val="STVM de entrada da Guide finalizada (30/08/2023)"/>
            <filter val="STVM de entrada da Guide finalizada (30/10/2023) / Alteração de carteira finalizada (14/06/2024)"/>
            <filter val="STVM de entrada da Órama finalizada (11/01/2024)"/>
            <filter val="STVM de entrada finalizada (28/05/2024)"/>
            <filter val="STVM de saída para XP finalizada (04/09/2023)"/>
            <filter val="STVM de saída para XP finalizada (11/01/2024)"/>
            <filter val="STVM de saída para XP finalizada (22/02/2024)"/>
            <filter val="STVM de saída para XP finalizada (29/08/2023)"/>
            <filter val="STVM de saída para XP finalizada (31/01/2024)"/>
            <filter val="STVM de saída para XP iniciada (13/05/2024)"/>
            <filter val="STVM de saída para XP iniciada (25/06/2024) Cliente sumiu da base"/>
            <filter val="STVM Interna de entrada da conta 004254210"/>
            <filter val="STVM Interna finalizada (01/07/2024)"/>
            <filter val="STVM interna finalizada (08/01/2024) / Conta será encerrada após valor em trânsito cair"/>
            <filter val="STVM interna finalizada (12/03/2024)"/>
            <filter val="STVM interna finalizada (18/07/2024)"/>
            <filter val="STVM interna finalizada (19/03/2024) Cliente solicitou distrato 19/07/2024"/>
            <filter val="STVM interna finalizada (19/07/2024)"/>
            <filter val="STVM interna finalizada (25/01/2024)"/>
            <filter val="STVM interna finalizada (27/02/2024)"/>
            <filter val="STVM interna finalizada (27/02/2024) / Alteração de carteira Finalizada (11/03/2024)"/>
            <filter val="STVM interna finalizada (28/09/2023)"/>
            <filter val="Taxa de gestão a ser enviada para a Guide devido a erro operacional na XP"/>
            <filter val="Taxa de performance negociada para reduzir 0.2% a cada novo milhão investido, reduzindo até 1.9%"/>
            <filter val="Thiago Canabrava solicitou a alt. do stts da conta para inativo dia 15/01/2024"/>
            <filter val="Tirar da base (06/06/2024)"/>
            <filter val="Troca de Assessoria de Thiago Canabrava para Matheus Vilar"/>
            <filter val="Troca de Assessoria de Thiago Canbrava para Guilherme dos Santos"/>
            <filter val="Troca de Assessoria de Thiago Canbrava para Guilherme dos Santos / Resgate total da carteira (04/04/2024)"/>
            <filter val="Troca de Assessoria de Thiago Canbrava para Matheus Vilar"/>
            <filter val="Troca de carteira para RF Ativo"/>
            <filter val="Trocou de assessor de Rodolfo Gomes para Pedro Paulo em 04/04/2023"/>
            <filter val="Trocou de assessor de Thiago Canabrava para Gabriel Raydan em 03/02/2023"/>
          </filters>
        </filterColumn>
      </autoFilter>
    </customSheetView>
    <customSheetView guid="{1B124F6D-7E9E-4A11-BA68-19BF451F357B}" filter="1" showAutoFilter="1">
      <pageMargins left="0" right="0" top="0" bottom="0" header="0" footer="0"/>
      <autoFilter ref="A1:AR1093" xr:uid="{F7969310-FF75-4BC5-98BE-F6248B1FE156}">
        <filterColumn colId="5">
          <filters>
            <filter val="Alexandre Teixeira Campos"/>
            <filter val="Alexandre Xavier"/>
            <filter val="André de Queiroz Coelho"/>
            <filter val="Antonio Volpato"/>
            <filter val="Augusto Sampaio"/>
            <filter val="Bluemetrix"/>
            <filter val="Bruno Henrique"/>
            <filter val="Caroline Facó Ehlers"/>
            <filter val="Daniel Melhado"/>
            <filter val="Douglas Tuira"/>
            <filter val="Eleazar Ferreira Junior"/>
            <filter val="Felipe Cravos"/>
            <filter val="Felipe Miranda"/>
            <filter val="Gabriel Regis"/>
            <filter val="Gabriel Stella"/>
            <filter val="Guilherme dos Santos"/>
            <filter val="João Gabriel Miziara"/>
            <filter val="João Paulo Britto"/>
            <filter val="João Victor de Moura Beze"/>
            <filter val="Joney Alves"/>
            <filter val="Jorge Luiz Braga de Carvalho"/>
            <filter val="Larissa Montes"/>
            <filter val="Leonardo Nascimento Porto"/>
            <filter val="Lucas Ferreira"/>
            <filter val="Lucas Oliveira"/>
            <filter val="Luis Felipe"/>
            <filter val="Marcelo Franciscon"/>
            <filter val="Marcos Serra"/>
            <filter val="Marcus Macedo"/>
            <filter val="Mariana Rocha"/>
            <filter val="Norton Jr"/>
            <filter val="Pamara Rosa"/>
            <filter val="Paula Bonfim"/>
            <filter val="Paula Lemos"/>
            <filter val="Rafael Guedes"/>
            <filter val="Rafaela Souza"/>
            <filter val="Raoni Costa"/>
            <filter val="Thais Helena"/>
            <filter val="thiago Canabrava"/>
            <filter val="Valeria Viana"/>
            <filter val="Victor Hugo Laurentino"/>
            <filter val="Vitor Pedrazzi"/>
          </filters>
        </filterColumn>
      </autoFilter>
    </customSheetView>
    <customSheetView guid="{1E3418C5-BE5C-4169-B722-868C56F47867}" filter="1" showAutoFilter="1">
      <pageMargins left="0" right="0" top="0" bottom="0" header="0" footer="0"/>
      <autoFilter ref="A2:AU1084" xr:uid="{8DB7C233-0450-405D-A664-05A1F93A2B27}">
        <filterColumn colId="7">
          <filters>
            <filter val="Encerrado"/>
            <filter val="Pode Operar"/>
          </filters>
        </filterColumn>
        <filterColumn colId="17">
          <filters>
            <filter val="A conta 008411505 foi encerrada a pedido dos clientes, que desejaram alterar o titular. Como solicitado, a conta 008458289 foi aberta."/>
            <filter val="Aguardando resposta do FA / Troca de Assessoria de Thiago Canbrava para Matheus Vilar"/>
            <filter val="Alteração dde carteira finalizada (09/09/2025)"/>
            <filter val="Alteração de carteira finalizada (01/03/2024)/ STVM Interna de saída para a conta 005161568"/>
            <filter val="Alteração de carteira finalizada (02/04/2024)"/>
            <filter val="Alteração de carteira finalizada (02/10/2024)"/>
            <filter val="Alteração de carteira finalizada (03/10/2023)"/>
            <filter val="Alteração de carteira finalizada (03/10/2024) / Diatrao unilateral"/>
            <filter val="Alteração de carteira finalizada (04/11/2024)"/>
            <filter val="Alteração de carteira finalizada (04/11/2025)"/>
            <filter val="Alteração de carteira finalizada (05/02/2024)"/>
            <filter val="Alteração de carteira finalizada (05/03/2024)"/>
            <filter val="Alteração de carteira finalizada (06/02/2025)"/>
            <filter val="Alteração de carteira finalizada (06/05/2025)"/>
            <filter val="Alteração de carteira finalizada (06/06/2025)"/>
            <filter val="Alteração de carteira finalizada (06/10/2023)"/>
            <filter val="Alteração de carteira finalizada (07/12/2023)"/>
            <filter val="Alteração de carteira finalizada (08/12/2025)"/>
            <filter val="Alteração de carteira finalizada (09/08/2024)"/>
            <filter val="Alteração de carteira finalizada (09/11/2023)"/>
            <filter val="Alteração de carteira finalizada (09/12/2024)"/>
            <filter val="Alteração de carteira finalizada (10/02/2025)"/>
            <filter val="Alteração de carteira finalizada (12/08/2025)"/>
            <filter val="Alteração de carteira finalizada (12/11/2025)"/>
            <filter val="Alteração de carteira finalizada (13/02/2025)"/>
            <filter val="Alteração de carteira finalizada (13/05/2024)"/>
            <filter val="Alteração de carteira finalizada (13/05/2025)"/>
            <filter val="Alteração de carteira finalizada (13/11/2023)"/>
            <filter val="Alteração de carteira finalizada (14/04/2025)"/>
            <filter val="Alteração de carteira finalizada (14/07/2023)"/>
            <filter val="Alteração de carteira finalizada (14/11/2025)"/>
            <filter val="Alteração de carteira finalizada (15/02/2024)"/>
            <filter val="Alteração de carteira finalizada (15/03/2024)"/>
            <filter val="Alteração de Carteira finalizada (15/09/2025)"/>
            <filter val="Alteração de carteira finalizada (17/01/2024)"/>
            <filter val="Alteração de carteira finalizada (17/06/2024)"/>
            <filter val="Alteração de carteira finalizada (17/07/2025)"/>
            <filter val="Alteração de carteira finalizada (17/11/2025)"/>
            <filter val="Alteração de carteira finalizada (17/12/2024)"/>
            <filter val="Alteração de carteira finalizada (20/01//2025)"/>
            <filter val="Alteração de carteira finalizada (20/01/2025)"/>
            <filter val="Alteração de carteira finalizada (21/10/2024)"/>
            <filter val="Alteração de carteira finalizada (22/07/2024)"/>
            <filter val="Alteração de carteira finalizada (23/10/2023)"/>
            <filter val="Alteração de carteira finalizada (24/01/2024)"/>
            <filter val="Alteração de carteira finalizada (24/07/2023)"/>
            <filter val="Alteração de carteira finalizada (25/09/2025)"/>
            <filter val="Alteração de carteira finalizada (26/02/2024)"/>
            <filter val="Alteração de carteira finalizada (26/11/2024)"/>
            <filter val="Alteração de carteira finalizada (27/03/2024)"/>
            <filter val="Alteração de carteira finalizada (27/06/2024)"/>
            <filter val="Alteração de carteira finalizada (27/07/2023)"/>
            <filter val="Alteração de carteira finalizada (27/11/2023)"/>
            <filter val="Alteração de carteira finalizada (29/01/2024)"/>
            <filter val="Alteração de carteira finalizada. (25/09/2025)"/>
            <filter val="Alterado a conta de N° 003836362 (sem saldo) / Alteração de carteira finalizada (18/04/2024)"/>
            <filter val="Aporte acontecerá em breve"/>
            <filter val="Carteira Conservadora 80/20 - PL acima de R$ 2.000.000,00, de forma que se o cliente resgatar a taxa retorne automático para 1,2%a.a., sem necessidade de novo contrato."/>
            <filter val="Cliente desistiu de migrar recurso aguardando FA sobre migração"/>
            <filter val="Cliente deve voltar em 2024"/>
            <filter val="Cliente faleceu"/>
            <filter val="Cliente retornou a base com novo contrato (29/08/2025)"/>
            <filter val="Cliente retornou para a base dia 10/10/2024"/>
            <filter val="Cliente retornou para a base dia 21/10/2024 sob nova carteira"/>
            <filter val="Cliente saiu da base"/>
            <filter val="Cliente saiu da base (18/09/2024)"/>
            <filter val="Cliente saiu da base dia 22/10/2024 retornou sob nova carteira dia 19/11/2024 / Alteração de carteira finalizada (30/01/2025)"/>
            <filter val="Cliente sofreu tentativa de fraude - qualquer alteração em seu cadastro ou movimentação na conta entrar em contato com o FA/Cliente para confirmação."/>
            <filter val="Cliente solicitou distrato"/>
            <filter val="Cliente solicitou distrato (19/08/2024)"/>
            <filter val="Cliente solicitou distrato (20/06/2024)"/>
            <filter val="Cliente solicitou distrato 23/05/2024"/>
            <filter val="Cliente solicitou distrato dia 25/04/2023"/>
            <filter val="Cliente solicitou o distrato (04/09/2023)"/>
            <filter val="Cliente solicitou o distrato (08/08/2024)"/>
            <filter val="Cliente solicitou o distrato dia 30/08/2023"/>
            <filter val="Cliente solicitou troca de assessoria"/>
            <filter val="Cliente solicitou troca de assessoria (08/08/2024)"/>
            <filter val="Cliente solicitou troca de assessoria (17/07/2024)"/>
            <filter val="Cliente solicitou troca de assessoria (30/07/2024)"/>
            <filter val="Cliente solicitou troca de assessortia (16/07/2024)"/>
            <filter val="Cliente sumiu da base"/>
            <filter val="Cliente sumiu da base (06/05/2024)"/>
            <filter val="Cliente sumiu da base 05/03/2024"/>
            <filter val="Cliente vai resgatar sozinho/ Troca de Assessoria de Thiago Canbrava para Matheus Vilar"/>
            <filter val="Conta à ser encerrada, aguardando recebimentos de dividendo para 2025"/>
            <filter val="Conta criada sem necessidade (17/06/2024)"/>
            <filter val="Conta da filha do cliente Pedro Guilherme Ramos Goya"/>
            <filter val="Conta será encerrada"/>
            <filter val="Distrati unilateral"/>
            <filter val="Distrato solicitado dia 20/06/2024"/>
            <filter val="Distrato unilatera"/>
            <filter val="Distrato Unilateral"/>
            <filter val="Distrato unilateral."/>
            <filter val="Em processo de STVM"/>
            <filter val="Esperando os rendimentos que vecem em 10/24 para transferir o saldo para a outra conta."/>
            <filter val="Está em processo de portabilidade dos recursos do safra para o Bluemetrix."/>
            <filter val="Está em processo de transferência dos recursos"/>
            <filter val="Fez o resgate para compra de imóvel, em breve deve voltar a fazer aportes."/>
            <filter val="Incluir contas bancárias enviadas no e-mail &quot;Cadastro de conta de Origem&quot;"/>
            <filter val="Manter conta ativa para possivél retorno do cliente"/>
            <filter val="Monitoramento  p/ envio de ativos da conta principal que estão fora da estrategia"/>
            <filter val="Não apagar observação: Troca de assessor 01/12/2023 - Antigo: Conquest - Juliana Abreu"/>
            <filter val="PL acima de R$ 2.000.000,00, de forma que se o cliente resgatar a taxa retorne automático para 1,2%a.a., sem necessidade de novo contrato. STVM interna finalizada (05/06/2024)"/>
            <filter val="Possível aporte 2024"/>
            <filter val="Possivel retorno futuro"/>
            <filter val="Possivel retorno futuro."/>
            <filter val="Possui duas contas, breve de aportar recursos nesta"/>
            <filter val="Pretende fazer aportes futuros"/>
            <filter val="Primeira conta 004794805 viculada por erro do FA."/>
            <filter val="Sem pagamento de taxa para assessores"/>
            <filter val="Solicitou resgate total dia 08/03/2024 / Distrato unilateral"/>
            <filter val="STVM de entrada da Guide finalizada (01/09/2023)"/>
            <filter val="STVM de entrada da Guide finalizada (02/08/2023)"/>
            <filter val="STVM de entrada da Guide finalizada (02/10/2023)"/>
            <filter val="STVM de entrada da Guide finalizada (02/10/2023) / Alteração de carteira finalizada (15/09/2023)"/>
            <filter val="STVM de entrada da Guide finalizada (03/01/2024)"/>
            <filter val="STVM de entrada da Guide finalizada (03/09/2023)"/>
            <filter val="STVM de entrada da Guide finalizada (04/09/2023)"/>
            <filter val="STVM de entrada da Guide finalizada (05/09/2023)"/>
            <filter val="STVM de entrada da Guide finalizada (06/11/2023) / Alteração de carteira finalizada (05/08/2024)"/>
            <filter val="STVM de entrada da Guide finalizada (06/12/2023) / Alteração de carteira finalizada (22/12/2023)"/>
            <filter val="STVM de entrada da Guide finalizada (08/09/2023)"/>
            <filter val="STVM de entrada da Guide finalizada (09/10/2023) / Alteração de carteira finalizada (21/01/2025)"/>
            <filter val="STVM de entrada da Guide finalizada (10/01/2024) / Alteração de carteira finalizada (20/01/2025)"/>
            <filter val="STVM de entrada da Guide finalizada (10/09/2023)"/>
            <filter val="STVM de entrada da Guide finalizada (10/10/2023)"/>
            <filter val="STVM de entrada da Guide finalizada (13/07/2023) / Alteração de carteira finalizada (21/01/2025)"/>
            <filter val="STVM de entrada da Guide finalizada (13/09/2023) / Alteração de carteira finalizada (01/03/2024)"/>
            <filter val="STVM de entrada da Guide finalizada (13/09/2023) / Alteração de carteira finalizada (22/12/2023)"/>
            <filter val="STVM de entrada da Guide finalizada (13/11/2023) Alteração de carteira finalizada (26/11/2024)"/>
            <filter val="STVM de entrada da Guide finalizada (15/12/2023)"/>
            <filter val="STVM de entrada da Guide finalizada (19/12/2023)"/>
            <filter val="STVM de entrada da Guide finalizada (21/09/2023)"/>
            <filter val="STVM de entrada da Guide finalizada (27/12/2023) / Portabilidade de fundo a ser finalizada"/>
            <filter val="STVM de entrada da Guide finalizada (28/09/2023)"/>
            <filter val="STVM de entrada da Guide finalizada (30/08/2023)"/>
            <filter val="STVM de entrada da Guide finalizada (30/10/2023) / Alteração de carteira finalizada (14/06/2024)"/>
            <filter val="STVM de entrada da Órama finalizada (11/01/2024)"/>
            <filter val="STVM de entrada finalizada (28/05/2024)"/>
            <filter val="STVM de saída para XP finalizada (04/09/2023)"/>
            <filter val="STVM de saída para XP finalizada (11/01/2024)"/>
            <filter val="STVM de saída para XP finalizada (22/02/2024)"/>
            <filter val="STVM de saída para XP finalizada (29/08/2023)"/>
            <filter val="STVM de saída para XP finalizada (31/01/2024)"/>
            <filter val="STVM de saída para XP iniciada (13/05/2024)"/>
            <filter val="STVM de saída para XP iniciada (25/06/2024) Cliente sumiu da base"/>
            <filter val="STVM Interna de entrada da conta 004254210"/>
            <filter val="STVM Interna finalizada (01/07/2024)"/>
            <filter val="STVM interna finalizada (08/01/2024) / Conta será encerrada após valor em trânsito cair"/>
            <filter val="STVM interna finalizada (12/03/2024)"/>
            <filter val="STVM interna finalizada (18/07/2024)"/>
            <filter val="STVM interna finalizada (19/03/2024) Cliente solicitou distrato 19/07/2024"/>
            <filter val="STVM interna finalizada (19/07/2024)"/>
            <filter val="STVM interna finalizada (25/01/2024)"/>
            <filter val="STVM interna finalizada (27/02/2024)"/>
            <filter val="STVM interna finalizada (27/02/2024) / Alteração de carteira Finalizada (11/03/2024)"/>
            <filter val="STVM interna finalizada (28/09/2023)"/>
            <filter val="Taxa de gestão a ser enviada para a Guide devido a erro operacional na XP"/>
            <filter val="Taxa de performance negociada para reduzir 0.2% a cada novo milhão investido, reduzindo até 1.9%"/>
            <filter val="Thiago Canabrava solicitou a alt. do stts da conta para inativo dia 15/01/2024"/>
            <filter val="Tirar da base (06/06/2024)"/>
            <filter val="Troca de Assessoria de Thiago Canabrava para Matheus Vilar"/>
            <filter val="Troca de Assessoria de Thiago Canbrava para Guilherme dos Santos"/>
            <filter val="Troca de Assessoria de Thiago Canbrava para Guilherme dos Santos / Resgate total da carteira (04/04/2024)"/>
            <filter val="Troca de Assessoria de Thiago Canbrava para Matheus Vilar"/>
            <filter val="Troca de carteira para RF Ativo"/>
            <filter val="Trocou de assessor de Rodolfo Gomes para Pedro Paulo em 04/04/2023"/>
            <filter val="Trocou de assessor de Thiago Canabrava para Gabriel Raydan em 03/02/2023"/>
          </filters>
        </filterColumn>
      </autoFilter>
    </customSheetView>
    <customSheetView guid="{45E1B251-B47C-4880-A24C-DFF311DFB6BE}" filter="1" showAutoFilter="1">
      <pageMargins left="0" right="0" top="0" bottom="0" header="0" footer="0"/>
      <autoFilter ref="B2:AO1088" xr:uid="{482535A6-7C3A-484E-B275-58BEC32774CC}"/>
    </customSheetView>
    <customSheetView guid="{8D24973A-3DD4-4A65-81AA-4A3A5E1B8097}" filter="1" showAutoFilter="1">
      <pageMargins left="0" right="0" top="0" bottom="0" header="0" footer="0"/>
      <autoFilter ref="A1:AU1084" xr:uid="{B7CF4086-5B76-4294-9040-900ACC314827}"/>
    </customSheetView>
    <customSheetView guid="{4E4B428C-7B14-45A5-8B2C-221969AE8FFF}" filter="1" showAutoFilter="1">
      <pageMargins left="0" right="0" top="0" bottom="0" header="0" footer="0"/>
      <autoFilter ref="A1:AV1084" xr:uid="{E529B735-BAAB-4697-8488-3E175AD3F384}">
        <filterColumn colId="7">
          <filters>
            <filter val="Status"/>
            <filter val="Pode Operar"/>
          </filters>
        </filterColumn>
        <filterColumn colId="8">
          <filters>
            <filter val="Resgate Total"/>
            <filter val="STVM Saída"/>
            <filter val="Troca de Assessoria"/>
          </filters>
        </filterColumn>
      </autoFilter>
    </customSheetView>
    <customSheetView guid="{F2B8A4F9-E4F8-4ED0-A21F-30A975482C04}" filter="1" showAutoFilter="1">
      <pageMargins left="0" right="0" top="0" bottom="0" header="0" footer="0"/>
      <autoFilter ref="A2:AT1084" xr:uid="{D1F0BEA9-27A2-47F2-A942-EF7176FB0C87}">
        <filterColumn colId="7">
          <filters>
            <filter val="Encerrado"/>
          </filters>
        </filterColumn>
        <filterColumn colId="10">
          <filters>
            <filter val="01/02/2023"/>
            <filter val="01/03/2023"/>
            <filter val="01/04/2024"/>
            <filter val="01/04/2025"/>
            <filter val="01/07/2024"/>
            <filter val="01/07/2025"/>
            <filter val="01/08/2023"/>
            <filter val="01/08/2025"/>
            <filter val="01/09/2023"/>
            <filter val="01/10/2024"/>
            <filter val="01/12/2022"/>
            <filter val="01/12/2023"/>
            <filter val="01/12/2025"/>
            <filter val="02/01/2023"/>
            <filter val="02/01/2024"/>
            <filter val="02/01/2025"/>
            <filter val="02/02/2023"/>
            <filter val="02/03/2023"/>
            <filter val="02/05/2023"/>
            <filter val="02/05/2024"/>
            <filter val="02/06/2025"/>
            <filter val="02/07/2024"/>
            <filter val="02/08/2023"/>
            <filter val="02/08/2024"/>
            <filter val="02/09/2025"/>
            <filter val="02/10/2023"/>
            <filter val="03/01/2023"/>
            <filter val="03/02/2023"/>
            <filter val="03/02/2025"/>
            <filter val="03/03/2023"/>
            <filter val="03/04/2024"/>
            <filter val="03/04/2025"/>
            <filter val="03/05/2023"/>
            <filter val="03/05/2024"/>
            <filter val="03/06/2024"/>
            <filter val="03/06/2025"/>
            <filter val="03/07/2024"/>
            <filter val="03/07/2025"/>
            <filter val="03/08/2023"/>
            <filter val="03/10/2023"/>
            <filter val="03/10/2024"/>
            <filter val="03/11/2023"/>
            <filter val="03/11/2025"/>
            <filter val="04/02/2025"/>
            <filter val="04/03/2024"/>
            <filter val="04/04/2023"/>
            <filter val="04/04/2024"/>
            <filter val="04/06/2024"/>
            <filter val="04/06/2025"/>
            <filter val="04/07/2023"/>
            <filter val="04/08/2023"/>
            <filter val="04/09/2023"/>
            <filter val="04/09/2024"/>
            <filter val="04/09/2025"/>
            <filter val="04/10/2023"/>
            <filter val="04/11/2024"/>
            <filter val="04/12/2023"/>
            <filter val="04/12/2024"/>
            <filter val="04/12/2025"/>
            <filter val="05/01/2023"/>
            <filter val="05/01/2024"/>
            <filter val="05/01/2026"/>
            <filter val="05/02/2024"/>
            <filter val="05/02/2025"/>
            <filter val="05/03/2024"/>
            <filter val="05/04/2023"/>
            <filter val="05/04/2024"/>
            <filter val="05/05/2023"/>
            <filter val="05/05/2025"/>
            <filter val="05/06/2023"/>
            <filter val="05/06/2024"/>
            <filter val="05/09/2023"/>
            <filter val="05/10/2023"/>
            <filter val="05/11/2025"/>
            <filter val="05/12/2023"/>
            <filter val="06/01/2023"/>
            <filter val="06/01/2026"/>
            <filter val="06/02/2024"/>
            <filter val="06/02/2025"/>
            <filter val="06/03/2023"/>
            <filter val="06/03/2024"/>
            <filter val="06/04/2023"/>
            <filter val="06/05/2024"/>
            <filter val="06/06/2023"/>
            <filter val="06/06/2024"/>
            <filter val="06/06/2025"/>
            <filter val="06/07/2023"/>
            <filter val="06/09/2023"/>
            <filter val="06/11/2023"/>
            <filter val="06/11/2024"/>
            <filter val="06/12/2023"/>
            <filter val="07/02/2023"/>
            <filter val="07/02/2025"/>
            <filter val="07/03/2023"/>
            <filter val="07/04/2025"/>
            <filter val="07/05/2024"/>
            <filter val="07/05/2025"/>
            <filter val="07/06/2024"/>
            <filter val="07/07/2025"/>
            <filter val="07/08/2023"/>
            <filter val="07/10/2024"/>
            <filter val="07/11/2024"/>
            <filter val="07/11/2025"/>
            <filter val="07/12/2023"/>
            <filter val="08/01/2025"/>
            <filter val="08/01/2026"/>
            <filter val="08/02/2023"/>
            <filter val="08/02/2024"/>
            <filter val="08/03/2023"/>
            <filter val="08/03/2024"/>
            <filter val="08/04/2024"/>
            <filter val="08/04/2025"/>
            <filter val="08/05/2025"/>
            <filter val="08/07/2025"/>
            <filter val="08/09/2023"/>
            <filter val="08/10/2024"/>
            <filter val="08/10/2025"/>
            <filter val="08/11/2023"/>
            <filter val="08/11/2024"/>
            <filter val="08/12/2022"/>
            <filter val="08/12/2023"/>
            <filter val="09/01/2023"/>
            <filter val="09/01/2025"/>
            <filter val="09/02/2023"/>
            <filter val="09/02/2024"/>
            <filter val="09/03/2023"/>
            <filter val="09/04/2024"/>
            <filter val="09/04/2025"/>
            <filter val="09/05/2024"/>
            <filter val="09/06/2023"/>
            <filter val="09/08/2024"/>
            <filter val="09/09/2024"/>
            <filter val="09/09/2025"/>
            <filter val="09/10/2023"/>
            <filter val="09/10/2024"/>
            <filter val="09/11/2022"/>
            <filter val="10/01/2023"/>
            <filter val="10/01/2024"/>
            <filter val="10/02/2025"/>
            <filter val="10/03/2023"/>
            <filter val="10/03/2025"/>
            <filter val="10/04/2023"/>
            <filter val="10/04/2024"/>
            <filter val="10/04/2025"/>
            <filter val="10/05/2023"/>
            <filter val="10/05/2024"/>
            <filter val="10/06/2024"/>
            <filter val="10/07/2023"/>
            <filter val="10/07/2024"/>
            <filter val="10/07/2025"/>
            <filter val="10/08/2023"/>
            <filter val="10/09/2024"/>
            <filter val="10/09/2025"/>
            <filter val="10/10/2023"/>
            <filter val="10/10/2024"/>
            <filter val="10/10/2025"/>
            <filter val="10/11/2023"/>
            <filter val="10/12/2024"/>
            <filter val="10/12/2025"/>
            <filter val="11/02/2025"/>
            <filter val="11/03/2023"/>
            <filter val="11/03/2024"/>
            <filter val="11/04/2023"/>
            <filter val="11/04/2024"/>
            <filter val="11/06/2024"/>
            <filter val="11/06/2025"/>
            <filter val="11/07/2023"/>
            <filter val="11/08/2023"/>
            <filter val="11/08/2025"/>
            <filter val="11/09/2023"/>
            <filter val="11/09/2024"/>
            <filter val="11/10/2023"/>
            <filter val="11/10/2024"/>
            <filter val="11/11/2024"/>
            <filter val="11/12/2023"/>
            <filter val="11/12/2024"/>
            <filter val="11/12/2025"/>
            <filter val="12/01/2023"/>
            <filter val="12/02/2025"/>
            <filter val="12/03/2024"/>
            <filter val="12/03/2025"/>
            <filter val="12/04/2023"/>
            <filter val="12/05/2023"/>
            <filter val="12/06/2023"/>
            <filter val="12/06/2024"/>
            <filter val="12/08/2024"/>
            <filter val="12/09/2024"/>
            <filter val="12/12/2022"/>
            <filter val="12/12/2024"/>
            <filter val="12/12/2025"/>
            <filter val="13/01/2025"/>
            <filter val="13/01/2026"/>
            <filter val="13/02/2023"/>
            <filter val="13/02/2025"/>
            <filter val="13/03/2023"/>
            <filter val="13/03/2024"/>
            <filter val="13/03/2025"/>
            <filter val="13/04/2023"/>
            <filter val="13/05/2025"/>
            <filter val="13/06/2023"/>
            <filter val="13/06/2024"/>
            <filter val="13/07/2023"/>
            <filter val="13/09/2023"/>
            <filter val="13/09/2024"/>
            <filter val="13/10/2023"/>
            <filter val="13/11/2025"/>
            <filter val="13/12/2022"/>
            <filter val="13/12/2024"/>
            <filter val="14/02/2023"/>
            <filter val="14/03/2023"/>
            <filter val="14/03/2024"/>
            <filter val="14/03/2025"/>
            <filter val="14/04/2023"/>
            <filter val="14/05/2024"/>
            <filter val="14/06/2023"/>
            <filter val="14/06/2024"/>
            <filter val="14/07/2023"/>
            <filter val="14/07/2025"/>
            <filter val="14/08/2024"/>
            <filter val="14/09/2023"/>
            <filter val="14/10/2024"/>
            <filter val="14/11/2022"/>
            <filter val="14/11/2023"/>
            <filter val="14/11/2024"/>
            <filter val="14/12/2022"/>
            <filter val="15/01/2024"/>
            <filter val="15/01/2025"/>
            <filter val="15/02/2022"/>
            <filter val="15/02/2023"/>
            <filter val="15/02/2024"/>
            <filter val="15/03/2023"/>
            <filter val="15/05/2023"/>
            <filter val="15/05/2024"/>
            <filter val="15/06/2023"/>
            <filter val="15/07/2024"/>
            <filter val="15/08/2023"/>
            <filter val="15/08/2024"/>
            <filter val="15/09/2023"/>
            <filter val="15/09/2025"/>
            <filter val="15/10/2024"/>
            <filter val="15/10/2025"/>
            <filter val="15/12/2022"/>
            <filter val="16/01/2025"/>
            <filter val="16/02/2023"/>
            <filter val="16/02/2024"/>
            <filter val="16/03/2023"/>
            <filter val="16/04/2024"/>
            <filter val="16/05/2023"/>
            <filter val="16/06/2023"/>
            <filter val="16/06/2025"/>
            <filter val="16/07/2025"/>
            <filter val="16/08/2024"/>
            <filter val="16/09/2024"/>
            <filter val="16/09/2025"/>
            <filter val="16/11/2023"/>
            <filter val="16/12/2022"/>
            <filter val="16/12/2024"/>
            <filter val="16/12/2025"/>
            <filter val="17/01/2023"/>
            <filter val="17/01/2024"/>
            <filter val="17/02/2023"/>
            <filter val="17/02/2025"/>
            <filter val="17/03/2023"/>
            <filter val="17/03/2025"/>
            <filter val="17/04/2023"/>
            <filter val="17/04/2025"/>
            <filter val="17/05/2023"/>
            <filter val="17/06/2024"/>
            <filter val="17/06/2025"/>
            <filter val="17/07/2023"/>
            <filter val="17/07/2024"/>
            <filter val="17/08/2023"/>
            <filter val="17/09/2024"/>
            <filter val="17/09/2025"/>
            <filter val="17/10/2024"/>
            <filter val="17/11/2023"/>
            <filter val="18/01/2023"/>
            <filter val="18/01/2024"/>
            <filter val="18/02/2025"/>
            <filter val="18/03/2024"/>
            <filter val="18/04/2023"/>
            <filter val="18/05/2023"/>
            <filter val="18/06/2024"/>
            <filter val="18/06/2025"/>
            <filter val="18/07/2023"/>
            <filter val="18/08/2023"/>
            <filter val="18/09/2023"/>
            <filter val="18/09/2025"/>
            <filter val="18/10/2023"/>
            <filter val="18/11/2024"/>
            <filter val="18/12/2022"/>
            <filter val="18/12/2023"/>
            <filter val="18/12/2024"/>
            <filter val="18/12/2025"/>
            <filter val="19/01/2023"/>
            <filter val="19/02/2024"/>
            <filter val="19/03/2024"/>
            <filter val="19/04/2023"/>
            <filter val="19/04/2024"/>
            <filter val="19/05/2023"/>
            <filter val="19/06/2023"/>
            <filter val="19/06/2024"/>
            <filter val="19/07/2023"/>
            <filter val="19/08/2024"/>
            <filter val="19/09/2023"/>
            <filter val="19/10/2023"/>
            <filter val="19/11/2024"/>
            <filter val="19/12/2022"/>
            <filter val="19/12/2023"/>
            <filter val="19/12/2024"/>
            <filter val="19/12/2025"/>
            <filter val="20/01/2023"/>
            <filter val="20/01/2025"/>
            <filter val="20/02/2023"/>
            <filter val="20/02/2025"/>
            <filter val="20/03/2023"/>
            <filter val="20/03/2024"/>
            <filter val="20/03/2025"/>
            <filter val="20/04/2023"/>
            <filter val="20/05/2024"/>
            <filter val="20/06/2023"/>
            <filter val="20/06/2024"/>
            <filter val="20/06/2025"/>
            <filter val="20/07/2023"/>
            <filter val="20/08/2023"/>
            <filter val="20/09/2023"/>
            <filter val="20/10/2023"/>
            <filter val="20/10/2025"/>
            <filter val="20/11/2023"/>
            <filter val="20/12/2023"/>
            <filter val="20/12/2024"/>
            <filter val="21/02/2024"/>
            <filter val="21/02/2025"/>
            <filter val="21/03/2023"/>
            <filter val="21/05/2025"/>
            <filter val="21/06/2023"/>
            <filter val="21/06/2024"/>
            <filter val="21/07/2023"/>
            <filter val="21/08/2023"/>
            <filter val="21/08/2025"/>
            <filter val="21/09/2023"/>
            <filter val="21/10/2024"/>
            <filter val="21/10/2025"/>
            <filter val="21/11/2024"/>
            <filter val="21/11/2025"/>
            <filter val="21/12/2022"/>
            <filter val="21/12/2023"/>
            <filter val="22/01/2024"/>
            <filter val="22/02/2023"/>
            <filter val="22/02/2024"/>
            <filter val="22/03/2023"/>
            <filter val="22/03/2024"/>
            <filter val="22/05/2023"/>
            <filter val="22/06/2023"/>
            <filter val="22/07/2024"/>
            <filter val="22/08/2023"/>
            <filter val="22/09/2023"/>
            <filter val="22/10/2024"/>
            <filter val="22/10/2025"/>
            <filter val="22/11/2022"/>
            <filter val="22/11/2023"/>
            <filter val="22/12/2022"/>
            <filter val="22/12/2023"/>
            <filter val="22/12/2025"/>
            <filter val="23/01/2023"/>
            <filter val="23/01/2024"/>
            <filter val="23/02/2023"/>
            <filter val="23/02/2024"/>
            <filter val="23/03/2023"/>
            <filter val="23/04/2024"/>
            <filter val="23/05/2023"/>
            <filter val="23/05/2025"/>
            <filter val="23/06/2023"/>
            <filter val="23/07/2025"/>
            <filter val="23/09/2024"/>
            <filter val="23/09/2025"/>
            <filter val="23/10/2023"/>
            <filter val="23/11/2022"/>
            <filter val="23/11/2023"/>
            <filter val="23/12/2025"/>
            <filter val="24/01/2023"/>
            <filter val="24/01/2024"/>
            <filter val="24/01/2025"/>
            <filter val="24/02/2023"/>
            <filter val="24/03/2023"/>
            <filter val="24/04/2023"/>
            <filter val="24/04/2025"/>
            <filter val="24/05/2023"/>
            <filter val="24/06/2024"/>
            <filter val="24/06/2025"/>
            <filter val="24/07/2023"/>
            <filter val="24/08/2023"/>
            <filter val="24/09/2025"/>
            <filter val="24/10/2023"/>
            <filter val="24/11/2023"/>
            <filter val="24/11/2025"/>
            <filter val="25/01/2023"/>
            <filter val="25/02/2025"/>
            <filter val="25/03/2024"/>
            <filter val="25/03/2025"/>
            <filter val="25/04/2023"/>
            <filter val="25/04/2024"/>
            <filter val="25/04/2025"/>
            <filter val="25/05/2023"/>
            <filter val="25/06/2024"/>
            <filter val="25/07/2023"/>
            <filter val="25/07/2024"/>
            <filter val="25/08/2023"/>
            <filter val="25/08/2025"/>
            <filter val="25/09/2024"/>
            <filter val="25/09/2025"/>
            <filter val="25/11/2023"/>
            <filter val="26/01/2023"/>
            <filter val="26/02/2024"/>
            <filter val="26/03/2024"/>
            <filter val="26/03/2025"/>
            <filter val="26/04/2023"/>
            <filter val="26/04/2024"/>
            <filter val="26/06/2023"/>
            <filter val="26/06/2024"/>
            <filter val="26/07/2023"/>
            <filter val="26/09/2025"/>
            <filter val="26/10/2023"/>
            <filter val="26/12/2022"/>
            <filter val="26/12/2024"/>
            <filter val="27/01/2023"/>
            <filter val="27/02/2024"/>
            <filter val="27/03/2023"/>
            <filter val="27/03/2025"/>
            <filter val="27/04/2023"/>
            <filter val="27/05/2024"/>
            <filter val="27/06/2023"/>
            <filter val="27/06/2024"/>
            <filter val="27/06/2025"/>
            <filter val="27/07/2023"/>
            <filter val="27/08/2025"/>
            <filter val="27/09/2023"/>
            <filter val="27/09/2024"/>
            <filter val="27/10/2023"/>
            <filter val="27/10/2025"/>
            <filter val="27/11/2023"/>
            <filter val="27/11/2024"/>
            <filter val="28/01/2025"/>
            <filter val="28/02/2023"/>
            <filter val="28/02/2024"/>
            <filter val="28/02/2025"/>
            <filter val="28/03/2023"/>
            <filter val="28/05/2024"/>
            <filter val="28/06/2023"/>
            <filter val="28/07/2023"/>
            <filter val="28/08/2023"/>
            <filter val="28/09/2023"/>
            <filter val="28/11/2022"/>
            <filter val="29/01/2023"/>
            <filter val="29/03/2023"/>
            <filter val="29/05/2023"/>
            <filter val="29/05/2024"/>
            <filter val="29/05/2025"/>
            <filter val="29/06/2023"/>
            <filter val="29/08/2025"/>
            <filter val="29/09/2023"/>
            <filter val="29/11/2022"/>
            <filter val="29/11/2023"/>
            <filter val="29/11/2024"/>
            <filter val="29/12/2022"/>
            <filter val="29/12/2025"/>
            <filter val="30/01/2023"/>
            <filter val="30/01/2024"/>
            <filter val="30/03/2023"/>
            <filter val="30/04/2024"/>
            <filter val="30/04/2025"/>
            <filter val="30/05/2023"/>
            <filter val="30/05/2025"/>
            <filter val="30/06/2023"/>
            <filter val="30/07/2024"/>
            <filter val="30/08/2023"/>
            <filter val="30/09/2024"/>
            <filter val="30/10/2023"/>
            <filter val="30/10/2025"/>
            <filter val="30/11/2022"/>
            <filter val="30/11/2023"/>
            <filter val="31/01/2023"/>
            <filter val="31/01/2024"/>
            <filter val="31/01/2025"/>
            <filter val="31/03/2023"/>
            <filter val="31/05/2023"/>
            <filter val="31/07/2024"/>
            <filter val="31/07/2025"/>
            <filter val="31/10/2023"/>
            <filter val="31/10/2025"/>
          </filters>
        </filterColumn>
      </autoFilter>
    </customSheetView>
    <customSheetView guid="{20EDE9E2-012B-4D94-BBFB-E727994B300D}" filter="1" showAutoFilter="1">
      <pageMargins left="0" right="0" top="0" bottom="0" header="0" footer="0"/>
      <autoFilter ref="F2:M1093" xr:uid="{B238F255-848C-4E1E-8973-C9EAE183C519}"/>
    </customSheetView>
    <customSheetView guid="{A38DF138-839A-4A1C-BC46-D2DEF970C3D5}" filter="1" showAutoFilter="1">
      <pageMargins left="0" right="0" top="0" bottom="0" header="0" footer="0"/>
      <autoFilter ref="A2:AU1084" xr:uid="{9674F019-DF83-43B0-A166-51897CF50DE3}">
        <filterColumn colId="7">
          <filters>
            <filter val="Inativo"/>
          </filters>
        </filterColumn>
        <filterColumn colId="39">
          <filters blank="1">
            <filter val="R$ 0.00"/>
            <filter val="R$ 0.01"/>
            <filter val="R$ 1,008,445.97"/>
            <filter val="R$ 1,019.44"/>
            <filter val="R$ 1,031.59"/>
            <filter val="R$ 1,063,288.17"/>
            <filter val="R$ 1,065,696.25"/>
            <filter val="R$ 1,092,925.25"/>
            <filter val="R$ 1,093,084.04"/>
            <filter val="R$ 1,096,279.87"/>
            <filter val="R$ 1,108,291.77"/>
            <filter val="R$ 1,154,904.36"/>
            <filter val="R$ 1,167,395.63"/>
            <filter val="R$ 1,171,602.83"/>
            <filter val="R$ 1,175,009.74"/>
            <filter val="R$ 1,248,592.63"/>
            <filter val="R$ 1,273,091.45"/>
            <filter val="R$ 1,303,880.50"/>
            <filter val="R$ 1,306,782.92"/>
            <filter val="R$ 1,311,380.19"/>
            <filter val="R$ 1,318,217.79"/>
            <filter val="R$ 1,320,623.24"/>
            <filter val="R$ 1,337,693.54"/>
            <filter val="R$ 1,402,232.72"/>
            <filter val="R$ 1,410,022.14"/>
            <filter val="R$ 1,453,747.79"/>
            <filter val="R$ 1,491,823.87"/>
            <filter val="R$ 1,560,140.11"/>
            <filter val="R$ 1,637,940.49"/>
            <filter val="R$ 1,683,033.97"/>
            <filter val="R$ 1,715,562.20"/>
            <filter val="R$ 1,735,162.85"/>
            <filter val="R$ 1,781,611.74"/>
            <filter val="R$ 1,903,309.48"/>
            <filter val="R$ 1,913,063.17"/>
            <filter val="R$ 10,046.26"/>
            <filter val="R$ 10,052.23"/>
            <filter val="R$ 10,216.79"/>
            <filter val="R$ 100,410.67"/>
            <filter val="R$ 100,855.31"/>
            <filter val="R$ 101,414.15"/>
            <filter val="R$ 101,482.84"/>
            <filter val="R$ 101,955.21"/>
            <filter val="R$ 103,228.03"/>
            <filter val="R$ 103,590.46"/>
            <filter val="R$ 104,060.87"/>
            <filter val="R$ 106,857.75"/>
            <filter val="R$ 107,124.87"/>
            <filter val="R$ 107,455.17"/>
            <filter val="R$ 107,496.60"/>
            <filter val="R$ 107,602.25"/>
            <filter val="R$ 108,032.27"/>
            <filter val="R$ 108,290.97"/>
            <filter val="R$ 108,827.97"/>
            <filter val="R$ 108,917.80"/>
            <filter val="R$ 11,645.25"/>
            <filter val="R$ 111,588.77"/>
            <filter val="R$ 117,665.37"/>
            <filter val="R$ 118,731.32"/>
            <filter val="R$ 120,847.69"/>
            <filter val="R$ 121,226.11"/>
            <filter val="R$ 122,676.85"/>
            <filter val="R$ 123,140.07"/>
            <filter val="R$ 123,227.77"/>
            <filter val="R$ 124,736.01"/>
            <filter val="R$ 128,229.47"/>
            <filter val="R$ 128,997.24"/>
            <filter val="R$ 13,791.31"/>
            <filter val="R$ 130,683.94"/>
            <filter val="R$ 130,886.44"/>
            <filter val="R$ 133,995.65"/>
            <filter val="R$ 134,395.32"/>
            <filter val="R$ 135,314.45"/>
            <filter val="R$ 136,023.07"/>
            <filter val="R$ 139,442.52"/>
            <filter val="R$ 143,006.24"/>
            <filter val="R$ 143,938.86"/>
            <filter val="R$ 144,597.64"/>
            <filter val="R$ 149,308.13"/>
            <filter val="R$ 149,606.67"/>
            <filter val="R$ 149,699.12"/>
            <filter val="R$ 15,046.90"/>
            <filter val="R$ 15,708.24"/>
            <filter val="R$ 152,357.62"/>
            <filter val="R$ 152,615.25"/>
            <filter val="R$ 153,290.86"/>
            <filter val="R$ 153,522.02"/>
            <filter val="R$ 154,130.79"/>
            <filter val="R$ 155,770.65"/>
            <filter val="R$ 158,575.16"/>
            <filter val="R$ 16,058,616.37"/>
            <filter val="R$ 165,862.50"/>
            <filter val="R$ 167,418.83"/>
            <filter val="R$ 170,307.91"/>
            <filter val="R$ 170,952.21"/>
            <filter val="R$ 171,702.31"/>
            <filter val="R$ 175,858.96"/>
            <filter val="R$ 177,711.30"/>
            <filter val="R$ 179,706.97"/>
            <filter val="R$ 18.00"/>
            <filter val="R$ 181,097.77"/>
            <filter val="R$ 183,302.19"/>
            <filter val="R$ 184,021.08"/>
            <filter val="R$ 184,229.48"/>
            <filter val="R$ 185,313.16"/>
            <filter val="R$ 187,209.86"/>
            <filter val="R$ 194,253.16"/>
            <filter val="R$ 197,994.45"/>
            <filter val="R$ 199,994.84"/>
            <filter val="R$ 2,082,493.54"/>
            <filter val="R$ 2,086,021.94"/>
            <filter val="R$ 2,103,502.64"/>
            <filter val="R$ 2,206,209.90"/>
            <filter val="R$ 2,314,336.97"/>
            <filter val="R$ 2,458,871.91"/>
            <filter val="R$ 2,474,330.36"/>
            <filter val="R$ 2,498,485.38"/>
            <filter val="R$ 2,522,741.14"/>
            <filter val="R$ 2,590,353.90"/>
            <filter val="R$ 2,798,261.37"/>
            <filter val="R$ 2,901,586.24"/>
            <filter val="R$ 20,421.27"/>
            <filter val="R$ 20,613.26"/>
            <filter val="R$ 20,667.09"/>
            <filter val="R$ 200,323.08"/>
            <filter val="R$ 200,612.93"/>
            <filter val="R$ 204,207.46"/>
            <filter val="R$ 206,621.50"/>
            <filter val="R$ 211,684.93"/>
            <filter val="R$ 214,322.39"/>
            <filter val="R$ 214,409.69"/>
            <filter val="R$ 219,227.81"/>
            <filter val="R$ 221,274.76"/>
            <filter val="R$ 223,725.03"/>
            <filter val="R$ 226,496.40"/>
            <filter val="R$ 227,559.12"/>
            <filter val="R$ 231,139.98"/>
            <filter val="R$ 233,457.50"/>
            <filter val="R$ 249,107.77"/>
            <filter val="R$ 25,144.17"/>
            <filter val="R$ 251,230.62"/>
            <filter val="R$ 253,116.48"/>
            <filter val="R$ 255,492.88"/>
            <filter val="R$ 261,686.40"/>
            <filter val="R$ 262,967.65"/>
            <filter val="R$ 263,021.44"/>
            <filter val="R$ 265,869.69"/>
            <filter val="R$ 27,481.85"/>
            <filter val="R$ 27,560.74"/>
            <filter val="R$ 270,457.41"/>
            <filter val="R$ 270,708.34"/>
            <filter val="R$ 271,686.79"/>
            <filter val="R$ 276,251.33"/>
            <filter val="R$ 277,203.64"/>
            <filter val="R$ 277,673.23"/>
            <filter val="R$ 277.80"/>
            <filter val="R$ 278,882.47"/>
            <filter val="R$ 28,087.71"/>
            <filter val="R$ 28,496.71"/>
            <filter val="R$ 282,591.82"/>
            <filter val="R$ 284,890.51"/>
            <filter val="R$ 292,898.11"/>
            <filter val="R$ 297,526.94"/>
            <filter val="R$ 3,088,831.62"/>
            <filter val="R$ 3,221,516.64"/>
            <filter val="R$ 3,226.35"/>
            <filter val="R$ 3,243,875.86"/>
            <filter val="R$ 3,268,216.61"/>
            <filter val="R$ 3,378,633.61"/>
            <filter val="R$ 3,483,183.91"/>
            <filter val="R$ 3,553,838.57"/>
            <filter val="R$ 30,059.16"/>
            <filter val="R$ 302,577.74"/>
            <filter val="R$ 308,792.89"/>
            <filter val="R$ 31,545.57"/>
            <filter val="R$ 31,904.55"/>
            <filter val="R$ 311,014.03"/>
            <filter val="R$ 311,081.44"/>
            <filter val="R$ 311,135.49"/>
            <filter val="R$ 314,326.47"/>
            <filter val="R$ 328,100.56"/>
            <filter val="R$ 328,944.06"/>
            <filter val="R$ 33,450.01"/>
            <filter val="R$ 33,459.87"/>
            <filter val="R$ 332,995.49"/>
            <filter val="R$ 335,213.54"/>
            <filter val="R$ 341,945.34"/>
            <filter val="R$ 344,541.66"/>
            <filter val="R$ 344,838.06"/>
            <filter val="R$ 344,984.05"/>
            <filter val="R$ 347,244.02"/>
            <filter val="R$ 35,206.62"/>
            <filter val="R$ 352,698.01"/>
            <filter val="R$ 353,373.86"/>
            <filter val="R$ 353,546.33"/>
            <filter val="R$ 364,672.27"/>
            <filter val="R$ 366,392.92"/>
            <filter val="R$ 366,511.00"/>
            <filter val="R$ 375,411.82"/>
            <filter val="R$ 375,835.95"/>
            <filter val="R$ 380,089.60"/>
            <filter val="R$ 380,658.69"/>
            <filter val="R$ 386,365.49"/>
            <filter val="R$ 389,699.92"/>
            <filter val="R$ 4,000.00"/>
            <filter val="R$ 4,422.04"/>
            <filter val="R$ 4,719.37"/>
            <filter val="R$ 4,860,509.32"/>
            <filter val="R$ 40,114.94"/>
            <filter val="R$ 40,597.33"/>
            <filter val="R$ 40,856.76"/>
            <filter val="R$ 40.97"/>
            <filter val="R$ 400,226.43"/>
            <filter val="R$ 407,595.85"/>
            <filter val="R$ 409,394.24"/>
            <filter val="R$ 41,342.64"/>
            <filter val="R$ 41,444.93"/>
            <filter val="R$ 412,192.57"/>
            <filter val="R$ 417,043.39"/>
            <filter val="R$ 42,401.20"/>
            <filter val="R$ 431,627.77"/>
            <filter val="R$ 438,425.42"/>
            <filter val="R$ 44,016.30"/>
            <filter val="R$ 44,081.08"/>
            <filter val="R$ 44,411.94"/>
            <filter val="R$ 446,395.97"/>
            <filter val="R$ 449,191.02"/>
            <filter val="R$ 450,372.33"/>
            <filter val="R$ 450,534.84"/>
            <filter val="R$ 454,481.44"/>
            <filter val="R$ 458,436.40"/>
            <filter val="R$ 46,351.99"/>
            <filter val="R$ 46,962.62"/>
            <filter val="R$ 473,644.04"/>
            <filter val="R$ 481,161.13"/>
            <filter val="R$ 481,579.68"/>
            <filter val="R$ 493,279.87"/>
            <filter val="R$ 5,026.08"/>
            <filter val="R$ 5,698.80"/>
            <filter val="R$ 5,730,277.89"/>
            <filter val="R$ 50,012.00"/>
            <filter val="R$ 50,580.59"/>
            <filter val="R$ 50,614.22"/>
            <filter val="R$ 50,792.07"/>
            <filter val="R$ 50,830.05"/>
            <filter val="R$ 50.26"/>
            <filter val="R$ 500,079.13"/>
            <filter val="R$ 503,579.04"/>
            <filter val="R$ 507,653.15"/>
            <filter val="R$ 509,914.47"/>
            <filter val="R$ 51,939.10"/>
            <filter val="R$ 514,928.52"/>
            <filter val="R$ 515,447.49"/>
            <filter val="R$ 520,486.64"/>
            <filter val="R$ 54,504.69"/>
            <filter val="R$ 545,178.37"/>
            <filter val="R$ 55,533.69"/>
            <filter val="R$ 55,803.18"/>
            <filter val="R$ 557,848.13"/>
            <filter val="R$ 56,870.02"/>
            <filter val="R$ 567,339.85"/>
            <filter val="R$ 57,739.53"/>
            <filter val="R$ 577,636.93"/>
            <filter val="R$ 58,707.84"/>
            <filter val="R$ 58,966.85"/>
            <filter val="R$ 583,264.52"/>
            <filter val="R$ 59,569.73"/>
            <filter val="R$ 59,580.63"/>
            <filter val="R$ 594,830.28"/>
            <filter val="R$ 599,690.17"/>
            <filter val="R$ 6,480.83"/>
            <filter val="R$ 6,868.15"/>
            <filter val="R$ 602,522.31"/>
            <filter val="R$ 604,195.66"/>
            <filter val="R$ 61,168.62"/>
            <filter val="R$ 620,316.84"/>
            <filter val="R$ 621,659.37"/>
            <filter val="R$ 622,860.35"/>
            <filter val="R$ 623,400.99"/>
            <filter val="R$ 623,799.05"/>
            <filter val="R$ 63,009.59"/>
            <filter val="R$ 63,535.51"/>
            <filter val="R$ 636,897.62"/>
            <filter val="R$ 64,634.52"/>
            <filter val="R$ 64,890.58"/>
            <filter val="R$ 640,821.67"/>
            <filter val="R$ 645,478.28"/>
            <filter val="R$ 65,262.09"/>
            <filter val="R$ 65,307.83"/>
            <filter val="R$ 66,263.15"/>
            <filter val="R$ 670,333.70"/>
            <filter val="R$ 675,072.26"/>
            <filter val="R$ 675,434.06"/>
            <filter val="R$ 68,277.54"/>
            <filter val="R$ 69,759.11"/>
            <filter val="R$ 7,154.16"/>
            <filter val="R$ 70,008.87"/>
            <filter val="R$ 70,966.44"/>
            <filter val="R$ 706,625.56"/>
            <filter val="R$ 71,091.48"/>
            <filter val="R$ 71,251.35"/>
            <filter val="R$ 712.78"/>
            <filter val="R$ 714,716.36"/>
            <filter val="R$ 731,399.04"/>
            <filter val="R$ 732,005.28"/>
            <filter val="R$ 74,121.42"/>
            <filter val="R$ 76,561.17"/>
            <filter val="R$ 77,435.25"/>
            <filter val="R$ 772,289.75"/>
            <filter val="R$ 78,704.46"/>
            <filter val="R$ 782,725.41"/>
            <filter val="R$ 784,615.31"/>
            <filter val="R$ 798,854.32"/>
            <filter val="R$ 8,874,098.43"/>
            <filter val="R$ 8.45"/>
            <filter val="R$ 81,626.89"/>
            <filter val="R$ 82,627.98"/>
            <filter val="R$ 824,932.72"/>
            <filter val="R$ 83,184.68"/>
            <filter val="R$ 83,223.64"/>
            <filter val="R$ 84,647.01"/>
            <filter val="R$ 84,997.63"/>
            <filter val="R$ 843,575.38"/>
            <filter val="R$ 844,672.09"/>
            <filter val="R$ 85,172.94"/>
            <filter val="R$ 861,974.11"/>
            <filter val="R$ 862.31"/>
            <filter val="R$ 87,159.14"/>
            <filter val="R$ 870,034.71"/>
            <filter val="R$ 88,076.51"/>
            <filter val="R$ 896,950.17"/>
            <filter val="R$ 9.67"/>
            <filter val="R$ 911,550.56"/>
            <filter val="R$ 921,849.32"/>
            <filter val="R$ 939,224.97"/>
            <filter val="R$ 964,261.47"/>
            <filter val="R$ 97,219.44"/>
            <filter val="R$ 984,540.31"/>
            <filter val="R$ 986,813.10"/>
          </filters>
        </filterColumn>
        <filterColumn colId="40">
          <filters blank="1">
            <filter val="R$ 0.00"/>
            <filter val="R$ 0.01"/>
            <filter val="R$ 1,015,957.57"/>
            <filter val="R$ 1,029.10"/>
            <filter val="R$ 1,042.93"/>
            <filter val="R$ 1,073,945.36"/>
            <filter val="R$ 1,090,968.79"/>
            <filter val="R$ 1,103,042.33"/>
            <filter val="R$ 1,104,974.04"/>
            <filter val="R$ 1,131,931.21"/>
            <filter val="R$ 1,139,042.65"/>
            <filter val="R$ 1,162,232.12"/>
            <filter val="R$ 1,175,708.77"/>
            <filter val="R$ 1,176,247.47"/>
            <filter val="R$ 1,185,006.62"/>
            <filter val="R$ 1,228,192.68"/>
            <filter val="R$ 1,242,237.90"/>
            <filter val="R$ 1,259,014.66"/>
            <filter val="R$ 1,266,407.64"/>
            <filter val="R$ 1,283,492.26"/>
            <filter val="R$ 1,317,426.15"/>
            <filter val="R$ 1,319,712.68"/>
            <filter val="R$ 1,332,023.96"/>
            <filter val="R$ 1,335,930.60"/>
            <filter val="R$ 1,349,842.02"/>
            <filter val="R$ 1,374,140.03"/>
            <filter val="R$ 1,374,434.26"/>
            <filter val="R$ 1,409,788.24"/>
            <filter val="R$ 1,470,305.87"/>
            <filter val="R$ 1,504,511.49"/>
            <filter val="R$ 1,694,859.99"/>
            <filter val="R$ 1,750,873.41"/>
            <filter val="R$ 1,795,213.42"/>
            <filter val="R$ 1,875,447.01"/>
            <filter val="R$ 1,910,989.17"/>
            <filter val="R$ 1,929,869.86"/>
            <filter val="R$ 1,962,080.60"/>
            <filter val="R$ 10,091.93"/>
            <filter val="R$ 10,266.22"/>
            <filter val="R$ 100,133.79"/>
            <filter val="R$ 101,431.94"/>
            <filter val="R$ 101,432.92"/>
            <filter val="R$ 101,705.90"/>
            <filter val="R$ 102,260.12"/>
            <filter val="R$ 102,832.14"/>
            <filter val="R$ 103,098.95"/>
            <filter val="R$ 104,020.22"/>
            <filter val="R$ 104,499.45"/>
            <filter val="R$ 105,138.59"/>
            <filter val="R$ 107,813.68"/>
            <filter val="R$ 107,989.96"/>
            <filter val="R$ 108,307.08"/>
            <filter val="R$ 108,349.80"/>
            <filter val="R$ 108,468.23"/>
            <filter val="R$ 109,573.66"/>
            <filter val="R$ 112,674.22"/>
            <filter val="R$ 117,331.38"/>
            <filter val="R$ 119,621.40"/>
            <filter val="R$ 119,855.66"/>
            <filter val="R$ 12,149.58"/>
            <filter val="R$ 12,752.84"/>
            <filter val="R$ 120,267.44"/>
            <filter val="R$ 123,793.05"/>
            <filter val="R$ 124,208.62"/>
            <filter val="R$ 126,205.58"/>
            <filter val="R$ 128,735.41"/>
            <filter val="R$ 129,836.83"/>
            <filter val="R$ 13,905.96"/>
            <filter val="R$ 131,177.81"/>
            <filter val="R$ 131,755.43"/>
            <filter val="R$ 132,006.38"/>
            <filter val="R$ 132,133.96"/>
            <filter val="R$ 134,443.75"/>
            <filter val="R$ 135,329.99"/>
            <filter val="R$ 136,932.44"/>
            <filter val="R$ 137,240.08"/>
            <filter val="R$ 137,980.08"/>
            <filter val="R$ 138,763.11"/>
            <filter val="R$ 139,849.87"/>
            <filter val="R$ 14.67"/>
            <filter val="R$ 146,285.25"/>
            <filter val="R$ 148,311.97"/>
            <filter val="R$ 150,534.88"/>
            <filter val="R$ 151,065.74"/>
            <filter val="R$ 153,657.18"/>
            <filter val="R$ 154,003.32"/>
            <filter val="R$ 154,121.10"/>
            <filter val="R$ 156,012.55"/>
            <filter val="R$ 156,154.21"/>
            <filter val="R$ 157,547.30"/>
            <filter val="R$ 157,675.40"/>
            <filter val="R$ 158,063.24"/>
            <filter val="R$ 159,926.25"/>
            <filter val="R$ 16,099,820.12"/>
            <filter val="R$ 161,227.33"/>
            <filter val="R$ 167,691.47"/>
            <filter val="R$ 171,767.27"/>
            <filter val="R$ 171,906.21"/>
            <filter val="R$ 174,734.94"/>
            <filter val="R$ 184,796.44"/>
            <filter val="R$ 185,673.70"/>
            <filter val="R$ 191,310.25"/>
            <filter val="R$ 195,637.75"/>
            <filter val="R$ 196,044.31"/>
            <filter val="R$ 196,307.12"/>
            <filter val="R$ 199,122.82"/>
            <filter val="R$ 2,025,074.38"/>
            <filter val="R$ 2,076,597.42"/>
            <filter val="R$ 2,104,306.92"/>
            <filter val="R$ 2,127,232.49"/>
            <filter val="R$ 2,223,135.83"/>
            <filter val="R$ 2,330,169.23"/>
            <filter val="R$ 2,466,301.64"/>
            <filter val="R$ 2,613,104.75"/>
            <filter val="R$ 2,825,569.34"/>
            <filter val="R$ 2,892,594.60"/>
            <filter val="R$ 2,927,527.12"/>
            <filter val="R$ 20,817.53"/>
            <filter val="R$ 201,266.25"/>
            <filter val="R$ 201,894.44"/>
            <filter val="R$ 202,185.21"/>
            <filter val="R$ 205,780.31"/>
            <filter val="R$ 208,460.87"/>
            <filter val="R$ 210,779.70"/>
            <filter val="R$ 211,013.95"/>
            <filter val="R$ 213,546.39"/>
            <filter val="R$ 216,544.32"/>
            <filter val="R$ 218,300.70"/>
            <filter val="R$ 222,554.38"/>
            <filter val="R$ 224,043.27"/>
            <filter val="R$ 225,654.51"/>
            <filter val="R$ 226,649.71"/>
            <filter val="R$ 228,050.04"/>
            <filter val="R$ 233,533.56"/>
            <filter val="R$ 233,832.43"/>
            <filter val="R$ 234,730.68"/>
            <filter val="R$ 235,284.62"/>
            <filter val="R$ 236,912.56"/>
            <filter val="R$ 242,504.57"/>
            <filter val="R$ 249,151.62"/>
            <filter val="R$ 25,359.46"/>
            <filter val="R$ 251,183.31"/>
            <filter val="R$ 251,302.85"/>
            <filter val="R$ 257,944.56"/>
            <filter val="R$ 258,221.49"/>
            <filter val="R$ 265,529.31"/>
            <filter val="R$ 266,116.93"/>
            <filter val="R$ 266,291.47"/>
            <filter val="R$ 269,316.47"/>
            <filter val="R$ 272,850.52"/>
            <filter val="R$ 273,736.55"/>
            <filter val="R$ 274,621.30"/>
            <filter val="R$ 276,192.79"/>
            <filter val="R$ 279,989.85"/>
            <filter val="R$ 28,441.96"/>
            <filter val="R$ 28,721.07"/>
            <filter val="R$ 280,072.57"/>
            <filter val="R$ 281,372.59"/>
            <filter val="R$ 282,738.00"/>
            <filter val="R$ 286,860.28"/>
            <filter val="R$ 295,833.26"/>
            <filter val="R$ 3,118,395.57"/>
            <filter val="R$ 3,255,128.52"/>
            <filter val="R$ 3,297,963.12"/>
            <filter val="R$ 3,303,894.64"/>
            <filter val="R$ 3,417,528.18"/>
            <filter val="R$ 3,583,128.63"/>
            <filter val="R$ 3,764.58"/>
            <filter val="R$ 30,326.11"/>
            <filter val="R$ 30,883.77"/>
            <filter val="R$ 302,770.32"/>
            <filter val="R$ 304,671.28"/>
            <filter val="R$ 312,544.00"/>
            <filter val="R$ 312,644.16"/>
            <filter val="R$ 313,149.40"/>
            <filter val="R$ 313,732.45"/>
            <filter val="R$ 314,336.41"/>
            <filter val="R$ 314,906.04"/>
            <filter val="R$ 317,302.40"/>
            <filter val="R$ 32,117.36"/>
            <filter val="R$ 32,831.67"/>
            <filter val="R$ 320,613.61"/>
            <filter val="R$ 320,715.33"/>
            <filter val="R$ 33,570.75"/>
            <filter val="R$ 330,975.28"/>
            <filter val="R$ 338,304.64"/>
            <filter val="R$ 341,722.93"/>
            <filter val="R$ 342,580.44"/>
            <filter val="R$ 345,033.68"/>
            <filter val="R$ 346,952.70"/>
            <filter val="R$ 347,340.16"/>
            <filter val="R$ 347,862.28"/>
            <filter val="R$ 349,078.77"/>
            <filter val="R$ 35,253.69"/>
            <filter val="R$ 35,422.57"/>
            <filter val="R$ 35,709.37"/>
            <filter val="R$ 353,197.08"/>
            <filter val="R$ 353,259.52"/>
            <filter val="R$ 355,920.24"/>
            <filter val="R$ 357,015.53"/>
            <filter val="R$ 361,798.24"/>
            <filter val="R$ 363,060.22"/>
            <filter val="R$ 368,988.46"/>
            <filter val="R$ 370,316.11"/>
            <filter val="R$ 370,568.08"/>
            <filter val="R$ 376,086.90"/>
            <filter val="R$ 384,001.86"/>
            <filter val="R$ 394,420.72"/>
            <filter val="R$ 398,347.79"/>
            <filter val="R$ 4,028,279.21"/>
            <filter val="R$ 4,473.34"/>
            <filter val="R$ 4,760.49"/>
            <filter val="R$ 4,890,104.61"/>
            <filter val="R$ 40,553.65"/>
            <filter val="R$ 40,979.01"/>
            <filter val="R$ 401,081.80"/>
            <filter val="R$ 403,716.37"/>
            <filter val="R$ 41,056.47"/>
            <filter val="R$ 41,471.87"/>
            <filter val="R$ 410,402.21"/>
            <filter val="R$ 411,428.94"/>
            <filter val="R$ 413,199.93"/>
            <filter val="R$ 419,792.77"/>
            <filter val="R$ 42,756.62"/>
            <filter val="R$ 423,787.50"/>
            <filter val="R$ 43,329.27"/>
            <filter val="R$ 43,658.82"/>
            <filter val="R$ 43,803.84"/>
            <filter val="R$ 435,468.55"/>
            <filter val="R$ 436,082.42"/>
            <filter val="R$ 44,694.58"/>
            <filter val="R$ 447,413.88"/>
            <filter val="R$ 449,077.62"/>
            <filter val="R$ 451,876.08"/>
            <filter val="R$ 453,576.53"/>
            <filter val="R$ 458,776.15"/>
            <filter val="R$ 460,484.47"/>
            <filter val="R$ 467,877.68"/>
            <filter val="R$ 469,355.86"/>
            <filter val="R$ 47,341.05"/>
            <filter val="R$ 479,112.38"/>
            <filter val="R$ 480,581.05"/>
            <filter val="R$ 483,333.15"/>
            <filter val="R$ 483,870.82"/>
            <filter val="R$ 5,852.36"/>
            <filter val="R$ 5,935,459.35"/>
            <filter val="R$ 50,159.60"/>
            <filter val="R$ 50,227.21"/>
            <filter val="R$ 50,378.93"/>
            <filter val="R$ 50,609.72"/>
            <filter val="R$ 50,918.73"/>
            <filter val="R$ 50.26"/>
            <filter val="R$ 503,634.65"/>
            <filter val="R$ 507,721.03"/>
            <filter val="R$ 508,181.96"/>
            <filter val="R$ 51,041.15"/>
            <filter val="R$ 51,225.61"/>
            <filter val="R$ 51,761.90"/>
            <filter val="R$ 519,371.42"/>
            <filter val="R$ 52,409.24"/>
            <filter val="R$ 52,613.31"/>
            <filter val="R$ 524,784.14"/>
            <filter val="R$ 53,366.88"/>
            <filter val="R$ 532,488.02"/>
            <filter val="R$ 534,109.97"/>
            <filter val="R$ 556,458.33"/>
            <filter val="R$ 562,832.00"/>
            <filter val="R$ 564,875.41"/>
            <filter val="R$ 565,393.68"/>
            <filter val="R$ 565,993.39"/>
            <filter val="R$ 57,669.29"/>
            <filter val="R$ 572,321.15"/>
            <filter val="R$ 58,198.80"/>
            <filter val="R$ 58,614.75"/>
            <filter val="R$ 58,760.66"/>
            <filter val="R$ 584,594.91"/>
            <filter val="R$ 59,456.92"/>
            <filter val="R$ 598,857.52"/>
            <filter val="R$ 6,541.24"/>
            <filter val="R$ 6,927.27"/>
            <filter val="R$ 60,765.60"/>
            <filter val="R$ 601,397.66"/>
            <filter val="R$ 602,056.04"/>
            <filter val="R$ 61,652.23"/>
            <filter val="R$ 619,206.82"/>
            <filter val="R$ 625,244.89"/>
            <filter val="R$ 625,662.88"/>
            <filter val="R$ 626,680.78"/>
            <filter val="R$ 627,093.70"/>
            <filter val="R$ 628,230.14"/>
            <filter val="R$ 628,805.12"/>
            <filter val="R$ 64,110.84"/>
            <filter val="R$ 64,630.92"/>
            <filter val="R$ 64,644.78"/>
            <filter val="R$ 64,645.61"/>
            <filter val="R$ 641,342.23"/>
            <filter val="R$ 648,299.81"/>
            <filter val="R$ 65,383.65"/>
            <filter val="R$ 65,965.11"/>
            <filter val="R$ 650,405.77"/>
            <filter val="R$ 652,844.08"/>
            <filter val="R$ 655,818.74"/>
            <filter val="R$ 661,276.45"/>
            <filter val="R$ 68,884.14"/>
            <filter val="R$ 680,203.78"/>
            <filter val="R$ 681,159.69"/>
            <filter val="R$ 69,957.42"/>
            <filter val="R$ 7,194.80"/>
            <filter val="R$ 70,324.05"/>
            <filter val="R$ 70,636.99"/>
            <filter val="R$ 705,083.30"/>
            <filter val="R$ 71,598.24"/>
            <filter val="R$ 721,538.05"/>
            <filter val="R$ 729.09"/>
            <filter val="R$ 737,658.93"/>
            <filter val="R$ 74,859.75"/>
            <filter val="R$ 75,419.21"/>
            <filter val="R$ 75,863.42"/>
            <filter val="R$ 753,620.12"/>
            <filter val="R$ 755,370.21"/>
            <filter val="R$ 76,565.75"/>
            <filter val="R$ 77,220.32"/>
            <filter val="R$ 770,449.99"/>
            <filter val="R$ 78,226.19"/>
            <filter val="R$ 78,422.94"/>
            <filter val="R$ 788,355.82"/>
            <filter val="R$ 788,470.50"/>
            <filter val="R$ 790,313.84"/>
            <filter val="R$ 791,856.43"/>
            <filter val="R$ 8,956,806.00"/>
            <filter val="R$ 80,567.80"/>
            <filter val="R$ 806,756.24"/>
            <filter val="R$ 82,858.01"/>
            <filter val="R$ 83,258.80"/>
            <filter val="R$ 83,477.75"/>
            <filter val="R$ 831,994.21"/>
            <filter val="R$ 832,895.88"/>
            <filter val="R$ 84,064.34"/>
            <filter val="R$ 84,945.20"/>
            <filter val="R$ 85,646.08"/>
            <filter val="R$ 86,267.59"/>
            <filter val="R$ 86,692.70"/>
            <filter val="R$ 862,874.84"/>
            <filter val="R$ 87,914.05"/>
            <filter val="R$ 888,211.88"/>
            <filter val="R$ 89,551.90"/>
            <filter val="R$ 9,062,219.04"/>
            <filter val="R$ 9.68"/>
            <filter val="R$ 90,215.35"/>
            <filter val="R$ 904,259.97"/>
            <filter val="R$ 923,030.07"/>
            <filter val="R$ 925,915.22"/>
            <filter val="R$ 936,984.48"/>
            <filter val="R$ 946,529.43"/>
            <filter val="R$ 97,953.34"/>
            <filter val="R$ 971,845.22"/>
            <filter val="R$ 98,019.24"/>
            <filter val="R$ 98,285.69"/>
            <filter val="R$ 993,536.81"/>
            <filter val="R$ 994,494.78"/>
          </filters>
        </filterColumn>
        <filterColumn colId="41">
          <filters blank="1">
            <filter val="0"/>
            <filter val="R$ 0.00"/>
            <filter val="R$ 0.01"/>
            <filter val="R$ 1,002,548.97"/>
            <filter val="R$ 1,004,120.36"/>
            <filter val="R$ 1,008,072.00"/>
            <filter val="R$ 1,013,078.07"/>
            <filter val="R$ 1,025,511.35"/>
            <filter val="R$ 1,041.12"/>
            <filter val="R$ 1,055.11"/>
            <filter val="R$ 1,064,172.67"/>
            <filter val="R$ 1,083,419.33"/>
            <filter val="R$ 1,085,256.77"/>
            <filter val="R$ 1,113,323.77"/>
            <filter val="R$ 1,114,290.66"/>
            <filter val="R$ 1,117,404.69"/>
            <filter val="R$ 1,155,551.70"/>
            <filter val="R$ 1,162,884.52"/>
            <filter val="R$ 1,174,050.43"/>
            <filter val="R$ 1,187,563.07"/>
            <filter val="R$ 1,194,211.62"/>
            <filter val="R$ 1,197,819.19"/>
            <filter val="R$ 1,243,750.43"/>
            <filter val="R$ 1,248,695.89"/>
            <filter val="R$ 1,248,948.75"/>
            <filter val="R$ 1,264,482.79"/>
            <filter val="R$ 1,271,123.79"/>
            <filter val="R$ 1,278,216.11"/>
            <filter val="R$ 1,291,270.00"/>
            <filter val="R$ 1,301,655.48"/>
            <filter val="R$ 1,345,337.41"/>
            <filter val="R$ 1,353,480.45"/>
            <filter val="R$ 1,360,026.96"/>
            <filter val="R$ 1,412,260.71"/>
            <filter val="R$ 1,422,979.54"/>
            <filter val="R$ 1,521,108.44"/>
            <filter val="R$ 1,550,885.26"/>
            <filter val="R$ 1,639,182.88"/>
            <filter val="R$ 1,710,534.55"/>
            <filter val="R$ 1,768,651.30"/>
            <filter val="R$ 1,770,431.54"/>
            <filter val="R$ 1,805,336.03"/>
            <filter val="R$ 1,896,446.30"/>
            <filter val="R$ 1,904,031.27"/>
            <filter val="R$ 1,948,995.52"/>
            <filter val="R$ 1,967,966.43"/>
            <filter val="R$ 10,256.52"/>
            <filter val="R$ 10,339.45"/>
            <filter val="R$ 100,505.12"/>
            <filter val="R$ 100,797.46"/>
            <filter val="R$ 101,772.24"/>
            <filter val="R$ 102,078.59"/>
            <filter val="R$ 102,469.64"/>
            <filter val="R$ 103,894.93"/>
            <filter val="R$ 104,109.61"/>
            <filter val="R$ 104,899.60"/>
            <filter val="R$ 105,466.81"/>
            <filter val="R$ 105,473.89"/>
            <filter val="R$ 105,836.32"/>
            <filter val="R$ 108,656.69"/>
            <filter val="R$ 108,868.49"/>
            <filter val="R$ 109,381.01"/>
            <filter val="R$ 109,392.57"/>
            <filter val="R$ 109,535.09"/>
            <filter val="R$ 109,854.09"/>
            <filter val="R$ 111,690.06"/>
            <filter val="R$ 112,828.31"/>
            <filter val="R$ 113,054.22"/>
            <filter val="R$ 113,710.95"/>
            <filter val="R$ 114,705.22"/>
            <filter val="R$ 115,422.50"/>
            <filter val="R$ 118,898.37"/>
            <filter val="R$ 12,077.10"/>
            <filter val="R$ 12,266.12"/>
            <filter val="R$ 12,827.29"/>
            <filter val="R$ 120,539.62"/>
            <filter val="R$ 120,707.61"/>
            <filter val="R$ 122,936.31"/>
            <filter val="R$ 125,031.02"/>
            <filter val="R$ 125,034.68"/>
            <filter val="R$ 125,631.62"/>
            <filter val="R$ 126,009.64"/>
            <filter val="R$ 130,008.98"/>
            <filter val="R$ 132,234.70"/>
            <filter val="R$ 133,041.37"/>
            <filter val="R$ 133,338.15"/>
            <filter val="R$ 133,449.27"/>
            <filter val="R$ 134,736.77"/>
            <filter val="R$ 135,422.27"/>
            <filter val="R$ 135,579.88"/>
            <filter val="R$ 135,795.54"/>
            <filter val="R$ 137,914.67"/>
            <filter val="R$ 138,571.70"/>
            <filter val="R$ 139,805.06"/>
            <filter val="R$ 139,892.01"/>
            <filter val="R$ 14,043.02"/>
            <filter val="R$ 14.67"/>
            <filter val="R$ 141,196.37"/>
            <filter val="R$ 145,052.98"/>
            <filter val="R$ 148,733.47"/>
            <filter val="R$ 149,636.09"/>
            <filter val="R$ 150,839.36"/>
            <filter val="R$ 151,119.77"/>
            <filter val="R$ 151,456.37"/>
            <filter val="R$ 152,684.86"/>
            <filter val="R$ 154,568.80"/>
            <filter val="R$ 155,248.84"/>
            <filter val="R$ 155,535.53"/>
            <filter val="R$ 157,315.27"/>
            <filter val="R$ 158,805.14"/>
            <filter val="R$ 159,693.13"/>
            <filter val="R$ 16,141,643.87"/>
            <filter val="R$ 161,459.68"/>
            <filter val="R$ 166,402.01"/>
            <filter val="R$ 169,137.32"/>
            <filter val="R$ 169,304.00"/>
            <filter val="R$ 171,802.08"/>
            <filter val="R$ 175,131.05"/>
            <filter val="R$ 181,945.64"/>
            <filter val="R$ 186,334.77"/>
            <filter val="R$ 186,414.72"/>
            <filter val="R$ 187,477.34"/>
            <filter val="R$ 194,857.67"/>
            <filter val="R$ 196,880.83"/>
            <filter val="R$ 198,726.27"/>
            <filter val="R$ 2,001.99"/>
            <filter val="R$ 2,078,715.76"/>
            <filter val="R$ 2,116,358.07"/>
            <filter val="R$ 2,124,517.67"/>
            <filter val="R$ 2,249,409.44"/>
            <filter val="R$ 2,254,706.17"/>
            <filter val="R$ 2,451,968.17"/>
            <filter val="R$ 2,602,048.34"/>
            <filter val="R$ 2,636,690.92"/>
            <filter val="R$ 2,695,076.71"/>
            <filter val="R$ 2,780,342.13"/>
            <filter val="R$ 2,851,375.93"/>
            <filter val="R$ 2,920,496.59"/>
            <filter val="R$ 20,122.09"/>
            <filter val="R$ 200,551.99"/>
            <filter val="R$ 200,583.37"/>
            <filter val="R$ 201,716.40"/>
            <filter val="R$ 202,631.36"/>
            <filter val="R$ 203,028.42"/>
            <filter val="R$ 203,267.32"/>
            <filter val="R$ 205,565.40"/>
            <filter val="R$ 207,176.92"/>
            <filter val="R$ 207,720.41"/>
            <filter val="R$ 21,044.03"/>
            <filter val="R$ 210,444.58"/>
            <filter val="R$ 211,510.28"/>
            <filter val="R$ 211,821.84"/>
            <filter val="R$ 212,285.51"/>
            <filter val="R$ 215,625.62"/>
            <filter val="R$ 215,837.83"/>
            <filter val="R$ 218,126.16"/>
            <filter val="R$ 218,840.55"/>
            <filter val="R$ 221,510.59"/>
            <filter val="R$ 224,362.58"/>
            <filter val="R$ 227,507.52"/>
            <filter val="R$ 231,160.19"/>
            <filter val="R$ 232,386.73"/>
            <filter val="R$ 232,512.44"/>
            <filter val="R$ 233,004.03"/>
            <filter val="R$ 236,929.21"/>
            <filter val="R$ 238,446.53"/>
            <filter val="R$ 239,432.92"/>
            <filter val="R$ 240,637.98"/>
            <filter val="R$ 242,316.62"/>
            <filter val="R$ 25,603.34"/>
            <filter val="R$ 25,952.12"/>
            <filter val="R$ 251,998.20"/>
            <filter val="R$ 253,049.10"/>
            <filter val="R$ 253,258.18"/>
            <filter val="R$ 254,401.12"/>
            <filter val="R$ 254,460.35"/>
            <filter val="R$ 254,727.21"/>
            <filter val="R$ 255,749.46"/>
            <filter val="R$ 261,132.35"/>
            <filter val="R$ 261,151.03"/>
            <filter val="R$ 267,662.59"/>
            <filter val="R$ 268,103.17"/>
            <filter val="R$ 268,251.05"/>
            <filter val="R$ 27,085.37"/>
            <filter val="R$ 27,772.17"/>
            <filter val="R$ 272,748.49"/>
            <filter val="R$ 274,251.90"/>
            <filter val="R$ 274,529.92"/>
            <filter val="R$ 275,521.85"/>
            <filter val="R$ 276,593.56"/>
            <filter val="R$ 28,233.84"/>
            <filter val="R$ 282,280.53"/>
            <filter val="R$ 283,651.31"/>
            <filter val="R$ 297,702.80"/>
            <filter val="R$ 3,070,459.36"/>
            <filter val="R$ 3,151,164.23"/>
            <filter val="R$ 3,242,700.75"/>
            <filter val="R$ 3,293,994.07"/>
            <filter val="R$ 3,323,567.62"/>
            <filter val="R$ 3,461,095.04"/>
            <filter val="R$ 3,606,773.39"/>
            <filter val="R$ 30,619.31"/>
            <filter val="R$ 307,519.42"/>
            <filter val="R$ 31,355.16"/>
            <filter val="R$ 31,614.77"/>
            <filter val="R$ 312,075.07"/>
            <filter val="R$ 313,634.66"/>
            <filter val="R$ 313.80"/>
            <filter val="R$ 315,352.28"/>
            <filter val="R$ 316,128.00"/>
            <filter val="R$ 318,190.88"/>
            <filter val="R$ 319,206.65"/>
            <filter val="R$ 319,984.74"/>
            <filter val="R$ 32,273.10"/>
            <filter val="R$ 320,550.36"/>
            <filter val="R$ 323,891.64"/>
            <filter val="R$ 325,564.92"/>
            <filter val="R$ 33,812.38"/>
            <filter val="R$ 333,648.49"/>
            <filter val="R$ 334,242.33"/>
            <filter val="R$ 338,203.14"/>
            <filter val="R$ 338,513.34"/>
            <filter val="R$ 34,059.66"/>
            <filter val="R$ 34,553.64"/>
            <filter val="R$ 340,950.00"/>
            <filter val="R$ 342,462.76"/>
            <filter val="R$ 348,232.20"/>
            <filter val="R$ 348,396.55"/>
            <filter val="R$ 349,171.08"/>
            <filter val="R$ 349,411.89"/>
            <filter val="R$ 349,927.23"/>
            <filter val="R$ 351,131.10"/>
            <filter val="R$ 353,649.99"/>
            <filter val="R$ 356,698.92"/>
            <filter val="R$ 356,967.54"/>
            <filter val="R$ 360,860.21"/>
            <filter val="R$ 362,265.63"/>
            <filter val="R$ 367,855.05"/>
            <filter val="R$ 371,859.91"/>
            <filter val="R$ 374,390.39"/>
            <filter val="R$ 375,895.74"/>
            <filter val="R$ 379,303.12"/>
            <filter val="R$ 38,323.64"/>
            <filter val="R$ 383,540.60"/>
            <filter val="R$ 387,540.51"/>
            <filter val="R$ 391,724.01"/>
            <filter val="R$ 392,514.41"/>
            <filter val="R$ 397,321.78"/>
            <filter val="R$ 4,065,602.47"/>
            <filter val="R$ 4,321.99"/>
            <filter val="R$ 4,803.86"/>
            <filter val="R$ 4,905,588.65"/>
            <filter val="R$ 40,571.92"/>
            <filter val="R$ 40,792.84"/>
            <filter val="R$ 400,633.57"/>
            <filter val="R$ 403,615.16"/>
            <filter val="R$ 406,228.53"/>
            <filter val="R$ 407,861.72"/>
            <filter val="R$ 41,391.99"/>
            <filter val="R$ 413,918.55"/>
            <filter val="R$ 413,976.63"/>
            <filter val="R$ 416,674.53"/>
            <filter val="R$ 42,960.57"/>
            <filter val="R$ 426,832.92"/>
            <filter val="R$ 432,606.19"/>
            <filter val="R$ 432,768.81"/>
            <filter val="R$ 434.00"/>
            <filter val="R$ 439,899.37"/>
            <filter val="R$ 44,153.50"/>
            <filter val="R$ 44,440.77"/>
            <filter val="R$ 447,110.31"/>
            <filter val="R$ 45,255.67"/>
            <filter val="R$ 450,929.66"/>
            <filter val="R$ 454,771.05"/>
            <filter val="R$ 46,115.80"/>
            <filter val="R$ 460,141.61"/>
            <filter val="R$ 460,284.09"/>
            <filter val="R$ 462,672.20"/>
            <filter val="R$ 47,540.60"/>
            <filter val="R$ 47,901.55"/>
            <filter val="R$ 471,049.81"/>
            <filter val="R$ 48,613.69"/>
            <filter val="R$ 482,826.85"/>
            <filter val="R$ 487,362.75"/>
            <filter val="R$ 488,861.80"/>
            <filter val="R$ 49,494.51"/>
            <filter val="R$ 49,881.29"/>
            <filter val="R$ 49,917.84"/>
            <filter val="R$ 491,270.74"/>
            <filter val="R$ 5,022.66"/>
            <filter val="R$ 5,390.36"/>
            <filter val="R$ 5,957,345.32"/>
            <filter val="R$ 5.55"/>
            <filter val="R$ 50,509.51"/>
            <filter val="R$ 50,738.19"/>
            <filter val="R$ 50.26"/>
            <filter val="R$ 506,892.03"/>
            <filter val="R$ 51,186.80"/>
            <filter val="R$ 51,327.17"/>
            <filter val="R$ 51,722.59"/>
            <filter val="R$ 51,743.98"/>
            <filter val="R$ 510,876.26"/>
            <filter val="R$ 512,302.95"/>
            <filter val="R$ 513,461.70"/>
            <filter val="R$ 52,239.98"/>
            <filter val="R$ 52,357.90"/>
            <filter val="R$ 52,603.38"/>
            <filter val="R$ 524,719.40"/>
            <filter val="R$ 529,994.43"/>
            <filter val="R$ 53,231.46"/>
            <filter val="R$ 54,230.36"/>
            <filter val="R$ 544,900.07"/>
            <filter val="R$ 546,504.00"/>
            <filter val="R$ 55,714.57"/>
            <filter val="R$ 562,884.98"/>
            <filter val="R$ 562,995.45"/>
            <filter val="R$ 567,372.97"/>
            <filter val="R$ 570,213.32"/>
            <filter val="R$ 577,848.45"/>
            <filter val="R$ 578,158.38"/>
            <filter val="R$ 58,978.07"/>
            <filter val="R$ 582,943.23"/>
            <filter val="R$ 585,634.41"/>
            <filter val="R$ 59,914.65"/>
            <filter val="R$ 598,103.92"/>
            <filter val="R$ 598,199.86"/>
            <filter val="R$ 6,607.98"/>
            <filter val="R$ 601,175.90"/>
            <filter val="R$ 604,525.29"/>
            <filter val="R$ 606,180.80"/>
            <filter val="R$ 607,906.65"/>
            <filter val="R$ 62,276.69"/>
            <filter val="R$ 62,827.66"/>
            <filter val="R$ 624,915.15"/>
            <filter val="R$ 629,166.25"/>
            <filter val="R$ 631,821.54"/>
            <filter val="R$ 634,687.11"/>
            <filter val="R$ 637,489.29"/>
            <filter val="R$ 639,942.68"/>
            <filter val="R$ 64,136.46"/>
            <filter val="R$ 641,406.10"/>
            <filter val="R$ 645,446.74"/>
            <filter val="R$ 646,739.90"/>
            <filter val="R$ 648,264.32"/>
            <filter val="R$ 65,991.55"/>
            <filter val="R$ 657,075.80"/>
            <filter val="R$ 66,693.43"/>
            <filter val="R$ 66,902.60"/>
            <filter val="R$ 662,208.82"/>
            <filter val="R$ 67,173.20"/>
            <filter val="R$ 674,215.24"/>
            <filter val="R$ 678,596.76"/>
            <filter val="R$ 679,714.54"/>
            <filter val="R$ 684,676.14"/>
            <filter val="R$ 686,313.07"/>
            <filter val="R$ 69,561.70"/>
            <filter val="R$ 69,593.19"/>
            <filter val="R$ 69,724.15"/>
            <filter val="R$ 69,737.71"/>
            <filter val="R$ 7,834.09"/>
            <filter val="R$ 701,601.40"/>
            <filter val="R$ 71,148.86"/>
            <filter val="R$ 71,354.76"/>
            <filter val="R$ 716,756.26"/>
            <filter val="R$ 729,037.97"/>
            <filter val="R$ 729.09"/>
            <filter val="R$ 74,772.62"/>
            <filter val="R$ 75,990.57"/>
            <filter val="R$ 750,615.93"/>
            <filter val="R$ 761,838.54"/>
            <filter val="R$ 763,934.31"/>
            <filter val="R$ 773,124.25"/>
            <filter val="R$ 788,285.49"/>
            <filter val="R$ 79,118.79"/>
            <filter val="R$ 79,176.09"/>
            <filter val="R$ 79,671.28"/>
            <filter val="R$ 796,962.58"/>
            <filter val="R$ 798,796.03"/>
            <filter val="R$ 8,235,068.80"/>
            <filter val="R$ 8,628.77"/>
            <filter val="R$ 802,901.84"/>
            <filter val="R$ 815,467.53"/>
            <filter val="R$ 817,625.14"/>
            <filter val="R$ 83,654.29"/>
            <filter val="R$ 831,837.71"/>
            <filter val="R$ 838,055.38"/>
            <filter val="R$ 839,324.22"/>
            <filter val="R$ 84,810.25"/>
            <filter val="R$ 840,143.99"/>
            <filter val="R$ 847,092.01"/>
            <filter val="R$ 85,059.73"/>
            <filter val="R$ 85,703.16"/>
            <filter val="R$ 85,868.25"/>
            <filter val="R$ 86,137.17"/>
            <filter val="R$ 86,640.52"/>
            <filter val="R$ 86,978.60"/>
            <filter val="R$ 866,431.26"/>
            <filter val="R$ 87,219.24"/>
            <filter val="R$ 87,680.81"/>
            <filter val="R$ 88,851.51"/>
            <filter val="R$ 88,981.60"/>
            <filter val="R$ 89,589.62"/>
            <filter val="R$ 894,427.47"/>
            <filter val="R$ 9,332,207.65"/>
            <filter val="R$ 9.69"/>
            <filter val="R$ 90,224.01"/>
            <filter val="R$ 90,781.64"/>
            <filter val="R$ 912,107.56"/>
            <filter val="R$ 927,788.28"/>
            <filter val="R$ 932,372.26"/>
            <filter val="R$ 95,343.18"/>
            <filter val="R$ 98,214.51"/>
            <filter val="R$ 99,818.75"/>
            <filter val="R$ 996,849.67"/>
          </filters>
        </filterColumn>
        <filterColumn colId="42">
          <filters blank="1">
            <filter val="R$ 0.00"/>
            <filter val="R$ 0.01"/>
            <filter val="R$ 0.04"/>
            <filter val="R$ 1,003,085.23"/>
            <filter val="R$ 1,010,372.48"/>
            <filter val="R$ 1,011,117.33"/>
            <filter val="R$ 1,015,617.95"/>
            <filter val="R$ 1,022,017.89"/>
            <filter val="R$ 1,048,091.75"/>
            <filter val="R$ 1,051.55"/>
            <filter val="R$ 1,054,776.97"/>
            <filter val="R$ 1,065.68"/>
            <filter val="R$ 1,069,740.49"/>
            <filter val="R$ 1,072,675.14"/>
            <filter val="R$ 1,082,641.95"/>
            <filter val="R$ 1,088,497.03"/>
            <filter val="R$ 1,092,085.04"/>
            <filter val="R$ 1,122,870.63"/>
            <filter val="R$ 1,123,818.71"/>
            <filter val="R$ 1,152,688.10"/>
            <filter val="R$ 1,164,737.49"/>
            <filter val="R$ 1,186,917.76"/>
            <filter val="R$ 1,197,374.01"/>
            <filter val="R$ 1,208,400.83"/>
            <filter val="R$ 1,211,281.02"/>
            <filter val="R$ 1,240,505.75"/>
            <filter val="R$ 1,248,278.35"/>
            <filter val="R$ 1,251,801.63"/>
            <filter val="R$ 1,271,481.07"/>
            <filter val="R$ 1,281,011.89"/>
            <filter val="R$ 1,297,464.97"/>
            <filter val="R$ 1,306,517.90"/>
            <filter val="R$ 1,318,461.24"/>
            <filter val="R$ 1,346,431.58"/>
            <filter val="R$ 1,357,618.63"/>
            <filter val="R$ 1,371,280.16"/>
            <filter val="R$ 1,400,497.04"/>
            <filter val="R$ 1,410.83"/>
            <filter val="R$ 1,434,733.03"/>
            <filter val="R$ 1,469,971.37"/>
            <filter val="R$ 1,503,271.83"/>
            <filter val="R$ 1,534,401.71"/>
            <filter val="R$ 1,560,491.37"/>
            <filter val="R$ 1,651,362.48"/>
            <filter val="R$ 1,716,725.01"/>
            <filter val="R$ 1,777,349.32"/>
            <filter val="R$ 1,810,474.77"/>
            <filter val="R$ 1,818,215.96"/>
            <filter val="R$ 1,911,128.37"/>
            <filter val="R$ 1,965,765.18"/>
            <filter val="R$ 1,988,281.00"/>
            <filter val="R$ 10,245.37"/>
            <filter val="R$ 10,446.65"/>
            <filter val="R$ 100,114.20"/>
            <filter val="R$ 100,215.50"/>
            <filter val="R$ 100,548.79"/>
            <filter val="R$ 101,218.18"/>
            <filter val="R$ 101,333.44"/>
            <filter val="R$ 103,189.25"/>
            <filter val="R$ 103,773.77"/>
            <filter val="R$ 104,759.85"/>
            <filter val="R$ 104,930.65"/>
            <filter val="R$ 105,646.40"/>
            <filter val="R$ 106,326.76"/>
            <filter val="R$ 106,490.87"/>
            <filter val="R$ 109,097.20"/>
            <filter val="R$ 109,771.07"/>
            <filter val="R$ 110,181.84"/>
            <filter val="R$ 110,247.12"/>
            <filter val="R$ 110,320.00"/>
            <filter val="R$ 110,342.23"/>
            <filter val="R$ 110,405.09"/>
            <filter val="R$ 113,905.94"/>
            <filter val="R$ 114,175.85"/>
            <filter val="R$ 115,669.04"/>
            <filter val="R$ 115,882.48"/>
            <filter val="R$ 117,502.45"/>
            <filter val="R$ 119,244.02"/>
            <filter val="R$ 119,904.59"/>
            <filter val="R$ 12,189.66"/>
            <filter val="R$ 12,895.51"/>
            <filter val="R$ 120,449.70"/>
            <filter val="R$ 120,755.04"/>
            <filter val="R$ 125,505.87"/>
            <filter val="R$ 125,546.41"/>
            <filter val="R$ 126,098.17"/>
            <filter val="R$ 128,816.72"/>
            <filter val="R$ 130,795.52"/>
            <filter val="R$ 130,973.02"/>
            <filter val="R$ 131,025.40"/>
            <filter val="R$ 131,676.60"/>
            <filter val="R$ 132,752.76"/>
            <filter val="R$ 134,172.01"/>
            <filter val="R$ 135,367.96"/>
            <filter val="R$ 135,977.64"/>
            <filter val="R$ 136,497.06"/>
            <filter val="R$ 138,132.74"/>
            <filter val="R$ 138,609.77"/>
            <filter val="R$ 139,252.64"/>
            <filter val="R$ 14,113.01"/>
            <filter val="R$ 14,478.09"/>
            <filter val="R$ 14.67"/>
            <filter val="R$ 140,046.36"/>
            <filter val="R$ 140,590.94"/>
            <filter val="R$ 142,567.10"/>
            <filter val="R$ 145,422.56"/>
            <filter val="R$ 149,512.97"/>
            <filter val="R$ 15,451.87"/>
            <filter val="R$ 150,952.89"/>
            <filter val="R$ 151,158.65"/>
            <filter val="R$ 151,570.12"/>
            <filter val="R$ 152,699.95"/>
            <filter val="R$ 153,125.67"/>
            <filter val="R$ 153,675.62"/>
            <filter val="R$ 156,243.89"/>
            <filter val="R$ 156,276.72"/>
            <filter val="R$ 156,355.11"/>
            <filter val="R$ 156,942.10"/>
            <filter val="R$ 159,033.28"/>
            <filter val="R$ 16,028,770.65"/>
            <filter val="R$ 160,546.72"/>
            <filter val="R$ 162,330.96"/>
            <filter val="R$ 162,743.17"/>
            <filter val="R$ 168,811.30"/>
            <filter val="R$ 169,987.25"/>
            <filter val="R$ 17,332.09"/>
            <filter val="R$ 17.86"/>
            <filter val="R$ 170,517.88"/>
            <filter val="R$ 172,413.02"/>
            <filter val="R$ 176,450.43"/>
            <filter val="R$ 178,411.71"/>
            <filter val="R$ 178,971.88"/>
            <filter val="R$ 181,973.47"/>
            <filter val="R$ 182,622.03"/>
            <filter val="R$ 187,400.52"/>
            <filter val="R$ 188,147.50"/>
            <filter val="R$ 189,009.11"/>
            <filter val="R$ 191,557.41"/>
            <filter val="R$ 193,844.40"/>
            <filter val="R$ 194,407.84"/>
            <filter val="R$ 197,754.37"/>
            <filter val="R$ 199,838.30"/>
            <filter val="R$ 2,077,435.12"/>
            <filter val="R$ 2,141,809.61"/>
            <filter val="R$ 2,243,640.55"/>
            <filter val="R$ 2,268,957.80"/>
            <filter val="R$ 2,545,016.37"/>
            <filter val="R$ 2,658,373.00"/>
            <filter val="R$ 2,708,443.20"/>
            <filter val="R$ 2,732,335.22"/>
            <filter val="R$ 2,873,474.15"/>
            <filter val="R$ 2,943,857.57"/>
            <filter val="R$ 2.57"/>
            <filter val="R$ 20,000.00"/>
            <filter val="R$ 200,139.34"/>
            <filter val="R$ 200,471.45"/>
            <filter val="R$ 201,330.28"/>
            <filter val="R$ 203,447.67"/>
            <filter val="R$ 204,677.74"/>
            <filter val="R$ 204,852.83"/>
            <filter val="R$ 205,472.06"/>
            <filter val="R$ 208,763.51"/>
            <filter val="R$ 209,354.86"/>
            <filter val="R$ 209,381.88"/>
            <filter val="R$ 21,235.62"/>
            <filter val="R$ 212,200.92"/>
            <filter val="R$ 212,805.65"/>
            <filter val="R$ 213,028.80"/>
            <filter val="R$ 213,072.17"/>
            <filter val="R$ 213,108.31"/>
            <filter val="R$ 213,887.99"/>
            <filter val="R$ 217,385.52"/>
            <filter val="R$ 22,046.50"/>
            <filter val="R$ 22,511.16"/>
            <filter val="R$ 220,920.24"/>
            <filter val="R$ 222,998.54"/>
            <filter val="R$ 223,020.61"/>
            <filter val="R$ 226,896.08"/>
            <filter val="R$ 228,719.24"/>
            <filter val="R$ 232,341.14"/>
            <filter val="R$ 233,018.77"/>
            <filter val="R$ 234,923.98"/>
            <filter val="R$ 236,309.68"/>
            <filter val="R$ 238,439.05"/>
            <filter val="R$ 238,854.55"/>
            <filter val="R$ 239,118.78"/>
            <filter val="R$ 242,583.64"/>
            <filter val="R$ 243,260.86"/>
            <filter val="R$ 25,643.06"/>
            <filter val="R$ 250,333.99"/>
            <filter val="R$ 254,242.64"/>
            <filter val="R$ 254,304.31"/>
            <filter val="R$ 254,370.41"/>
            <filter val="R$ 254,995.54"/>
            <filter val="R$ 256,470.23"/>
            <filter val="R$ 258,335.65"/>
            <filter val="R$ 26,446.26"/>
            <filter val="R$ 262,140.80"/>
            <filter val="R$ 262,688.84"/>
            <filter val="R$ 267,637.85"/>
            <filter val="R$ 268,544.31"/>
            <filter val="R$ 268,625.62"/>
            <filter val="R$ 27,788.14"/>
            <filter val="R$ 27,830.25"/>
            <filter val="R$ 270,578.92"/>
            <filter val="R$ 271,055.88"/>
            <filter val="R$ 276,050.98"/>
            <filter val="R$ 276,109.44"/>
            <filter val="R$ 276,438.52"/>
            <filter val="R$ 277.30"/>
            <filter val="R$ 278,938.30"/>
            <filter val="R$ 283,963.38"/>
            <filter val="R$ 285,135.30"/>
            <filter val="R$ 29,145.96"/>
            <filter val="R$ 296,915.45"/>
            <filter val="R$ 3,001,534.49"/>
            <filter val="R$ 3,009,986.81"/>
            <filter val="R$ 3,010.17"/>
            <filter val="R$ 3,092,897.17"/>
            <filter val="R$ 3,126,195.15"/>
            <filter val="R$ 3,246,859.38"/>
            <filter val="R$ 3,322,940.36"/>
            <filter val="R$ 3,329,507.61"/>
            <filter val="R$ 3,449,103.61"/>
            <filter val="R$ 3,627,523.86"/>
            <filter val="R$ 3,753,566.00"/>
            <filter val="R$ 3.86"/>
            <filter val="R$ 30,857.14"/>
            <filter val="R$ 30,921.90"/>
            <filter val="R$ 300,124.35"/>
            <filter val="R$ 300,618.08"/>
            <filter val="R$ 302,072.36"/>
            <filter val="R$ 309,326.29"/>
            <filter val="R$ 310,054.35"/>
            <filter val="R$ 313,703.35"/>
            <filter val="R$ 315,676.05"/>
            <filter val="R$ 317,485.30"/>
            <filter val="R$ 317,999.63"/>
            <filter val="R$ 32,552.76"/>
            <filter val="R$ 321,276.02"/>
            <filter val="R$ 322,020.41"/>
            <filter val="R$ 323,015.09"/>
            <filter val="R$ 323,131.19"/>
            <filter val="R$ 326,428.52"/>
            <filter val="R$ 333,331.19"/>
            <filter val="R$ 334,465.94"/>
            <filter val="R$ 334.00"/>
            <filter val="R$ 336,999.22"/>
            <filter val="R$ 339,032.61"/>
            <filter val="R$ 34,005.36"/>
            <filter val="R$ 34,034.86"/>
            <filter val="R$ 340,811.61"/>
            <filter val="R$ 341,132.31"/>
            <filter val="R$ 342,659.29"/>
            <filter val="R$ 348,939.08"/>
            <filter val="R$ 350,929.21"/>
            <filter val="R$ 351,124.95"/>
            <filter val="R$ 351,580.87"/>
            <filter val="R$ 352,988.04"/>
            <filter val="R$ 353,899.78"/>
            <filter val="R$ 354,934.72"/>
            <filter val="R$ 359,344.38"/>
            <filter val="R$ 359,380.24"/>
            <filter val="R$ 36,758.00"/>
            <filter val="R$ 362,470.60"/>
            <filter val="R$ 362,504.30"/>
            <filter val="R$ 366,586.03"/>
            <filter val="R$ 369,466.61"/>
            <filter val="R$ 373,156.75"/>
            <filter val="R$ 373,297.73"/>
            <filter val="R$ 376,886.21"/>
            <filter val="R$ 38,613.83"/>
            <filter val="R$ 38,676.69"/>
            <filter val="R$ 380,937.88"/>
            <filter val="R$ 386,603.64"/>
            <filter val="R$ 390,686.95"/>
            <filter val="R$ 394,426.75"/>
            <filter val="R$ 4,091,485.08"/>
            <filter val="R$ 4,533.39"/>
            <filter val="R$ 4,633.19"/>
            <filter val="R$ 4,880.82"/>
            <filter val="R$ 4,894,563.07"/>
            <filter val="R$ 40,649.30"/>
            <filter val="R$ 406,616.99"/>
            <filter val="R$ 407,487.54"/>
            <filter val="R$ 407,803.29"/>
            <filter val="R$ 408,929.28"/>
            <filter val="R$ 409,850.82"/>
            <filter val="R$ 41,124.97"/>
            <filter val="R$ 41,327.20"/>
            <filter val="R$ 413,850.07"/>
            <filter val="R$ 416,019.16"/>
            <filter val="R$ 416,683.62"/>
            <filter val="R$ 42,232.68"/>
            <filter val="R$ 42,867.55"/>
            <filter val="R$ 430,845.92"/>
            <filter val="R$ 436,245.95"/>
            <filter val="R$ 44,559.33"/>
            <filter val="R$ 44,594.44"/>
            <filter val="R$ 442,964.55"/>
            <filter val="R$ 447,378.06"/>
            <filter val="R$ 449,892.29"/>
            <filter val="R$ 454,523.52"/>
            <filter val="R$ 454,815.67"/>
            <filter val="R$ 454,884.96"/>
            <filter val="R$ 46,567.55"/>
            <filter val="R$ 461,695.50"/>
            <filter val="R$ 466,634.96"/>
            <filter val="R$ 47,114.01"/>
            <filter val="R$ 47,363.79"/>
            <filter val="R$ 47,745.93"/>
            <filter val="R$ 48,256.88"/>
            <filter val="R$ 49,122.52"/>
            <filter val="R$ 49,400.81"/>
            <filter val="R$ 49,755.82"/>
            <filter val="R$ 491,793.38"/>
            <filter val="R$ 494,486.85"/>
            <filter val="R$ 494,652.08"/>
            <filter val="R$ 499,682.77"/>
            <filter val="R$ 5,072.91"/>
            <filter val="R$ 5,272.20"/>
            <filter val="R$ 5.55"/>
            <filter val="R$ 50,021.25"/>
            <filter val="R$ 50,235.48"/>
            <filter val="R$ 50,313.03"/>
            <filter val="R$ 50,555.96"/>
            <filter val="R$ 50,628.89"/>
            <filter val="R$ 50,747.86"/>
            <filter val="R$ 50.26"/>
            <filter val="R$ 505,887.98"/>
            <filter val="R$ 506,159.39"/>
            <filter val="R$ 509,020.56"/>
            <filter val="R$ 51,291.39"/>
            <filter val="R$ 512,555.95"/>
            <filter val="R$ 516,326.05"/>
            <filter val="R$ 518,951.57"/>
            <filter val="R$ 52,067.87"/>
            <filter val="R$ 52,143.83"/>
            <filter val="R$ 529,041.09"/>
            <filter val="R$ 53,641.79"/>
            <filter val="R$ 533,367.24"/>
            <filter val="R$ 55,545.70"/>
            <filter val="R$ 566,653.10"/>
            <filter val="R$ 566,734.95"/>
            <filter val="R$ 57,397.44"/>
            <filter val="R$ 571,465.32"/>
            <filter val="R$ 58,569.48"/>
            <filter val="R$ 58,632.55"/>
            <filter val="R$ 581,436.87"/>
            <filter val="R$ 587,784.24"/>
            <filter val="R$ 592,435.26"/>
            <filter val="R$ 594,234.29"/>
            <filter val="R$ 595,331.78"/>
            <filter val="R$ 6,005,596.18"/>
            <filter val="R$ 6,102.00"/>
            <filter val="R$ 6,628.61"/>
            <filter val="R$ 60,378.23"/>
            <filter val="R$ 600,995.90"/>
            <filter val="R$ 604,349.54"/>
            <filter val="R$ 606,237.94"/>
            <filter val="R$ 608,060.78"/>
            <filter val="R$ 609,812.97"/>
            <filter val="R$ 612,646.64"/>
            <filter val="R$ 62,797.85"/>
            <filter val="R$ 627,167.85"/>
            <filter val="R$ 629,675.94"/>
            <filter val="R$ 63,325.05"/>
            <filter val="R$ 635,773.95"/>
            <filter val="R$ 637,617.83"/>
            <filter val="R$ 642,259.74"/>
            <filter val="R$ 647,232.40"/>
            <filter val="R$ 648,027.67"/>
            <filter val="R$ 66,496.23"/>
            <filter val="R$ 66,641.42"/>
            <filter val="R$ 661,262.77"/>
            <filter val="R$ 667,585.98"/>
            <filter val="R$ 670,430.24"/>
            <filter val="R$ 677,433.36"/>
            <filter val="R$ 684,079.55"/>
            <filter val="R$ 686,106.35"/>
            <filter val="R$ 686,452.52"/>
            <filter val="R$ 69,433.98"/>
            <filter val="R$ 69,908.60"/>
            <filter val="R$ 692,743.23"/>
            <filter val="R$ 695,559.77"/>
            <filter val="R$ 70,254.30"/>
            <filter val="R$ 70,505.92"/>
            <filter val="R$ 706,487.76"/>
            <filter val="R$ 71,552.49"/>
            <filter val="R$ 71,920.45"/>
            <filter val="R$ 722,243.24"/>
            <filter val="R$ 729.09"/>
            <filter val="R$ 73,684.92"/>
            <filter val="R$ 73,758.13"/>
            <filter val="R$ 73,780.30"/>
            <filter val="R$ 734,751.36"/>
            <filter val="R$ 74,160.17"/>
            <filter val="R$ 75,545.65"/>
            <filter val="R$ 753,820.19"/>
            <filter val="R$ 76,616.57"/>
            <filter val="R$ 77,673.74"/>
            <filter val="R$ 770,341.47"/>
            <filter val="R$ 771,807.13"/>
            <filter val="R$ 776,296.78"/>
            <filter val="R$ 787,241.26"/>
            <filter val="R$ 79,569.85"/>
            <filter val="R$ 791,403.78"/>
            <filter val="R$ 793,669.27"/>
            <filter val="R$ 799,686.48"/>
            <filter val="R$ 8,020.29"/>
            <filter val="R$ 8,182.97"/>
            <filter val="R$ 8,286,387.70"/>
            <filter val="R$ 8,648.56"/>
            <filter val="R$ 80,142.49"/>
            <filter val="R$ 806,777.51"/>
            <filter val="R$ 819,516.43"/>
            <filter val="R$ 82,436.51"/>
            <filter val="R$ 821,280.09"/>
            <filter val="R$ 834,256.32"/>
            <filter val="R$ 839,394.89"/>
            <filter val="R$ 846,924.50"/>
            <filter val="R$ 85,685.59"/>
            <filter val="R$ 86,715.30"/>
            <filter val="R$ 866,906.14"/>
            <filter val="R$ 87,027.22"/>
            <filter val="R$ 87,103.29"/>
            <filter val="R$ 88,005.57"/>
            <filter val="R$ 89,560.38"/>
            <filter val="R$ 9.70"/>
            <filter val="R$ 91,165.55"/>
            <filter val="R$ 91,564.82"/>
            <filter val="R$ 91,587.30"/>
            <filter val="R$ 92,871.91"/>
            <filter val="R$ 929,489.91"/>
            <filter val="R$ 932,100.04"/>
            <filter val="R$ 938,332.24"/>
            <filter val="R$ 952,999.84"/>
            <filter val="R$ 953.24"/>
            <filter val="R$ 97,069.76"/>
            <filter val="R$ 97,309.47"/>
            <filter val="R$ 97,773.76"/>
            <filter val="R$ 98,658.00"/>
          </filters>
        </filterColumn>
        <filterColumn colId="43">
          <filters blank="1">
            <filter val="R$ 0.00"/>
            <filter val="R$ 0.01"/>
            <filter val="R$ 0.04"/>
            <filter val="R$ 0.05"/>
            <filter val="R$ 1,018,991.99"/>
            <filter val="R$ 1,020,081.73"/>
            <filter val="R$ 1,024,973.20"/>
            <filter val="R$ 1,030,597.86"/>
            <filter val="R$ 1,054,650.81"/>
            <filter val="R$ 1,058,910.21"/>
            <filter val="R$ 1,060,111.65"/>
            <filter val="R$ 1,062.82"/>
            <filter val="R$ 1,066,207.24"/>
            <filter val="R$ 1,067,565.04"/>
            <filter val="R$ 1,077.10"/>
            <filter val="R$ 1,078,972.63"/>
            <filter val="R$ 1,087,386.42"/>
            <filter val="R$ 1,132,366.37"/>
            <filter val="R$ 1,148,983.41"/>
            <filter val="R$ 1,163,013.64"/>
            <filter val="R$ 1,175,913.46"/>
            <filter val="R$ 1,208,309.75"/>
            <filter val="R$ 1,219,197.63"/>
            <filter val="R$ 1,228,233.75"/>
            <filter val="R$ 1,230,464.75"/>
            <filter val="R$ 1,240,433.53"/>
            <filter val="R$ 1,249,070.19"/>
            <filter val="R$ 1,249,250.74"/>
            <filter val="R$ 1,265,269.88"/>
            <filter val="R$ 1,287,933.72"/>
            <filter val="R$ 1,294,721.43"/>
            <filter val="R$ 1,302,805.80"/>
            <filter val="R$ 1,330,950.57"/>
            <filter val="R$ 1,337,778.23"/>
            <filter val="R$ 1,363,068.73"/>
            <filter val="R$ 1,366,216.04"/>
            <filter val="R$ 1,401,599.23"/>
            <filter val="R$ 1,447,073.51"/>
            <filter val="R$ 1,480,823.47"/>
            <filter val="R$ 1,501.80"/>
            <filter val="R$ 1,516,384.23"/>
            <filter val="R$ 1,549,643.83"/>
            <filter val="R$ 1,659,459.85"/>
            <filter val="R$ 1,732,559.45"/>
            <filter val="R$ 1,786,530.17"/>
            <filter val="R$ 1,815,036.86"/>
            <filter val="R$ 1,901,777.71"/>
            <filter val="R$ 1,905,968.81"/>
            <filter val="R$ 1,984,304.20"/>
            <filter val="R$ 10,303.30"/>
            <filter val="R$ 10,548.21"/>
            <filter val="R$ 100,000.00"/>
            <filter val="R$ 100,240.88"/>
            <filter val="R$ 100,266.31"/>
            <filter val="R$ 100.00"/>
            <filter val="R$ 101,439.73"/>
            <filter val="R$ 102,112.14"/>
            <filter val="R$ 103,586.63"/>
            <filter val="R$ 105,060.30"/>
            <filter val="R$ 105,231.89"/>
            <filter val="R$ 105,447.51"/>
            <filter val="R$ 105,845.33"/>
            <filter val="R$ 106,189.76"/>
            <filter val="R$ 106,310.81"/>
            <filter val="R$ 106,495.19"/>
            <filter val="R$ 106,670.24"/>
            <filter val="R$ 107,291.03"/>
            <filter val="R$ 107,631.81"/>
            <filter val="R$ 110,541.69"/>
            <filter val="R$ 110,627.56"/>
            <filter val="R$ 110,709.64"/>
            <filter val="R$ 110,715.87"/>
            <filter val="R$ 111,352.41"/>
            <filter val="R$ 111,394.25"/>
            <filter val="R$ 111,815.67"/>
            <filter val="R$ 114,006.86"/>
            <filter val="R$ 114,698.60"/>
            <filter val="R$ 114,841.84"/>
            <filter val="R$ 116,779.86"/>
            <filter val="R$ 117,141.19"/>
            <filter val="R$ 119,309.69"/>
            <filter val="R$ 12,973.30"/>
            <filter val="R$ 121,096.23"/>
            <filter val="R$ 122,333.01"/>
            <filter val="R$ 122,488.33"/>
            <filter val="R$ 123,194.03"/>
            <filter val="R$ 126,058.34"/>
            <filter val="R$ 127,288.00"/>
            <filter val="R$ 128,014.40"/>
            <filter val="R$ 128,721.41"/>
            <filter val="R$ 13,659.99"/>
            <filter val="R$ 13,818.94"/>
            <filter val="R$ 132,119.61"/>
            <filter val="R$ 132,166.66"/>
            <filter val="R$ 132,833.71"/>
            <filter val="R$ 132,974.39"/>
            <filter val="R$ 135,090.37"/>
            <filter val="R$ 135,424.92"/>
            <filter val="R$ 136,319.08"/>
            <filter val="R$ 137,218.75"/>
            <filter val="R$ 137,637.89"/>
            <filter val="R$ 139,024.40"/>
            <filter val="R$ 14.67"/>
            <filter val="R$ 140,187.42"/>
            <filter val="R$ 140,857.09"/>
            <filter val="R$ 141,258.94"/>
            <filter val="R$ 142,546.85"/>
            <filter val="R$ 145,078.47"/>
            <filter val="R$ 146,745.03"/>
            <filter val="R$ 148,547.36"/>
            <filter val="R$ 15,053.15"/>
            <filter val="R$ 15,733.96"/>
            <filter val="R$ 151,948.12"/>
            <filter val="R$ 153,223.70"/>
            <filter val="R$ 153,582.35"/>
            <filter val="R$ 154,046.65"/>
            <filter val="R$ 155,000.13"/>
            <filter val="R$ 155,985.48"/>
            <filter val="R$ 157,671.03"/>
            <filter val="R$ 158,432.58"/>
            <filter val="R$ 158,528.26"/>
            <filter val="R$ 16,054,702.01"/>
            <filter val="R$ 160,346.51"/>
            <filter val="R$ 163,717.89"/>
            <filter val="R$ 164,169.26"/>
            <filter val="R$ 164,502.06"/>
            <filter val="R$ 164,836.78"/>
            <filter val="R$ 17.86"/>
            <filter val="R$ 171,877.91"/>
            <filter val="R$ 172,124.46"/>
            <filter val="R$ 172,288.07"/>
            <filter val="R$ 175,758.13"/>
            <filter val="R$ 177,487.27"/>
            <filter val="R$ 178,119.97"/>
            <filter val="R$ 181,576.12"/>
            <filter val="R$ 183,105.10"/>
            <filter val="R$ 184.86"/>
            <filter val="R$ 187,400.79"/>
            <filter val="R$ 189,010.76"/>
            <filter val="R$ 189,585.81"/>
            <filter val="R$ 189,897.63"/>
            <filter val="R$ 19,446.68"/>
            <filter val="R$ 190,678.08"/>
            <filter val="R$ 191,279.63"/>
            <filter val="R$ 193,488.64"/>
            <filter val="R$ 194,378.52"/>
            <filter val="R$ 196,248.70"/>
            <filter val="R$ 196,972.77"/>
            <filter val="R$ 2,000,000.00"/>
            <filter val="R$ 2,065,620.69"/>
            <filter val="R$ 2,160,907.49"/>
            <filter val="R$ 2,235,994.67"/>
            <filter val="R$ 2,277,468.78"/>
            <filter val="R$ 2,682,028.77"/>
            <filter val="R$ 2,726,002.40"/>
            <filter val="R$ 2,754,067.60"/>
            <filter val="R$ 2,774,840.60"/>
            <filter val="R$ 2,892,360.45"/>
            <filter val="R$ 2,969,879.49"/>
            <filter val="R$ 20,580.91"/>
            <filter val="R$ 200,959.98"/>
            <filter val="R$ 201,445.17"/>
            <filter val="R$ 201,720.06"/>
            <filter val="R$ 205,220.16"/>
            <filter val="R$ 205,526.47"/>
            <filter val="R$ 206,781.25"/>
            <filter val="R$ 211,199.67"/>
            <filter val="R$ 214,129.11"/>
            <filter val="R$ 214,818.17"/>
            <filter val="R$ 215,002.09"/>
            <filter val="R$ 215,140.58"/>
            <filter val="R$ 215,286.59"/>
            <filter val="R$ 215,498.84"/>
            <filter val="R$ 219,295.90"/>
            <filter val="R$ 22,262.60"/>
            <filter val="R$ 22,687.80"/>
            <filter val="R$ 223,089.66"/>
            <filter val="R$ 229,311.73"/>
            <filter val="R$ 229,759.50"/>
            <filter val="R$ 232,166.14"/>
            <filter val="R$ 232,632.70"/>
            <filter val="R$ 237,389.47"/>
            <filter val="R$ 237,754.02"/>
            <filter val="R$ 237,988.82"/>
            <filter val="R$ 238,416.30"/>
            <filter val="R$ 239,681.00"/>
            <filter val="R$ 240,098.90"/>
            <filter val="R$ 243,545.23"/>
            <filter val="R$ 244,551.99"/>
            <filter val="R$ 25,817.29"/>
            <filter val="R$ 25,899.62"/>
            <filter val="R$ 254,816.15"/>
            <filter val="R$ 254,915.89"/>
            <filter val="R$ 255,090.55"/>
            <filter val="R$ 255,791.67"/>
            <filter val="R$ 256,710.05"/>
            <filter val="R$ 258,437.49"/>
            <filter val="R$ 258,603.46"/>
            <filter val="R$ 258,614.98"/>
            <filter val="R$ 26,423.82"/>
            <filter val="R$ 263,304.76"/>
            <filter val="R$ 263,943.59"/>
            <filter val="R$ 266,900.28"/>
            <filter val="R$ 268,541.05"/>
            <filter val="R$ 269,955.31"/>
            <filter val="R$ 27,767.72"/>
            <filter val="R$ 273,195.75"/>
            <filter val="R$ 276,097.30"/>
            <filter val="R$ 277,711.72"/>
            <filter val="R$ 277.30"/>
            <filter val="R$ 279,721.99"/>
            <filter val="R$ 28,009.08"/>
            <filter val="R$ 281,591.95"/>
            <filter val="R$ 285,881.02"/>
            <filter val="R$ 286,695.65"/>
            <filter val="R$ 297,092.46"/>
            <filter val="R$ 299,398.27"/>
            <filter val="R$ 3,031,897.57"/>
            <filter val="R$ 3,121,736.93"/>
            <filter val="R$ 3,155,608.43"/>
            <filter val="R$ 3,308,732.70"/>
            <filter val="R$ 3,316,293.09"/>
            <filter val="R$ 3,358,659.09"/>
            <filter val="R$ 3,468,512.14"/>
            <filter val="R$ 3,615,194.62"/>
            <filter val="R$ 3,653,413.64"/>
            <filter val="R$ 3,881,924.48"/>
            <filter val="R$ 3.86"/>
            <filter val="R$ 30,221.63"/>
            <filter val="R$ 302,212.93"/>
            <filter val="R$ 31,138.01"/>
            <filter val="R$ 312,072.35"/>
            <filter val="R$ 312,639.69"/>
            <filter val="R$ 313,206.47"/>
            <filter val="R$ 317,180.27"/>
            <filter val="R$ 318,618.01"/>
            <filter val="R$ 32,798.24"/>
            <filter val="R$ 320,370.19"/>
            <filter val="R$ 324,182.96"/>
            <filter val="R$ 325,639.68"/>
            <filter val="R$ 325.32"/>
            <filter val="R$ 329,253.36"/>
            <filter val="R$ 330,289.47"/>
            <filter val="R$ 330,730.58"/>
            <filter val="R$ 331,459.89"/>
            <filter val="R$ 334,907.89"/>
            <filter val="R$ 335,443.66"/>
            <filter val="R$ 34,032.59"/>
            <filter val="R$ 34,177.44"/>
            <filter val="R$ 34,481.94"/>
            <filter val="R$ 340,099.71"/>
            <filter val="R$ 343,653.30"/>
            <filter val="R$ 344,200.37"/>
            <filter val="R$ 344,570.82"/>
            <filter val="R$ 348,048.83"/>
            <filter val="R$ 349,419.43"/>
            <filter val="R$ 350,742.28"/>
            <filter val="R$ 351,187.59"/>
            <filter val="R$ 353,700.83"/>
            <filter val="R$ 353,935.74"/>
            <filter val="R$ 354,086.89"/>
            <filter val="R$ 354,108.05"/>
            <filter val="R$ 354,443.63"/>
            <filter val="R$ 359,135.21"/>
            <filter val="R$ 362,332.13"/>
            <filter val="R$ 362,555.21"/>
            <filter val="R$ 362,677.22"/>
            <filter val="R$ 368,762.06"/>
            <filter val="R$ 369,535.58"/>
            <filter val="R$ 373,865.00"/>
            <filter val="R$ 376,422.29"/>
            <filter val="R$ 376,718.50"/>
            <filter val="R$ 38,906.26"/>
            <filter val="R$ 384,393.43"/>
            <filter val="R$ 389,507.22"/>
            <filter val="R$ 39,568.06"/>
            <filter val="R$ 394,148.17"/>
            <filter val="R$ 395,593.05"/>
            <filter val="R$ 397.94"/>
            <filter val="R$ 398,364.46"/>
            <filter val="R$ 4,104,623.12"/>
            <filter val="R$ 4,118,031.41"/>
            <filter val="R$ 4,462.58"/>
            <filter val="R$ 4,750,632.23"/>
            <filter val="R$ 40,282.69"/>
            <filter val="R$ 40,627.37"/>
            <filter val="R$ 405,398.15"/>
            <filter val="R$ 408,062.01"/>
            <filter val="R$ 408,579.22"/>
            <filter val="R$ 41,413.94"/>
            <filter val="R$ 41,555.67"/>
            <filter val="R$ 410,236.80"/>
            <filter val="R$ 411,488.48"/>
            <filter val="R$ 414,069.55"/>
            <filter val="R$ 417,626.06"/>
            <filter val="R$ 418,518.76"/>
            <filter val="R$ 42,436.21"/>
            <filter val="R$ 420,357.87"/>
            <filter val="R$ 420,511.08"/>
            <filter val="R$ 427,783.51"/>
            <filter val="R$ 432,464.51"/>
            <filter val="R$ 433.82"/>
            <filter val="R$ 437,400.25"/>
            <filter val="R$ 44,838.89"/>
            <filter val="R$ 440,042.95"/>
            <filter val="R$ 446,342.96"/>
            <filter val="R$ 449,202.07"/>
            <filter val="R$ 45,000.80"/>
            <filter val="R$ 450,886.23"/>
            <filter val="R$ 455,268.96"/>
            <filter val="R$ 455,605.43"/>
            <filter val="R$ 459,118.81"/>
            <filter val="R$ 46,192.47"/>
            <filter val="R$ 47,181.15"/>
            <filter val="R$ 47,478.27"/>
            <filter val="R$ 47,504.14"/>
            <filter val="R$ 47,815.83"/>
            <filter val="R$ 470,661.51"/>
            <filter val="R$ 48,047.89"/>
            <filter val="R$ 48,073.61"/>
            <filter val="R$ 48,256.80"/>
            <filter val="R$ 48,591.25"/>
            <filter val="R$ 48,822.53"/>
            <filter val="R$ 49,034.53"/>
            <filter val="R$ 49,049.48"/>
            <filter val="R$ 49,615.32"/>
            <filter val="R$ 49,764.17"/>
            <filter val="R$ 491,878.69"/>
            <filter val="R$ 492,271.00"/>
            <filter val="R$ 495,607.59"/>
            <filter val="R$ 5,006.41"/>
            <filter val="R$ 5,646.25"/>
            <filter val="R$ 5,969.88"/>
            <filter val="R$ 5.55"/>
            <filter val="R$ 50,213.72"/>
            <filter val="R$ 50,485.35"/>
            <filter val="R$ 50,584.61"/>
            <filter val="R$ 50.26"/>
            <filter val="R$ 50.92"/>
            <filter val="R$ 500,246.61"/>
            <filter val="R$ 509,208.33"/>
            <filter val="R$ 52,450.33"/>
            <filter val="R$ 520,849.72"/>
            <filter val="R$ 522,608.53"/>
            <filter val="R$ 523,946.66"/>
            <filter val="R$ 526,109.95"/>
            <filter val="R$ 53,123.37"/>
            <filter val="R$ 533,677.29"/>
            <filter val="R$ 537,439.00"/>
            <filter val="R$ 54,127.45"/>
            <filter val="R$ 55,998.07"/>
            <filter val="R$ 554,795.52"/>
            <filter val="R$ 559,509.81"/>
            <filter val="R$ 559,522.29"/>
            <filter val="R$ 56,301.66"/>
            <filter val="R$ 564,056.01"/>
            <filter val="R$ 566,451.91"/>
            <filter val="R$ 570,352.28"/>
            <filter val="R$ 578,834.06"/>
            <filter val="R$ 585,277.97"/>
            <filter val="R$ 588,943.46"/>
            <filter val="R$ 593.20"/>
            <filter val="R$ 594,911.39"/>
            <filter val="R$ 599,761.88"/>
            <filter val="R$ 6,026,667.02"/>
            <filter val="R$ 6,587.54"/>
            <filter val="R$ 6,665.81"/>
            <filter val="R$ 60,377.08"/>
            <filter val="R$ 60,918.44"/>
            <filter val="R$ 611,489.99"/>
            <filter val="R$ 615,699.79"/>
            <filter val="R$ 618,147.01"/>
            <filter val="R$ 618,554.44"/>
            <filter val="R$ 622,970.52"/>
            <filter val="R$ 627,376.06"/>
            <filter val="R$ 63,368.38"/>
            <filter val="R$ 63,743.87"/>
            <filter val="R$ 635,116.45"/>
            <filter val="R$ 637,936.48"/>
            <filter val="R$ 638,633.82"/>
            <filter val="R$ 640,660.17"/>
            <filter val="R$ 648,936.31"/>
            <filter val="R$ 665,519.79"/>
            <filter val="R$ 67,044.49"/>
            <filter val="R$ 67,426.70"/>
            <filter val="R$ 670,425.23"/>
            <filter val="R$ 675,574.55"/>
            <filter val="R$ 68,617.76"/>
            <filter val="R$ 687,798.21"/>
            <filter val="R$ 688,107.42"/>
            <filter val="R$ 69,330.72"/>
            <filter val="R$ 690,160.78"/>
            <filter val="R$ 690,269.86"/>
            <filter val="R$ 7,075.21"/>
            <filter val="R$ 7,111.33"/>
            <filter val="R$ 7,514.41"/>
            <filter val="R$ 701,272.22"/>
            <filter val="R$ 71,100.93"/>
            <filter val="R$ 71,890.20"/>
            <filter val="R$ 71,993.83"/>
            <filter val="R$ 72,317.98"/>
            <filter val="R$ 731.42"/>
            <filter val="R$ 737,416.96"/>
            <filter val="R$ 738,799.22"/>
            <filter val="R$ 74,366.70"/>
            <filter val="R$ 740,955.26"/>
            <filter val="R$ 751,964.49"/>
            <filter val="R$ 761,808.76"/>
            <filter val="R$ 774,767.00"/>
            <filter val="R$ 78,274.95"/>
            <filter val="R$ 78,381.66"/>
            <filter val="R$ 78,462.55"/>
            <filter val="R$ 78,497.84"/>
            <filter val="R$ 792,816.03"/>
            <filter val="R$ 794,481.47"/>
            <filter val="R$ 796,616.21"/>
            <filter val="R$ 798,873.52"/>
            <filter val="R$ 8,086.59"/>
            <filter val="R$ 8,255.62"/>
            <filter val="R$ 8,338,874.47"/>
            <filter val="R$ 8,712.66"/>
            <filter val="R$ 80,094.84"/>
            <filter val="R$ 80,332.19"/>
            <filter val="R$ 80,771.11"/>
            <filter val="R$ 802,618.33"/>
            <filter val="R$ 804,260.81"/>
            <filter val="R$ 804,365.53"/>
            <filter val="R$ 81,636.55"/>
            <filter val="R$ 82,767.94"/>
            <filter val="R$ 827,608.99"/>
            <filter val="R$ 841,298.65"/>
            <filter val="R$ 844,581.11"/>
            <filter val="R$ 854,397.79"/>
            <filter val="R$ 856,971.53"/>
            <filter val="R$ 86,280.89"/>
            <filter val="R$ 86,670.15"/>
            <filter val="R$ 87,579.02"/>
            <filter val="R$ 88,869.13"/>
            <filter val="R$ 885,191.86"/>
            <filter val="R$ 89,078.46"/>
            <filter val="R$ 9.71"/>
            <filter val="R$ 903,584.83"/>
            <filter val="R$ 904,514.02"/>
            <filter val="R$ 92,396.30"/>
            <filter val="R$ 93,072.73"/>
            <filter val="R$ 937,853.27"/>
            <filter val="R$ 94,701.07"/>
            <filter val="R$ 94,902.41"/>
            <filter val="R$ 946,137.88"/>
            <filter val="R$ 95,296.87"/>
            <filter val="R$ 96,544.81"/>
            <filter val="R$ 97,261.04"/>
            <filter val="R$ 97,860.25"/>
            <filter val="R$ 98,424.87"/>
            <filter val="R$ 98,603.27"/>
            <filter val="R$ 994,268.77"/>
            <filter val="R$ 994,357.77"/>
          </filters>
        </filterColumn>
        <filterColumn colId="46">
          <filters blank="1">
            <filter val="R$ 0.00"/>
            <filter val="R$ 0.01"/>
            <filter val="R$ 0.05"/>
            <filter val="R$ 1,001,615.77"/>
            <filter val="R$ 1,001.72"/>
            <filter val="R$ 1,032,148.19"/>
            <filter val="R$ 1,037,210.17"/>
            <filter val="R$ 1,050,466.33"/>
            <filter val="R$ 1,052,286.48"/>
            <filter val="R$ 1,060,144.59"/>
            <filter val="R$ 1,063,698.27"/>
            <filter val="R$ 1,074,749.39"/>
            <filter val="R$ 1,092.88"/>
            <filter val="R$ 1,098,794.75"/>
            <filter val="R$ 1,107.56"/>
            <filter val="R$ 1,135,918.50"/>
            <filter val="R$ 1,150,550.24"/>
            <filter val="R$ 1,162,335.55"/>
            <filter val="R$ 1,184,469.50"/>
            <filter val="R$ 1,221,032.60"/>
            <filter val="R$ 1,223,884.13"/>
            <filter val="R$ 1,237,407.43"/>
            <filter val="R$ 1,255,754.27"/>
            <filter val="R$ 1,268,448.41"/>
            <filter val="R$ 1,272,725.39"/>
            <filter val="R$ 1,280,757.50"/>
            <filter val="R$ 1,284,055.75"/>
            <filter val="R$ 1,285,051.88"/>
            <filter val="R$ 1,336,013.41"/>
            <filter val="R$ 1,366,302.01"/>
            <filter val="R$ 1,369,971.36"/>
            <filter val="R$ 1,404,760.32"/>
            <filter val="R$ 1,437.56"/>
            <filter val="R$ 1,439,806.42"/>
            <filter val="R$ 1,483,501.85"/>
            <filter val="R$ 1,523,641.36"/>
            <filter val="R$ 1,523.78"/>
            <filter val="R$ 1,547,689.79"/>
            <filter val="R$ 1,610,207.10"/>
            <filter val="R$ 1,624,131.61"/>
            <filter val="R$ 1,772,542.69"/>
            <filter val="R$ 1,809,687.32"/>
            <filter val="R$ 1,812.67"/>
            <filter val="R$ 1,823,522.49"/>
            <filter val="R$ 1,828,516.55"/>
            <filter val="R$ 1,848,323.25"/>
            <filter val="R$ 1,864,495.37"/>
            <filter val="R$ 1,954,335.64"/>
            <filter val="R$ 1,962,597.82"/>
            <filter val="R$ 10,162.20"/>
            <filter val="R$ 10,552.25"/>
            <filter val="R$ 100,558.71"/>
            <filter val="R$ 100,730.48"/>
            <filter val="R$ 101,072.51"/>
            <filter val="R$ 101,601.19"/>
            <filter val="R$ 101,839.47"/>
            <filter val="R$ 102,160.26"/>
            <filter val="R$ 102,853.11"/>
            <filter val="R$ 102,899.13"/>
            <filter val="R$ 103,439.60"/>
            <filter val="R$ 106,220.49"/>
            <filter val="R$ 106,244.51"/>
            <filter val="R$ 109,627.24"/>
            <filter val="R$ 109,846.93"/>
            <filter val="R$ 11,345.97"/>
            <filter val="R$ 111,265.43"/>
            <filter val="R$ 111,871.11"/>
            <filter val="R$ 113,123.62"/>
            <filter val="R$ 113,253.94"/>
            <filter val="R$ 113,303.23"/>
            <filter val="R$ 115,227.69"/>
            <filter val="R$ 115,488.71"/>
            <filter val="R$ 117,482.91"/>
            <filter val="R$ 117,585.39"/>
            <filter val="R$ 117,879.39"/>
            <filter val="R$ 118,070.07"/>
            <filter val="R$ 119,101.48"/>
            <filter val="R$ 12,838.67"/>
            <filter val="R$ 12,904.64"/>
            <filter val="R$ 120,209.71"/>
            <filter val="R$ 122,210.89"/>
            <filter val="R$ 122,782.80"/>
            <filter val="R$ 124,891.86"/>
            <filter val="R$ 126,093.77"/>
            <filter val="R$ 126,759.44"/>
            <filter val="R$ 127,079.21"/>
            <filter val="R$ 127,514.13"/>
            <filter val="R$ 127,908.60"/>
            <filter val="R$ 128,227.68"/>
            <filter val="R$ 129,283.53"/>
            <filter val="R$ 129,787.32"/>
            <filter val="R$ 13,511.52"/>
            <filter val="R$ 130,026.38"/>
            <filter val="R$ 133,744.66"/>
            <filter val="R$ 135,840.05"/>
            <filter val="R$ 136,332.37"/>
            <filter val="R$ 137,681.35"/>
            <filter val="R$ 138,269.42"/>
            <filter val="R$ 138,546.58"/>
            <filter val="R$ 138,732.48"/>
            <filter val="R$ 139,785.27"/>
            <filter val="R$ 139,817.22"/>
            <filter val="R$ 14,000.74"/>
            <filter val="R$ 14,162.82"/>
            <filter val="R$ 14,559.84"/>
            <filter val="R$ 14.67"/>
            <filter val="R$ 140,837.20"/>
            <filter val="R$ 144,825.19"/>
            <filter val="R$ 144,970.06"/>
            <filter val="R$ 147,259.55"/>
            <filter val="R$ 147,481.45"/>
            <filter val="R$ 148,221.34"/>
            <filter val="R$ 149,727.91"/>
            <filter val="R$ 152,388.93"/>
            <filter val="R$ 152,764.24"/>
            <filter val="R$ 154,846.61"/>
            <filter val="R$ 156,763.01"/>
            <filter val="R$ 157,121.73"/>
            <filter val="R$ 157,315.28"/>
            <filter val="R$ 158,147.74"/>
            <filter val="R$ 158,148.68"/>
            <filter val="R$ 158,567.98"/>
            <filter val="R$ 16,053.74"/>
            <filter val="R$ 16,116.88"/>
            <filter val="R$ 16,388,186.82"/>
            <filter val="R$ 160,193.34"/>
            <filter val="R$ 160,613.10"/>
            <filter val="R$ 160,872.74"/>
            <filter val="R$ 162,179.09"/>
            <filter val="R$ 164,859.70"/>
            <filter val="R$ 166,145.88"/>
            <filter val="R$ 166,370.90"/>
            <filter val="R$ 167,576.59"/>
            <filter val="R$ 168,275.08"/>
            <filter val="R$ 169,526.39"/>
            <filter val="R$ 17.86"/>
            <filter val="R$ 172,788.35"/>
            <filter val="R$ 174,958.35"/>
            <filter val="R$ 176,745.19"/>
            <filter val="R$ 18.32"/>
            <filter val="R$ 180,851.73"/>
            <filter val="R$ 183,071.83"/>
            <filter val="R$ 183,385.50"/>
            <filter val="R$ 183,966.57"/>
            <filter val="R$ 189,968.42"/>
            <filter val="R$ 19.08"/>
            <filter val="R$ 191,185.99"/>
            <filter val="R$ 191,282.94"/>
            <filter val="R$ 192,079.67"/>
            <filter val="R$ 193,266.25"/>
            <filter val="R$ 195,075.61"/>
            <filter val="R$ 197,933.00"/>
            <filter val="R$ 199,574.03"/>
            <filter val="R$ 2,047,708.22"/>
            <filter val="R$ 2,055,002.86"/>
            <filter val="R$ 2,093,470.31"/>
            <filter val="R$ 2,213,182.04"/>
            <filter val="R$ 2,213,575.45"/>
            <filter val="R$ 2,298,507.66"/>
            <filter val="R$ 2,300.00"/>
            <filter val="R$ 2,380,802.78"/>
            <filter val="R$ 2,548,688.83"/>
            <filter val="R$ 2,714,748.31"/>
            <filter val="R$ 2,800,945.46"/>
            <filter val="R$ 2,818,899.59"/>
            <filter val="R$ 2,954,688.83"/>
            <filter val="R$ 20,328.42"/>
            <filter val="R$ 20,766.33"/>
            <filter val="R$ 200,282.08"/>
            <filter val="R$ 200,476.15"/>
            <filter val="R$ 201,823.01"/>
            <filter val="R$ 203,719.11"/>
            <filter val="R$ 204,753.59"/>
            <filter val="R$ 204,989.23"/>
            <filter val="R$ 206,949.11"/>
            <filter val="R$ 209,411.61"/>
            <filter val="R$ 21.27"/>
            <filter val="R$ 210,172.99"/>
            <filter val="R$ 210,504.58"/>
            <filter val="R$ 213,961.05"/>
            <filter val="R$ 216,335.49"/>
            <filter val="R$ 217,220.42"/>
            <filter val="R$ 218,353.98"/>
            <filter val="R$ 219,765.25"/>
            <filter val="R$ 220.00"/>
            <filter val="R$ 226,107.48"/>
            <filter val="R$ 226,519.07"/>
            <filter val="R$ 226,640.08"/>
            <filter val="R$ 227,458.26"/>
            <filter val="R$ 231,090.55"/>
            <filter val="R$ 233,431.32"/>
            <filter val="R$ 233,883.16"/>
            <filter val="R$ 236,622.47"/>
            <filter val="R$ 236,737.14"/>
            <filter val="R$ 236,867.04"/>
            <filter val="R$ 237,931.99"/>
            <filter val="R$ 240,868.50"/>
            <filter val="R$ 241,480.57"/>
            <filter val="R$ 242,446.82"/>
            <filter val="R$ 243,169.14"/>
            <filter val="R$ 243,901.96"/>
            <filter val="R$ 244,038.43"/>
            <filter val="R$ 246,251.74"/>
            <filter val="R$ 248,220.18"/>
            <filter val="R$ 249,493.29"/>
            <filter val="R$ 252,594.20"/>
            <filter val="R$ 255,201.50"/>
            <filter val="R$ 257,719.65"/>
            <filter val="R$ 26,197.12"/>
            <filter val="R$ 26,930.08"/>
            <filter val="R$ 261,031.09"/>
            <filter val="R$ 261,512.38"/>
            <filter val="R$ 261,540.82"/>
            <filter val="R$ 261,888.86"/>
            <filter val="R$ 262,459.89"/>
            <filter val="R$ 266,200.21"/>
            <filter val="R$ 267,143.19"/>
            <filter val="R$ 27,567.04"/>
            <filter val="R$ 271,647.22"/>
            <filter val="R$ 273,358.25"/>
            <filter val="R$ 273,662.88"/>
            <filter val="R$ 274,443.32"/>
            <filter val="R$ 278,382.04"/>
            <filter val="R$ 28,078.20"/>
            <filter val="R$ 28,424.87"/>
            <filter val="R$ 280.32"/>
            <filter val="R$ 282,605.19"/>
            <filter val="R$ 283,734.05"/>
            <filter val="R$ 284,758.78"/>
            <filter val="R$ 29.77"/>
            <filter val="R$ 291,247.23"/>
            <filter val="R$ 291,506.32"/>
            <filter val="R$ 292,129.58"/>
            <filter val="R$ 294,428.81"/>
            <filter val="R$ 295,032.11"/>
            <filter val="R$ 297,710.46"/>
            <filter val="R$ 3,038,251.64"/>
            <filter val="R$ 3,103,296.77"/>
            <filter val="R$ 3,195,039.22"/>
            <filter val="R$ 3,308,166.77"/>
            <filter val="R$ 3,390,746.18"/>
            <filter val="R$ 3,403,625.52"/>
            <filter val="R$ 3,589,657.17"/>
            <filter val="R$ 3,749,944.01"/>
            <filter val="R$ 3,753,742.36"/>
            <filter val="R$ 3,974,332.28"/>
            <filter val="R$ 30,392.48"/>
            <filter val="R$ 30,875.75"/>
            <filter val="R$ 302,510.10"/>
            <filter val="R$ 303,272.69"/>
            <filter val="R$ 309,060.87"/>
            <filter val="R$ 309,347.39"/>
            <filter val="R$ 309,359.80"/>
            <filter val="R$ 31,807.61"/>
            <filter val="R$ 310,118.80"/>
            <filter val="R$ 310,728.58"/>
            <filter val="R$ 315,303.30"/>
            <filter val="R$ 315,702.29"/>
            <filter val="R$ 319,594.49"/>
            <filter val="R$ 32,543.86"/>
            <filter val="R$ 32,997.86"/>
            <filter val="R$ 320,472.12"/>
            <filter val="R$ 326,108.63"/>
            <filter val="R$ 329,468.33"/>
            <filter val="R$ 33,420.70"/>
            <filter val="R$ 33.05"/>
            <filter val="R$ 331,973.66"/>
            <filter val="R$ 336,143.26"/>
            <filter val="R$ 336,615.92"/>
            <filter val="R$ 336,894.57"/>
            <filter val="R$ 34,671.11"/>
            <filter val="R$ 340,505.92"/>
            <filter val="R$ 341,631.92"/>
            <filter val="R$ 342,970.85"/>
            <filter val="R$ 343,331.92"/>
            <filter val="R$ 346,111.38"/>
            <filter val="R$ 35,204.20"/>
            <filter val="R$ 35,241.03"/>
            <filter val="R$ 35,609.49"/>
            <filter val="R$ 35.34"/>
            <filter val="R$ 350,558.06"/>
            <filter val="R$ 351,750.97"/>
            <filter val="R$ 351,930.36"/>
            <filter val="R$ 353,814.22"/>
            <filter val="R$ 354,585.95"/>
            <filter val="R$ 359,051.22"/>
            <filter val="R$ 36,047.55"/>
            <filter val="R$ 36,465.34"/>
            <filter val="R$ 36,560.68"/>
            <filter val="R$ 360,048.14"/>
            <filter val="R$ 361,575.81"/>
            <filter val="R$ 362,470.15"/>
            <filter val="R$ 362,599.84"/>
            <filter val="R$ 362,690.15"/>
            <filter val="R$ 364,856.23"/>
            <filter val="R$ 366,822.72"/>
            <filter val="R$ 367,439.83"/>
            <filter val="R$ 367,539.74"/>
            <filter val="R$ 367,839.66"/>
            <filter val="R$ 370,412.66"/>
            <filter val="R$ 371,332.54"/>
            <filter val="R$ 371,962.12"/>
            <filter val="R$ 375,998.35"/>
            <filter val="R$ 384,570.08"/>
            <filter val="R$ 386,516.66"/>
            <filter val="R$ 388,515.52"/>
            <filter val="R$ 39,481.53"/>
            <filter val="R$ 4,220,625.06"/>
            <filter val="R$ 4,230,755.17"/>
            <filter val="R$ 4,244,355.20"/>
            <filter val="R$ 4,330,001.94"/>
            <filter val="R$ 4,614,871.75"/>
            <filter val="R$ 4,701.33"/>
            <filter val="R$ 40,063.74"/>
            <filter val="R$ 40,674.87"/>
            <filter val="R$ 402,261.55"/>
            <filter val="R$ 405,700.58"/>
            <filter val="R$ 407,558.70"/>
            <filter val="R$ 409,645.10"/>
            <filter val="R$ 41,287.20"/>
            <filter val="R$ 414,156.46"/>
            <filter val="R$ 415,212.78"/>
            <filter val="R$ 416,908.41"/>
            <filter val="R$ 419,110.92"/>
            <filter val="R$ 419,820.89"/>
            <filter val="R$ 419,873.90"/>
            <filter val="R$ 42,204.33"/>
            <filter val="R$ 42,240.85"/>
            <filter val="R$ 421,571.79"/>
            <filter val="R$ 424,134.40"/>
            <filter val="R$ 424,507.21"/>
            <filter val="R$ 424,872.69"/>
            <filter val="R$ 428,703.97"/>
            <filter val="R$ 429,986.35"/>
            <filter val="R$ 434,688.50"/>
            <filter val="R$ 435.68"/>
            <filter val="R$ 44,982.02"/>
            <filter val="R$ 447,861.32"/>
            <filter val="R$ 448,399.72"/>
            <filter val="R$ 45,834.66"/>
            <filter val="R$ 452,304.01"/>
            <filter val="R$ 457,488.96"/>
            <filter val="R$ 459,171.94"/>
            <filter val="R$ 46,968.64"/>
            <filter val="R$ 467,515.65"/>
            <filter val="R$ 47,231.72"/>
            <filter val="R$ 47,818.23"/>
            <filter val="R$ 47,877.09"/>
            <filter val="R$ 477,677.57"/>
            <filter val="R$ 482,406.36"/>
            <filter val="R$ 487,891.47"/>
            <filter val="R$ 489,036.95"/>
            <filter val="R$ 49,430.06"/>
            <filter val="R$ 49,646.10"/>
            <filter val="R$ 49,747.29"/>
            <filter val="R$ 49,830.07"/>
            <filter val="R$ 495.50"/>
            <filter val="R$ 5,000.00"/>
            <filter val="R$ 5,662.28"/>
            <filter val="R$ 5,797,318.01"/>
            <filter val="R$ 5.55"/>
            <filter val="R$ 50,275.19"/>
            <filter val="R$ 50.26"/>
            <filter val="R$ 504,606.41"/>
            <filter val="R$ 504,882.80"/>
            <filter val="R$ 505,670.98"/>
            <filter val="R$ 513,140.40"/>
            <filter val="R$ 52,137.23"/>
            <filter val="R$ 520,086.43"/>
            <filter val="R$ 53,566.67"/>
            <filter val="R$ 533,438.11"/>
            <filter val="R$ 537,204.05"/>
            <filter val="R$ 539,299.95"/>
            <filter val="R$ 54,435.03"/>
            <filter val="R$ 543,769.68"/>
            <filter val="R$ 55,567.17"/>
            <filter val="R$ 55,777.95"/>
            <filter val="R$ 55,914.48"/>
            <filter val="R$ 550,339.08"/>
            <filter val="R$ 550,935.38"/>
            <filter val="R$ 557,066.15"/>
            <filter val="R$ 559,873.19"/>
            <filter val="R$ 56,173.70"/>
            <filter val="R$ 56,651.28"/>
            <filter val="R$ 56,915.16"/>
            <filter val="R$ 566,283.76"/>
            <filter val="R$ 57,124.59"/>
            <filter val="R$ 572,510.06"/>
            <filter val="R$ 573,373.79"/>
            <filter val="R$ 573,913.17"/>
            <filter val="R$ 578,456.36"/>
            <filter val="R$ 58,666.86"/>
            <filter val="R$ 58,806.46"/>
            <filter val="R$ 584,099.36"/>
            <filter val="R$ 589,795.71"/>
            <filter val="R$ 59,625.17"/>
            <filter val="R$ 59,863.50"/>
            <filter val="R$ 593,675.26"/>
            <filter val="R$ 593,915.89"/>
            <filter val="R$ 599,756.89"/>
            <filter val="R$ 6,198,048.03"/>
            <filter val="R$ 6,759.52"/>
            <filter val="R$ 60,179.48"/>
            <filter val="R$ 605,797.83"/>
            <filter val="R$ 607,050.12"/>
            <filter val="R$ 613,591.21"/>
            <filter val="R$ 616,152.86"/>
            <filter val="R$ 618,511.71"/>
            <filter val="R$ 62,390.42"/>
            <filter val="R$ 62,449.71"/>
            <filter val="R$ 62,568.40"/>
            <filter val="R$ 625,184.81"/>
            <filter val="R$ 633,330.80"/>
            <filter val="R$ 637,688.03"/>
            <filter val="R$ 64,099.99"/>
            <filter val="R$ 64,745.13"/>
            <filter val="R$ 645,332.56"/>
            <filter val="R$ 645,658.40"/>
            <filter val="R$ 648,672.86"/>
            <filter val="R$ 65,122.87"/>
            <filter val="R$ 651,865.15"/>
            <filter val="R$ 657,821.24"/>
            <filter val="R$ 66,948.91"/>
            <filter val="R$ 668,120.67"/>
            <filter val="R$ 67,813.40"/>
            <filter val="R$ 67,865.26"/>
            <filter val="R$ 67,963.36"/>
            <filter val="R$ 670,288.78"/>
            <filter val="R$ 677,840.76"/>
            <filter val="R$ 688,520.55"/>
            <filter val="R$ 69,784.91"/>
            <filter val="R$ 690,693.97"/>
            <filter val="R$ 7,174.63"/>
            <filter val="R$ 7,332,497.84"/>
            <filter val="R$ 705,505.43"/>
            <filter val="R$ 706,805.50"/>
            <filter val="R$ 71,056.31"/>
            <filter val="R$ 713,532.19"/>
            <filter val="R$ 718,767.34"/>
            <filter val="R$ 72,717.95"/>
            <filter val="R$ 724,329.76"/>
            <filter val="R$ 73,095.18"/>
            <filter val="R$ 73,289.24"/>
            <filter val="R$ 73,597.21"/>
            <filter val="R$ 748.49"/>
            <filter val="R$ 75,028.81"/>
            <filter val="R$ 75,391.26"/>
            <filter val="R$ 75,566.95"/>
            <filter val="R$ 75,769.16"/>
            <filter val="R$ 750,481.26"/>
            <filter val="R$ 751,642.51"/>
            <filter val="R$ 765,519.19"/>
            <filter val="R$ 767,063.11"/>
            <filter val="R$ 77,264.27"/>
            <filter val="R$ 777,749.68"/>
            <filter val="R$ 78,321.16"/>
            <filter val="R$ 788,851.10"/>
            <filter val="R$ 79,553.07"/>
            <filter val="R$ 791,149.87"/>
            <filter val="R$ 8,236,926.36"/>
            <filter val="R$ 8,914.99"/>
            <filter val="R$ 80,064.81"/>
            <filter val="R$ 80,159.88"/>
            <filter val="R$ 806,505.87"/>
            <filter val="R$ 806,972.53"/>
            <filter val="R$ 81,896.27"/>
            <filter val="R$ 811,716.97"/>
            <filter val="R$ 817,404.64"/>
            <filter val="R$ 82,402.63"/>
            <filter val="R$ 822,850.80"/>
            <filter val="R$ 823,387.03"/>
            <filter val="R$ 84,112.58"/>
            <filter val="R$ 85,488.26"/>
            <filter val="R$ 850,636.02"/>
            <filter val="R$ 852,917.92"/>
            <filter val="R$ 856,186.29"/>
            <filter val="R$ 86,552.22"/>
            <filter val="R$ 86,866.71"/>
            <filter val="R$ 86.38"/>
            <filter val="R$ 862,753.85"/>
            <filter val="R$ 863,930.09"/>
            <filter val="R$ 867,115.02"/>
            <filter val="R$ 87,237.52"/>
            <filter val="R$ 875,442.71"/>
            <filter val="R$ 88,648.81"/>
            <filter val="R$ 883,088.38"/>
            <filter val="R$ 885,576.29"/>
            <filter val="R$ 895,831.28"/>
            <filter val="R$ 9,279.92"/>
            <filter val="R$ 9.73"/>
            <filter val="R$ 90,200.82"/>
            <filter val="R$ 91,388.44"/>
            <filter val="R$ 93,530.33"/>
            <filter val="R$ 93,577.49"/>
            <filter val="R$ 93,604.02"/>
            <filter val="R$ 935,959.23"/>
            <filter val="R$ 938,170.02"/>
            <filter val="R$ 94,278.48"/>
            <filter val="R$ 96,678.81"/>
            <filter val="R$ 963,443.81"/>
            <filter val="R$ 966,990.10"/>
            <filter val="R$ 97,226.03"/>
            <filter val="R$ 97,755.11"/>
            <filter val="R$ 972,610.18"/>
            <filter val="R$ 975,509.87"/>
            <filter val="R$ 980,323.12"/>
            <filter val="R$ 99,689.10"/>
            <filter val="R$ 994,627.30"/>
            <filter val="R$ 995.42"/>
          </filters>
        </filterColumn>
      </autoFilter>
    </customSheetView>
    <customSheetView guid="{89C1539B-029C-4A93-ABD6-1E5ED24463CE}" filter="1" showAutoFilter="1">
      <pageMargins left="0" right="0" top="0" bottom="0" header="0" footer="0"/>
      <autoFilter ref="F2:F1093" xr:uid="{1185A202-0E38-496E-A9F3-680462D5FDB1}"/>
    </customSheetView>
    <customSheetView guid="{795295AF-CFCB-4FCC-B804-2D2424BE9A49}" filter="1" showAutoFilter="1">
      <pageMargins left="0" right="0" top="0" bottom="0" header="0" footer="0"/>
      <autoFilter ref="A1:AR1088" xr:uid="{F3F7267B-5C7B-4FB4-BF5C-CF3616EFE43B}">
        <filterColumn colId="6">
          <filters>
            <filter val="Marcus"/>
            <filter val="Gabriel"/>
          </filters>
        </filterColumn>
        <filterColumn colId="7">
          <filters blank="1">
            <filter val="Ativo"/>
            <filter val="Status"/>
          </filters>
        </filterColumn>
        <filterColumn colId="8">
          <filters blank="1">
            <filter val="------"/>
            <filter val="Bloqueado"/>
            <filter val="Monitoramento"/>
            <filter val="Resgate Total"/>
            <filter val="Situação"/>
            <filter val="STVM Saída"/>
            <filter val="Troca de Assessoria"/>
          </filters>
        </filterColumn>
        <filterColumn colId="12">
          <filters blank="1">
            <filter val="ARR"/>
            <filter val="BDR"/>
            <filter val="Carteira"/>
            <filter val="CON"/>
            <filter val="CON/ COADM"/>
            <filter val="CON/ GR"/>
            <filter val="CON/ PREV CON"/>
            <filter val="CON/ PREV MOD"/>
            <filter val="CORP"/>
            <filter val="CRIP"/>
            <filter val="DIV"/>
            <filter val="DIV/ COADM"/>
            <filter val="EQT"/>
            <filter val="EQT/ COADM"/>
            <filter val="INC CP"/>
            <filter val="INC CP/ COADM"/>
            <filter val="INC/ COADM"/>
            <filter val="INC/ PREV CON"/>
            <filter val="INC/ PREV MOD"/>
            <filter val="MOD"/>
            <filter val="MOD/ COADM"/>
            <filter val="MOD/ GR"/>
            <filter val="MOD/ PREV ARR"/>
            <filter val="MOD/ PREV MOD"/>
            <filter val="MOD/ PREV MOD/ COADM"/>
            <filter val="MONT"/>
            <filter val="MONT/ COADM"/>
            <filter val="MULT PRIV"/>
            <filter val="MULT PRIV/ CO ADM"/>
            <filter val="PREV"/>
            <filter val="PREV ARR"/>
            <filter val="PREV CON"/>
            <filter val="PREV MOD"/>
            <filter val="STOCK"/>
          </filters>
        </filterColumn>
      </autoFilter>
    </customSheetView>
    <customSheetView guid="{A50D27BC-8C13-4194-A754-7376F2F3B5DA}" filter="1" showAutoFilter="1">
      <pageMargins left="0" right="0" top="0" bottom="0" header="0" footer="0"/>
      <autoFilter ref="A2:AS1084" xr:uid="{0E22CE57-5D98-40EE-8BAC-2D5D7D756C6D}">
        <filterColumn colId="12">
          <filters>
            <filter val="CON/ COADM"/>
            <filter val="CON/ GR"/>
            <filter val="CORP"/>
            <filter val="DIV/ COADM"/>
            <filter val="EQT/ COADM"/>
            <filter val="INC CP"/>
            <filter val="INC CP/ COADM"/>
            <filter val="INC/ COADM"/>
            <filter val="MOD/ COADM"/>
            <filter val="MOD/ GR"/>
            <filter val="MOD/ PREV MOD/ COADM"/>
            <filter val="MONT/ COADM"/>
            <filter val="MULT PRIV"/>
            <filter val="MULT PRIV/ CO ADM"/>
            <filter val="STOCK"/>
          </filters>
        </filterColumn>
      </autoFilter>
    </customSheetView>
    <customSheetView guid="{9383F315-992B-4F81-9F15-ACA3399A25A8}" filter="1" showAutoFilter="1">
      <pageMargins left="0" right="0" top="0" bottom="0" header="0" footer="0"/>
      <autoFilter ref="A1:AQ1088" xr:uid="{4AA7B108-FE46-42AB-9975-91076AA34800}">
        <filterColumn colId="6">
          <filters>
            <filter val="Marcus"/>
            <filter val="Gabriel"/>
          </filters>
        </filterColumn>
        <filterColumn colId="7">
          <filters blank="1">
            <filter val="Ativo"/>
            <filter val="Status"/>
          </filters>
        </filterColumn>
        <filterColumn colId="12">
          <filters blank="1">
            <filter val="BDR"/>
            <filter val="Carteira"/>
            <filter val="CON/ COADM"/>
            <filter val="CON/ GR"/>
            <filter val="CON/ PREV CON"/>
            <filter val="CON/ PREV MOD"/>
            <filter val="CRIP"/>
            <filter val="DIV/ COADM"/>
            <filter val="EQT/ COADM"/>
            <filter val="INC"/>
            <filter val="INC CP"/>
            <filter val="INC CP/ COADM"/>
            <filter val="INC/ COADM"/>
            <filter val="INC/ PREV CON"/>
            <filter val="INC/ PREV MOD"/>
            <filter val="MOD/ COADM"/>
            <filter val="MOD/ GR"/>
            <filter val="MOD/ PREV ARR"/>
            <filter val="MOD/ PREV MOD"/>
            <filter val="MOD/ PREV MOD/ COADM"/>
            <filter val="MONT"/>
            <filter val="MONT/ COADM"/>
            <filter val="MULT PRIV"/>
            <filter val="MULT PRIV/ CO ADM"/>
            <filter val="PREV"/>
            <filter val="PREV ARR"/>
            <filter val="PREV CON"/>
            <filter val="PREV MOD"/>
            <filter val="STOCK"/>
          </filters>
        </filterColumn>
      </autoFilter>
    </customSheetView>
    <customSheetView guid="{B556C7A5-AB95-4E4B-B2D0-18365AF04A31}" filter="1" showAutoFilter="1">
      <pageMargins left="0" right="0" top="0" bottom="0" header="0" footer="0"/>
      <autoFilter ref="A2:AV1084" xr:uid="{ADB507A7-2DB1-4835-910D-E515A62BC573}">
        <filterColumn colId="7">
          <filters>
            <filter val="Ativo"/>
            <filter val="Inativo"/>
            <filter val="Pode Operar"/>
          </filters>
        </filterColumn>
      </autoFilter>
    </customSheetView>
    <customSheetView guid="{008E127E-C544-4EFA-BE3B-1D75A2D8A540}" filter="1" showAutoFilter="1">
      <pageMargins left="0" right="0" top="0" bottom="0" header="0" footer="0"/>
      <autoFilter ref="AO2:AO1093" xr:uid="{AA03F802-22DD-46A8-9D76-C10CC53FE902}"/>
    </customSheetView>
    <customSheetView guid="{308A98F0-B886-4603-9AAA-7507D9F3FDF3}" filter="1" showAutoFilter="1">
      <pageMargins left="0" right="0" top="0" bottom="0" header="0" footer="0"/>
      <autoFilter ref="A1:AQ1088" xr:uid="{72EB2D6C-E9BC-4222-938E-E6E2D2279CA7}">
        <filterColumn colId="7">
          <filters blank="1">
            <filter val="Ativo"/>
            <filter val="Encerrado"/>
            <filter val="Inativo"/>
            <filter val="Status"/>
          </filters>
        </filterColumn>
      </autoFilter>
    </customSheetView>
    <customSheetView guid="{94B1EE88-AAE4-419C-A337-E394A2D47789}" filter="1" showAutoFilter="1">
      <pageMargins left="0" right="0" top="0" bottom="0" header="0" footer="0"/>
      <autoFilter ref="A1:AQ1088" xr:uid="{BF7D7BB4-E7CD-4800-B73B-4079E69D9F33}">
        <filterColumn colId="6">
          <filters blank="1">
            <filter val="Gabriel"/>
            <filter val="Marcus"/>
          </filters>
        </filterColumn>
        <filterColumn colId="7">
          <filters blank="1">
            <filter val="Pode Operar"/>
            <filter val="Status"/>
          </filters>
        </filterColumn>
      </autoFilter>
    </customSheetView>
    <customSheetView guid="{AD7B492E-5EDA-4AB3-B46E-D679F16BA1C5}" filter="1" showAutoFilter="1">
      <pageMargins left="0" right="0" top="0" bottom="0" header="0" footer="0"/>
      <autoFilter ref="A1:AU1084" xr:uid="{BA44781E-9898-49F3-A5AE-033C2F2A0289}">
        <filterColumn colId="3">
          <filters>
            <filter val="Altum"/>
            <filter val="Bluemetrix"/>
            <filter val="Expert"/>
            <filter val="MI Smart"/>
            <filter val="Miura"/>
            <filter val="Nexco"/>
            <filter val="OP Club"/>
            <filter val="Poupinvista"/>
            <filter val="Solution For Life"/>
            <filter val="VcInvest"/>
            <filter val="Voga"/>
          </filters>
        </filterColumn>
        <filterColumn colId="4">
          <filters>
            <filter val="GO"/>
            <filter val="RJ"/>
            <filter val="UF"/>
          </filters>
        </filterColumn>
        <filterColumn colId="23">
          <filters blank="1">
            <filter val="BH"/>
            <filter val="ES"/>
            <filter val="MA"/>
            <filter val="MS"/>
            <filter val="MT"/>
            <filter val="PA"/>
            <filter val="PB"/>
            <filter val="PE"/>
            <filter val="UF cliente"/>
          </filters>
        </filterColumn>
      </autoFilter>
    </customSheetView>
    <customSheetView guid="{04B94E89-4EC8-4751-9D2C-F81029B1E06C}" filter="1" showAutoFilter="1">
      <pageMargins left="0" right="0" top="0" bottom="0" header="0" footer="0"/>
      <autoFilter ref="A1:AV1084" xr:uid="{53476511-CE4C-43FB-83D0-BD72AB4C35D5}">
        <filterColumn colId="5">
          <filters>
            <filter val="Alexandre Xavier"/>
            <filter val="André de Queiroz Coelho"/>
            <filter val="Antonio Volpato"/>
            <filter val="Bluemetrix"/>
            <filter val="Daniel Melhado"/>
            <filter val="Douglas Tuira"/>
            <filter val="Eleazar Ferreira Junior"/>
            <filter val="Felipe Cravos"/>
            <filter val="Felipe Miranda"/>
            <filter val="Gabriel Regis"/>
            <filter val="Guilherme dos Santos"/>
            <filter val="João Gabriel Miziara"/>
            <filter val="João Paulo Britto"/>
            <filter val="João Victor de Moura Beze"/>
            <filter val="Jorge Luiz Braga de Carvalho"/>
            <filter val="Larissa Montes"/>
            <filter val="Leonardo Nascimento Porto"/>
            <filter val="Lucas Ferreira"/>
            <filter val="Lucas Oliveira"/>
            <filter val="Luis Felipe"/>
            <filter val="Marcelo Franciscon"/>
            <filter val="Marcos Serra"/>
            <filter val="Marcus Macedo"/>
            <filter val="Mariana Rocha"/>
            <filter val="Norton Fritzsche"/>
            <filter val="Norton Jr"/>
            <filter val="Pamara Rosa"/>
            <filter val="Paula Bonfim"/>
            <filter val="Paula Lemos"/>
            <filter val="Rafael Guedes"/>
            <filter val="Rafaela Souza"/>
            <filter val="Raoni Costa"/>
            <filter val="Thais Helena"/>
            <filter val="thiago Canabrava"/>
            <filter val="Valeria Viana"/>
            <filter val="Victor Hugo Laurentino"/>
            <filter val="Vitor Pedrazzi"/>
          </filters>
        </filterColumn>
      </autoFilter>
    </customSheetView>
    <customSheetView guid="{B7EEEDA4-B1BD-42FA-A7D9-296D455A843A}" filter="1" showAutoFilter="1">
      <pageMargins left="0" right="0" top="0" bottom="0" header="0" footer="0"/>
      <autoFilter ref="B2:AP1088" xr:uid="{ADA8E48F-DA7E-4C17-8457-EC63AC070E9D}">
        <filterColumn colId="6">
          <filters blank="1">
            <filter val="Ativo"/>
            <filter val="Inativo"/>
          </filters>
        </filterColumn>
      </autoFilter>
    </customSheetView>
    <customSheetView guid="{ACC6E3C0-B31C-4914-B8EB-5C970F7276E1}" filter="1" showAutoFilter="1">
      <pageMargins left="0" right="0" top="0" bottom="0" header="0" footer="0"/>
      <autoFilter ref="B2:AN1088" xr:uid="{674A4C4B-8A90-4F07-8CDD-BA8EECDE76C1}"/>
    </customSheetView>
    <customSheetView guid="{71E42FA8-6CEB-4654-A089-2A9DF79B5124}" filter="1" showAutoFilter="1">
      <pageMargins left="0" right="0" top="0" bottom="0" header="0" footer="0"/>
      <autoFilter ref="B2:AN1093" xr:uid="{2753E5CF-461E-46EB-96A1-ED267A144442}"/>
    </customSheetView>
    <customSheetView guid="{4B144270-D511-4B35-9F3A-15D532C23A28}" filter="1" showAutoFilter="1">
      <pageMargins left="0" right="0" top="0" bottom="0" header="0" footer="0"/>
      <autoFilter ref="A1:AV1084" xr:uid="{C6CFB422-1B9D-4D2C-80C7-3EFFF5FE4657}"/>
    </customSheetView>
    <customSheetView guid="{76D4584F-C314-4A4E-9FC8-D8CBFFFD2BFD}" filter="1" showAutoFilter="1">
      <pageMargins left="0" right="0" top="0" bottom="0" header="0" footer="0"/>
      <autoFilter ref="B2:AL1088" xr:uid="{A9903463-76A7-4558-A5B7-241BF1D7F587}"/>
    </customSheetView>
    <customSheetView guid="{68027020-505F-4FEF-B89A-FA26CB86BFBD}" filter="1" showAutoFilter="1">
      <pageMargins left="0" right="0" top="0" bottom="0" header="0" footer="0"/>
      <autoFilter ref="A1:F1084" xr:uid="{635E2FCE-C20D-413C-8D3B-4A3AE144776C}"/>
    </customSheetView>
    <customSheetView guid="{F0BB1313-8DAB-4593-8379-B4E1E3B74303}" filter="1" showAutoFilter="1">
      <pageMargins left="0" right="0" top="0" bottom="0" header="0" footer="0"/>
      <autoFilter ref="A1:AS1084" xr:uid="{7227C3A4-2B25-4077-8BC4-2DE01B91DEB0}">
        <filterColumn colId="4">
          <filters>
            <filter val="DF"/>
            <filter val="RJ"/>
          </filters>
        </filterColumn>
      </autoFilter>
    </customSheetView>
    <customSheetView guid="{DC29F690-9655-45BB-92AA-E95A9B3310FB}" filter="1" showAutoFilter="1">
      <pageMargins left="0" right="0" top="0" bottom="0" header="0" footer="0"/>
      <autoFilter ref="A2:AV1084" xr:uid="{211B1704-D039-4B93-8348-87F3B1B87AF4}">
        <filterColumn colId="4">
          <filters>
            <filter val="RJ"/>
            <filter val="SUL"/>
          </filters>
        </filterColumn>
      </autoFilter>
    </customSheetView>
    <customSheetView guid="{6B15E0BD-4CEC-4AAD-8552-8A546D6B94C2}" filter="1" showAutoFilter="1">
      <pageMargins left="0" right="0" top="0" bottom="0" header="0" footer="0"/>
      <autoFilter ref="A1:AU1084" xr:uid="{13EC3A53-66A5-4D2C-947D-9AE4134E6AA3}">
        <filterColumn colId="4">
          <filters>
            <filter val="DF"/>
            <filter val="RJ"/>
            <filter val="SUL"/>
            <filter val="UF"/>
          </filters>
        </filterColumn>
        <filterColumn colId="5">
          <filters>
            <filter val="Alexandre Teixeira Campos"/>
            <filter val="Alexandre Xavier"/>
            <filter val="André de Queiroz Coelho"/>
            <filter val="Andrea Lopes"/>
            <filter val="Antonio Carlos Dos Santos"/>
            <filter val="Antonio Volpato"/>
            <filter val="Assessor"/>
            <filter val="Augusto Sampaio"/>
            <filter val="Bluemetrix"/>
            <filter val="Bruno Henrique"/>
            <filter val="Bruno Jaime"/>
            <filter val="Bruno Ribeiro"/>
            <filter val="Caio Cesar Da Rocha Valente Araujo"/>
            <filter val="Caroline Facó Ehlers"/>
            <filter val="Cecilia Arcoverde Bezerra Pires"/>
            <filter val="Daniel Cambraia Danzig"/>
            <filter val="Daniel Melhado"/>
            <filter val="Douglas Tuira"/>
            <filter val="Eduardo Leopoldino"/>
            <filter val="Eleazar Ferreira Junior"/>
            <filter val="Fabrício Bonfim"/>
            <filter val="Felipe Cravos"/>
            <filter val="Felipe Miranda"/>
            <filter val="Felipe Rios"/>
            <filter val="Gabriel Bicalho Fontes Raydan"/>
            <filter val="Gabriel Regis"/>
            <filter val="Gabriel Stella"/>
            <filter val="Guilherme dos Santos"/>
            <filter val="Guilherme Marques"/>
            <filter val="Guilherme Rios Guercio"/>
            <filter val="Guilherme Sales"/>
            <filter val="Gustavo Amorim"/>
            <filter val="Hugo Motta"/>
            <filter val="Jessica Mariane Cunha Ribeiro"/>
            <filter val="João Gabriel Miziara"/>
            <filter val="João Paulo Britto"/>
            <filter val="João Victor de Moura Beze"/>
            <filter val="Joney Alves"/>
            <filter val="Jorge Luiz Braga de Carvalho"/>
            <filter val="Larissa Montes"/>
            <filter val="Leandro Soares Lemos De Sousa"/>
            <filter val="Leonardo Nascimento Porto"/>
            <filter val="Luca Bueno"/>
            <filter val="Lucas Ferreira"/>
            <filter val="Lucas Oliveira"/>
            <filter val="Lucio Guimaraes Moscareli"/>
            <filter val="Luis Felipe"/>
            <filter val="Marcelo Franciscon"/>
            <filter val="Marcos Serra"/>
            <filter val="Marcus Macedo"/>
            <filter val="Mariana Rocha"/>
            <filter val="Matheus Vilar"/>
            <filter val="Neyla Mara De Sousa Abrantes Pereira"/>
            <filter val="Norton Fritzsche"/>
            <filter val="Norton Jr"/>
            <filter val="Pamara Rosa"/>
            <filter val="Paula Bonfim"/>
            <filter val="Paula Lemos"/>
            <filter val="Pedro Vinicius Pereira De Andrade"/>
            <filter val="Rafael Guedes"/>
            <filter val="Rafael Pagnan"/>
            <filter val="Rafael Vilela"/>
            <filter val="Rafaela Souza"/>
            <filter val="Raoni Costa"/>
            <filter val="Rejane Machado Souza"/>
            <filter val="Rodolfo Gomes"/>
            <filter val="Rodrigo Milanez"/>
            <filter val="Rogerio Magalhaes Coelho"/>
            <filter val="Thais Helena"/>
            <filter val="Theo Ramos Moutinho"/>
            <filter val="thiago Canabrava"/>
            <filter val="Valeria Viana"/>
            <filter val="Victor Hugo Laurentino"/>
            <filter val="Vitor Pedrazzi"/>
            <filter val="Vivian"/>
            <filter val="Yasmin Maia Muniz Xavier"/>
          </filters>
        </filterColumn>
        <filterColumn colId="23">
          <filters blank="1">
            <filter val="ES"/>
            <filter val="MA"/>
            <filter val="MS"/>
            <filter val="PE"/>
          </filters>
        </filterColumn>
      </autoFilter>
    </customSheetView>
    <customSheetView guid="{351F5E9C-A977-48CE-983D-BE49DC49D48F}" filter="1" showAutoFilter="1">
      <pageMargins left="0" right="0" top="0" bottom="0" header="0" footer="0"/>
      <autoFilter ref="A1:AS1093" xr:uid="{8C974B15-D700-4747-9C30-F59470332056}"/>
    </customSheetView>
    <customSheetView guid="{D79DC086-EEDD-4790-8146-D52BA9A7F131}" filter="1" showAutoFilter="1">
      <pageMargins left="0" right="0" top="0" bottom="0" header="0" footer="0"/>
      <autoFilter ref="A1:AU1084" xr:uid="{08A40DEA-02F9-48DA-8C6E-E07FA2962651}">
        <filterColumn colId="17">
          <filters>
            <filter val="A conta 008411505 foi encerrada a pedido dos clientes, que desejaram alterar o titular. Como solicitado, a conta 008458289 foi aberta."/>
            <filter val="Aguardando resposta do FA / Troca de Assessoria de Thiago Canbrava para Matheus Vilar"/>
            <filter val="Alteração dde carteira finalizada (09/09/2025)"/>
            <filter val="Alteração de carteira finalizada (01/03/2024)/ STVM Interna de saída para a conta 005161568"/>
            <filter val="Alteração de carteira finalizada (02/04/2024)"/>
            <filter val="Alteração de carteira finalizada (02/10/2024)"/>
            <filter val="Alteração de carteira finalizada (03/10/2023)"/>
            <filter val="Alteração de carteira finalizada (03/10/2024) / Diatrao unilateral"/>
            <filter val="Alteração de carteira finalizada (04/11/2024)"/>
            <filter val="Alteração de carteira finalizada (04/11/2025)"/>
            <filter val="Alteração de carteira finalizada (05/02/2024)"/>
            <filter val="Alteração de carteira finalizada (05/03/2024)"/>
            <filter val="Alteração de carteira finalizada (06/02/2025)"/>
            <filter val="Alteração de carteira finalizada (06/05/2025)"/>
            <filter val="Alteração de carteira finalizada (06/06/2025)"/>
            <filter val="Alteração de carteira finalizada (06/10/2023)"/>
            <filter val="Alteração de carteira finalizada (07/12/2023)"/>
            <filter val="Alteração de carteira finalizada (08/12/2025)"/>
            <filter val="Alteração de carteira finalizada (09/08/2024)"/>
            <filter val="Alteração de carteira finalizada (09/11/2023)"/>
            <filter val="Alteração de carteira finalizada (09/12/2024)"/>
            <filter val="Alteração de carteira finalizada (10/02/2025)"/>
            <filter val="Alteração de carteira finalizada (12/08/2025)"/>
            <filter val="Alteração de carteira finalizada (12/11/2025)"/>
            <filter val="Alteração de carteira finalizada (13/02/2025)"/>
            <filter val="Alteração de carteira finalizada (13/05/2024)"/>
            <filter val="Alteração de carteira finalizada (13/05/2025)"/>
            <filter val="Alteração de carteira finalizada (13/11/2023)"/>
            <filter val="Alteração de carteira finalizada (14/04/2025)"/>
            <filter val="Alteração de carteira finalizada (14/07/2023)"/>
            <filter val="Alteração de carteira finalizada (14/11/2025)"/>
            <filter val="Alteração de carteira finalizada (15/02/2024)"/>
            <filter val="Alteração de carteira finalizada (15/03/2024)"/>
            <filter val="Alteração de Carteira finalizada (15/09/2025)"/>
            <filter val="Alteração de carteira finalizada (17/01/2024)"/>
            <filter val="Alteração de carteira finalizada (17/06/2024)"/>
            <filter val="Alteração de carteira finalizada (17/07/2025)"/>
            <filter val="Alteração de carteira finalizada (17/11/2025)"/>
            <filter val="Alteração de carteira finalizada (17/12/2024)"/>
            <filter val="Alteração de carteira finalizada (20/01//2025)"/>
            <filter val="Alteração de carteira finalizada (20/01/2025)"/>
            <filter val="Alteração de carteira finalizada (21/10/2024)"/>
            <filter val="Alteração de carteira finalizada (22/07/2024)"/>
            <filter val="Alteração de carteira finalizada (23/10/2023)"/>
            <filter val="Alteração de carteira finalizada (24/01/2024)"/>
            <filter val="Alteração de carteira finalizada (24/07/2023)"/>
            <filter val="Alteração de carteira finalizada (25/09/2025)"/>
            <filter val="Alteração de carteira finalizada (26/02/2024)"/>
            <filter val="Alteração de carteira finalizada (26/11/2024)"/>
            <filter val="Alteração de carteira finalizada (27/03/2024)"/>
            <filter val="Alteração de carteira finalizada (27/06/2024)"/>
            <filter val="Alteração de carteira finalizada (27/07/2023)"/>
            <filter val="Alteração de carteira finalizada (27/11/2023)"/>
            <filter val="Alteração de carteira finalizada (29/01/2024)"/>
            <filter val="Alteração de carteira finalizada. (25/09/2025)"/>
            <filter val="Alterado a conta de N° 003836362 (sem saldo) / Alteração de carteira finalizada (18/04/2024)"/>
            <filter val="Cliente retornou a base com novo contrato (29/08/2025)"/>
            <filter val="Cliente retornou para a base dia 10/10/2024"/>
            <filter val="Cliente retornou para a base dia 21/10/2024 sob nova carteira"/>
            <filter val="Cliente saiu da base (18/09/2024)"/>
            <filter val="Cliente saiu da base dia 22/10/2024 retornou sob nova carteira dia 19/11/2024 / Alteração de carteira finalizada (30/01/2025)"/>
            <filter val="Cliente sofreu tentativa de fraude - qualquer alteração em seu cadastro ou movimentação na conta entrar em contato com o FA/Cliente para confirmação."/>
            <filter val="Cliente solicitou distrato"/>
            <filter val="Cliente solicitou distrato (19/08/2024)"/>
            <filter val="Cliente solicitou distrato (20/06/2024)"/>
            <filter val="Cliente solicitou distrato 23/05/2024"/>
            <filter val="Cliente solicitou distrato dia 25/04/2023"/>
            <filter val="Cliente solicitou o distrato (08/08/2024)"/>
            <filter val="Cliente solicitou troca de assessoria"/>
            <filter val="Cliente solicitou troca de assessoria (08/08/2024)"/>
            <filter val="Cliente solicitou troca de assessoria (17/07/2024)"/>
            <filter val="Cliente solicitou troca de assessoria (30/07/2024)"/>
            <filter val="Cliente solicitou troca de assessortia (16/07/2024)"/>
            <filter val="Cliente sumiu da base"/>
            <filter val="Cliente sumiu da base (06/05/2024)"/>
            <filter val="Cliente sumiu da base 05/03/2024"/>
            <filter val="Cliente vai resgatar sozinho/ Troca de Assessoria de Thiago Canbrava para Matheus Vilar"/>
            <filter val="Conta à ser encerrada, aguardando recebimentos de dividendo para 2025"/>
            <filter val="Conta criada sem necessidade (17/06/2024)"/>
            <filter val="Conta será encerrada"/>
            <filter val="Distrati unilateral"/>
            <filter val="Distrato solicitado dia 20/06/2024"/>
            <filter val="Distrato unilatera"/>
            <filter val="Distrato Unilateral"/>
            <filter val="Distrato unilateral."/>
            <filter val="Em processo de STVM"/>
            <filter val="Está em processo de portabilidade dos recursos do safra para o Bluemetrix."/>
            <filter val="Não apagar observação: Troca de assessor 01/12/2023 - Antigo: Conquest - Juliana Abreu"/>
            <filter val="PL acima de R$ 2.000.000,00, de forma que se o cliente resgatar a taxa retorne automático para 1,2%a.a., sem necessidade de novo contrato. STVM interna finalizada (05/06/2024)"/>
            <filter val="Primeira conta 004794805 viculada por erro do FA."/>
            <filter val="Solicitou resgate total dia 08/03/2024 / Distrato unilateral"/>
            <filter val="STVM de entrada da Guide finalizada (02/10/2023) / Alteração de carteira finalizada (15/09/2023)"/>
            <filter val="STVM de entrada da Guide finalizada (06/11/2023) / Alteração de carteira finalizada (05/08/2024)"/>
            <filter val="STVM de entrada da Guide finalizada (06/12/2023) / Alteração de carteira finalizada (22/12/2023)"/>
            <filter val="STVM de entrada da Guide finalizada (09/10/2023) / Alteração de carteira finalizada (21/01/2025)"/>
            <filter val="STVM de entrada da Guide finalizada (10/01/2024) / Alteração de carteira finalizada (20/01/2025)"/>
            <filter val="STVM de entrada da Guide finalizada (13/07/2023) / Alteração de carteira finalizada (21/01/2025)"/>
            <filter val="STVM de entrada da Guide finalizada (13/09/2023) / Alteração de carteira finalizada (01/03/2024)"/>
            <filter val="STVM de entrada da Guide finalizada (13/09/2023) / Alteração de carteira finalizada (22/12/2023)"/>
            <filter val="STVM de entrada da Guide finalizada (13/11/2023) Alteração de carteira finalizada (26/11/2024)"/>
            <filter val="STVM de entrada da Guide finalizada (30/10/2023) / Alteração de carteira finalizada (14/06/2024)"/>
            <filter val="STVM de entrada finalizada (28/05/2024)"/>
            <filter val="STVM de saída para XP finalizada (22/02/2024)"/>
            <filter val="STVM de saída para XP finalizada (31/01/2024)"/>
            <filter val="STVM de saída para XP iniciada (13/05/2024)"/>
            <filter val="STVM de saída para XP iniciada (25/06/2024) Cliente sumiu da base"/>
            <filter val="STVM Interna de entrada da conta 004254210"/>
            <filter val="STVM Interna finalizada (01/07/2024)"/>
            <filter val="STVM interna finalizada (08/01/2024) / Conta será encerrada após valor em trânsito cair"/>
            <filter val="STVM interna finalizada (12/03/2024)"/>
            <filter val="STVM interna finalizada (18/07/2024)"/>
            <filter val="STVM interna finalizada (19/03/2024) Cliente solicitou distrato 19/07/2024"/>
            <filter val="STVM interna finalizada (19/07/2024)"/>
            <filter val="STVM interna finalizada (27/02/2024)"/>
            <filter val="STVM interna finalizada (27/02/2024) / Alteração de carteira Finalizada (11/03/2024)"/>
            <filter val="Tirar da base (06/06/2024)"/>
            <filter val="Troca de Assessoria de Thiago Canabrava para Matheus Vilar"/>
            <filter val="Troca de Assessoria de Thiago Canbrava para Guilherme dos Santos"/>
            <filter val="Troca de Assessoria de Thiago Canbrava para Guilherme dos Santos / Resgate total da carteira (04/04/2024)"/>
            <filter val="Troca de Assessoria de Thiago Canbrava para Matheus Vilar"/>
          </filters>
        </filterColumn>
      </autoFilter>
    </customSheetView>
    <customSheetView guid="{82A40C77-C21E-423D-9026-A1FFC3D45689}" filter="1" showAutoFilter="1">
      <pageMargins left="0" right="0" top="0" bottom="0" header="0" footer="0"/>
      <autoFilter ref="AH2:AH1093" xr:uid="{FB3AE28F-FD6D-465D-922C-A582496B6579}"/>
    </customSheetView>
    <customSheetView guid="{3B3B7747-6ACF-4D69-A9DA-2034D46A0C17}" filter="1" showAutoFilter="1">
      <pageMargins left="0" right="0" top="0" bottom="0" header="0" footer="0"/>
      <autoFilter ref="D2:AN1093" xr:uid="{3AF1AFD3-E452-437D-898F-12A5A96BE513}"/>
    </customSheetView>
    <customSheetView guid="{8EA094D4-B192-4EF2-B9D1-8FBC187F625E}" filter="1" showAutoFilter="1">
      <pageMargins left="0" right="0" top="0" bottom="0" header="0" footer="0"/>
      <autoFilter ref="B2:AO1088" xr:uid="{F5E7ADD5-2BDE-43DB-9521-C61EA587BFC0}">
        <filterColumn colId="11">
          <filters blank="1">
            <filter val="ARR"/>
            <filter val="CON/ COADM"/>
            <filter val="CON/ GR"/>
            <filter val="CORP"/>
            <filter val="DIV/ COADM"/>
            <filter val="EQT/ COADM"/>
            <filter val="INC CP"/>
            <filter val="INC CP/ COADM"/>
            <filter val="INC/ COADM"/>
            <filter val="MOD"/>
            <filter val="MOD/ COADM"/>
            <filter val="MOD/ GR"/>
            <filter val="MOD/ PREV ARR"/>
            <filter val="MOD/ PREV MOD"/>
            <filter val="MOD/ PREV MOD/ COADM"/>
            <filter val="MONT/ COADM"/>
            <filter val="MULT PRIV"/>
            <filter val="MULT PRIV/ CO ADM"/>
            <filter val="PREV"/>
            <filter val="PREV ARR"/>
            <filter val="PREV MOD"/>
            <filter val="STOCK"/>
          </filters>
        </filterColumn>
        <filterColumn colId="13">
          <filters blank="1">
            <filter val="IBOVESPA"/>
            <filter val="IFIX"/>
            <filter val="IPCA + 7%"/>
            <filter val="S&amp;P 500"/>
            <filter val="SMLL"/>
          </filters>
        </filterColumn>
      </autoFilter>
    </customSheetView>
    <customSheetView guid="{0F1F1A7D-DBBA-48E6-8155-A22F73061F6A}" filter="1" showAutoFilter="1">
      <pageMargins left="0" right="0" top="0" bottom="0" header="0" footer="0"/>
      <autoFilter ref="A1:AT1084" xr:uid="{64A71772-9630-4802-9D54-46CEFF7C646B}">
        <filterColumn colId="5">
          <filters>
            <filter val="Alexandre Teixeira Campos"/>
            <filter val="Alexandre Xavier"/>
            <filter val="André de Queiroz Coelho"/>
            <filter val="Antonio Volpato"/>
            <filter val="Augusto Sampaio"/>
            <filter val="Bluemetrix"/>
            <filter val="Caroline Facó Ehlers"/>
            <filter val="Daniel Melhado"/>
            <filter val="Douglas Tuira"/>
            <filter val="Eleazar Ferreira Junior"/>
            <filter val="Felipe Cravos"/>
            <filter val="Felipe Miranda"/>
            <filter val="Gabriel Regis"/>
            <filter val="Gabriel Stella"/>
            <filter val="Guilherme dos Santos"/>
            <filter val="João Gabriel Miziara"/>
            <filter val="João Paulo Britto"/>
            <filter val="João Victor de Moura Beze"/>
            <filter val="Joney Alves"/>
            <filter val="Jorge Luiz Braga de Carvalho"/>
            <filter val="Larissa Montes"/>
            <filter val="Leonardo Nascimento Porto"/>
            <filter val="Luca Bueno"/>
            <filter val="Lucas Ferreira"/>
            <filter val="Lucas Oliveira"/>
            <filter val="Luis Felipe"/>
            <filter val="Marcelo Franciscon"/>
            <filter val="Marcos Serra"/>
            <filter val="Marcus Macedo"/>
            <filter val="Mariana Rocha"/>
            <filter val="Norton Jr"/>
            <filter val="Pamara Rosa"/>
            <filter val="Paula Bonfim"/>
            <filter val="Paula Lemos"/>
            <filter val="Rafael Guedes"/>
            <filter val="Rafaela Souza"/>
            <filter val="Raoni Costa"/>
            <filter val="Thais Helena"/>
            <filter val="thiago Canabrava"/>
            <filter val="Valeria Viana"/>
            <filter val="Victor Hugo Laurentino"/>
            <filter val="Vitor Pedrazzi"/>
          </filters>
        </filterColumn>
        <filterColumn colId="12">
          <filters>
            <filter val="BDR"/>
            <filter val="Carteira"/>
            <filter val="CON/ COADM"/>
            <filter val="CON/ GR"/>
            <filter val="CON/ PREV CON"/>
            <filter val="CON/ PREV MOD"/>
            <filter val="CORP"/>
            <filter val="CRIP"/>
            <filter val="DIV"/>
            <filter val="DIV/ COADM"/>
            <filter val="EQT/ COADM"/>
            <filter val="FUND"/>
            <filter val="INC CP"/>
            <filter val="INC CP/ COADM"/>
            <filter val="INC/ COADM"/>
            <filter val="INC/ PREV CON"/>
            <filter val="INC/ PREV MOD"/>
            <filter val="MOD/ COADM"/>
            <filter val="MOD/ GR"/>
            <filter val="MOD/ PREV ARR"/>
            <filter val="MOD/ PREV MOD"/>
            <filter val="MOD/ PREV MOD/ COADM"/>
            <filter val="MONT"/>
            <filter val="MONT/ COADM"/>
            <filter val="MULT PRIV"/>
            <filter val="MULT PRIV/ CO ADM"/>
            <filter val="PREV CON"/>
            <filter val="PREV MOD"/>
            <filter val="STOCK"/>
          </filters>
        </filterColumn>
        <filterColumn colId="45">
          <filters blank="1">
            <filter val="29/12/2023"/>
            <filter val="R$ 0.00"/>
            <filter val="R$ 0.01"/>
            <filter val="R$ 0.05"/>
            <filter val="R$ 1,010.44"/>
            <filter val="R$ 1,013,924.21"/>
            <filter val="R$ 1,033,375.41"/>
            <filter val="R$ 1,035,142.28"/>
            <filter val="R$ 1,040,938.18"/>
            <filter val="R$ 1,044,650.86"/>
            <filter val="R$ 1,045,311.94"/>
            <filter val="R$ 1,051,464.13"/>
            <filter val="R$ 1,082,442.27"/>
            <filter val="R$ 1,082.15"/>
            <filter val="R$ 1,096.69"/>
            <filter val="R$ 1,099,271.98"/>
            <filter val="R$ 1,101,264.32"/>
            <filter val="R$ 1,123,444.54"/>
            <filter val="R$ 1,151,073.29"/>
            <filter val="R$ 1,174,396.05"/>
            <filter val="R$ 1,194,938.98"/>
            <filter val="R$ 1,200,138.58"/>
            <filter val="R$ 1,226,329.60"/>
            <filter val="R$ 1,239,969.47"/>
            <filter val="R$ 1,244,149.42"/>
            <filter val="R$ 1,261,922.22"/>
            <filter val="R$ 1,269,804.17"/>
            <filter val="R$ 1,279,049.41"/>
            <filter val="R$ 1,280,008.15"/>
            <filter val="R$ 1,325,726.86"/>
            <filter val="R$ 1,332,806.55"/>
            <filter val="R$ 1,357,641.77"/>
            <filter val="R$ 1,359,249.82"/>
            <filter val="R$ 1,377,123.70"/>
            <filter val="R$ 1,377,518.79"/>
            <filter val="R$ 1,396,649.65"/>
            <filter val="R$ 1,424.50"/>
            <filter val="R$ 1,441,206.32"/>
            <filter val="R$ 1,470,626.55"/>
            <filter val="R$ 1,513,517.47"/>
            <filter val="R$ 1,575,438.26"/>
            <filter val="R$ 1,599,126.70"/>
            <filter val="R$ 1,759,607.04"/>
            <filter val="R$ 1,800,247.93"/>
            <filter val="R$ 1,807,968.44"/>
            <filter val="R$ 1,812,508.56"/>
            <filter val="R$ 1,867,845.05"/>
            <filter val="R$ 1,944,601.82"/>
            <filter val="R$ 1,991,456.49"/>
            <filter val="R$ 10,066.79"/>
            <filter val="R$ 10,461.92"/>
            <filter val="R$ 10,718.11"/>
            <filter val="R$ 100,000.00"/>
            <filter val="R$ 100,024.17"/>
            <filter val="R$ 100,558.79"/>
            <filter val="R$ 101,746.10"/>
            <filter val="R$ 102,257.13"/>
            <filter val="R$ 103,107.47"/>
            <filter val="R$ 107,005.83"/>
            <filter val="R$ 107,450.42"/>
            <filter val="R$ 107,753.21"/>
            <filter val="R$ 107,896.84"/>
            <filter val="R$ 108,427.76"/>
            <filter val="R$ 108,875.23"/>
            <filter val="R$ 109,125.88"/>
            <filter val="R$ 11,248.06"/>
            <filter val="R$ 111,233.69"/>
            <filter val="R$ 111,434.97"/>
            <filter val="R$ 112,177.45"/>
            <filter val="R$ 112,181.15"/>
            <filter val="R$ 112,292.46"/>
            <filter val="R$ 112,383.29"/>
            <filter val="R$ 112,538.41"/>
            <filter val="R$ 112,923.13"/>
            <filter val="R$ 115,222.75"/>
            <filter val="R$ 116,259.59"/>
            <filter val="R$ 116,571.81"/>
            <filter val="R$ 117,996.13"/>
            <filter val="R$ 118,089.24"/>
            <filter val="R$ 119,426.87"/>
            <filter val="R$ 12,040.40"/>
            <filter val="R$ 12,876.33"/>
            <filter val="R$ 120,387.71"/>
            <filter val="R$ 121,160.89"/>
            <filter val="R$ 121,206.67"/>
            <filter val="R$ 122,192.30"/>
            <filter val="R$ 125,412.83"/>
            <filter val="R$ 126,552.32"/>
            <filter val="R$ 127,045.25"/>
            <filter val="R$ 128,225.21"/>
            <filter val="R$ 129,859.35"/>
            <filter val="R$ 13,878.82"/>
            <filter val="R$ 131,903.05"/>
            <filter val="R$ 134,840.29"/>
            <filter val="R$ 137,192.65"/>
            <filter val="R$ 137,232.47"/>
            <filter val="R$ 137,256.54"/>
            <filter val="R$ 137,780.79"/>
            <filter val="R$ 139,051.60"/>
            <filter val="R$ 139,092.64"/>
            <filter val="R$ 139,642.28"/>
            <filter val="R$ 14,038.81"/>
            <filter val="R$ 14,483.77"/>
            <filter val="R$ 14.67"/>
            <filter val="R$ 140,826.88"/>
            <filter val="R$ 143,984.23"/>
            <filter val="R$ 144,548.32"/>
            <filter val="R$ 145,201.68"/>
            <filter val="R$ 146,016.86"/>
            <filter val="R$ 146,890.58"/>
            <filter val="R$ 148,344.70"/>
            <filter val="R$ 148,976.11"/>
            <filter val="R$ 151,527.69"/>
            <filter val="R$ 151,570.25"/>
            <filter val="R$ 153,494.05"/>
            <filter val="R$ 155,014.60"/>
            <filter val="R$ 155,660.59"/>
            <filter val="R$ 156,461.77"/>
            <filter val="R$ 156,714.47"/>
            <filter val="R$ 157,002.03"/>
            <filter val="R$ 157,287.90"/>
            <filter val="R$ 157,507.55"/>
            <filter val="R$ 159,262.64"/>
            <filter val="R$ 159,521.69"/>
            <filter val="R$ 16,373,991.43"/>
            <filter val="R$ 16,404.95"/>
            <filter val="R$ 160,132.44"/>
            <filter val="R$ 160,836.33"/>
            <filter val="R$ 162,488.40"/>
            <filter val="R$ 163,655.53"/>
            <filter val="R$ 164,016.57"/>
            <filter val="R$ 166,608.40"/>
            <filter val="R$ 169,284.31"/>
            <filter val="R$ 17,943.63"/>
            <filter val="R$ 17.86"/>
            <filter val="R$ 171,445.43"/>
            <filter val="R$ 171,907.46"/>
            <filter val="R$ 173,336.56"/>
            <filter val="R$ 173,716.99"/>
            <filter val="R$ 177,840.36"/>
            <filter val="R$ 179,581.79"/>
            <filter val="R$ 186,264.30"/>
            <filter val="R$ 188,898.43"/>
            <filter val="R$ 189,858.08"/>
            <filter val="R$ 189.08"/>
            <filter val="R$ 191,604.91"/>
            <filter val="R$ 191,855.37"/>
            <filter val="R$ 191,895.27"/>
            <filter val="R$ 192,341.63"/>
            <filter val="R$ 193,515.77"/>
            <filter val="R$ 198,872.24"/>
            <filter val="R$ 2,034,452.33"/>
            <filter val="R$ 2,044,607.24"/>
            <filter val="R$ 2,108,824.09"/>
            <filter val="R$ 2,193,936.22"/>
            <filter val="R$ 2,195,792.98"/>
            <filter val="R$ 2,300.00"/>
            <filter val="R$ 2,415,030.57"/>
            <filter val="R$ 2,426,239.48"/>
            <filter val="R$ 2,493,194.17"/>
            <filter val="R$ 2,722,116.52"/>
            <filter val="R$ 2,750.49"/>
            <filter val="R$ 2,784,573.51"/>
            <filter val="R$ 2,791,200.63"/>
            <filter val="R$ 20,080.36"/>
            <filter val="R$ 20,154.50"/>
            <filter val="R$ 20,889.91"/>
            <filter val="R$ 200,441.61"/>
            <filter val="R$ 204,219.98"/>
            <filter val="R$ 205,376.18"/>
            <filter val="R$ 206,882.78"/>
            <filter val="R$ 207,938.86"/>
            <filter val="R$ 208,336.60"/>
            <filter val="R$ 208,352.87"/>
            <filter val="R$ 209,842.97"/>
            <filter val="R$ 209,883.74"/>
            <filter val="R$ 21.27"/>
            <filter val="R$ 213,492.69"/>
            <filter val="R$ 214,404.26"/>
            <filter val="R$ 215,348.53"/>
            <filter val="R$ 217,649.15"/>
            <filter val="R$ 218,731.40"/>
            <filter val="R$ 219,164.85"/>
            <filter val="R$ 221,499.27"/>
            <filter val="R$ 221,616.84"/>
            <filter val="R$ 223,190.60"/>
            <filter val="R$ 227,630.38"/>
            <filter val="R$ 228,169.10"/>
            <filter val="R$ 233,048.01"/>
            <filter val="R$ 234,023.54"/>
            <filter val="R$ 234,755.16"/>
            <filter val="R$ 235,736.96"/>
            <filter val="R$ 239,103.51"/>
            <filter val="R$ 24,714.34"/>
            <filter val="R$ 240,628.91"/>
            <filter val="R$ 241,044.65"/>
            <filter val="R$ 241,127.73"/>
            <filter val="R$ 242,739.59"/>
            <filter val="R$ 243,018.83"/>
            <filter val="R$ 246,542.64"/>
            <filter val="R$ 247,282.04"/>
            <filter val="R$ 248,332.55"/>
            <filter val="R$ 248,581.27"/>
            <filter val="R$ 25,261.81"/>
            <filter val="R$ 25,949.84"/>
            <filter val="R$ 250,198.79"/>
            <filter val="R$ 256,163.08"/>
            <filter val="R$ 259,749.48"/>
            <filter val="R$ 26.17"/>
            <filter val="R$ 262,315.47"/>
            <filter val="R$ 265,236.72"/>
            <filter val="R$ 265,381.57"/>
            <filter val="R$ 266,625.69"/>
            <filter val="R$ 267,096.93"/>
            <filter val="R$ 267,670.75"/>
            <filter val="R$ 269,514.99"/>
            <filter val="R$ 277,899.52"/>
            <filter val="R$ 277.66"/>
            <filter val="R$ 278,256.37"/>
            <filter val="R$ 28,455.38"/>
            <filter val="R$ 28,863.14"/>
            <filter val="R$ 281,427.46"/>
            <filter val="R$ 282,442.97"/>
            <filter val="R$ 287,907.38"/>
            <filter val="R$ 288,801.62"/>
            <filter val="R$ 289,239.67"/>
            <filter val="R$ 29.77"/>
            <filter val="R$ 292,447.17"/>
            <filter val="R$ 3,010,215.04"/>
            <filter val="R$ 3,079,102.94"/>
            <filter val="R$ 3,167,084.36"/>
            <filter val="R$ 3,238,270.45"/>
            <filter val="R$ 3,282,974.56"/>
            <filter val="R$ 3,412,356.99"/>
            <filter val="R$ 3,558,685.77"/>
            <filter val="R$ 3,619,844.51"/>
            <filter val="R$ 3,717,376.72"/>
            <filter val="R$ 3,938,265.36"/>
            <filter val="R$ 30,015.27"/>
            <filter val="R$ 30,573.89"/>
            <filter val="R$ 300,464.54"/>
            <filter val="R$ 302,609.96"/>
            <filter val="R$ 306,187.49"/>
            <filter val="R$ 306,622.99"/>
            <filter val="R$ 307,697.21"/>
            <filter val="R$ 308,888.30"/>
            <filter val="R$ 31,623.21"/>
            <filter val="R$ 312,685.08"/>
            <filter val="R$ 316,725.61"/>
            <filter val="R$ 316,793.96"/>
            <filter val="R$ 323,091.99"/>
            <filter val="R$ 323,510.06"/>
            <filter val="R$ 325,700.31"/>
            <filter val="R$ 329,108.54"/>
            <filter val="R$ 33,120.57"/>
            <filter val="R$ 33,240.64"/>
            <filter val="R$ 33.05"/>
            <filter val="R$ 331,670.26"/>
            <filter val="R$ 333,739.21"/>
            <filter val="R$ 334,027.17"/>
            <filter val="R$ 334,082.16"/>
            <filter val="R$ 34,313.30"/>
            <filter val="R$ 34,603.74"/>
            <filter val="R$ 340,522.00"/>
            <filter val="R$ 341,095.63"/>
            <filter val="R$ 341,582.50"/>
            <filter val="R$ 342,594.29"/>
            <filter val="R$ 344,757.00"/>
            <filter val="R$ 345,237.77"/>
            <filter val="R$ 346,092.39"/>
            <filter val="R$ 347,862.26"/>
            <filter val="R$ 348,818.11"/>
            <filter val="R$ 35,510.54"/>
            <filter val="R$ 351,813.62"/>
            <filter val="R$ 357,151.82"/>
            <filter val="R$ 357,872.30"/>
            <filter val="R$ 358,487.89"/>
            <filter val="R$ 359,033.96"/>
            <filter val="R$ 359,308.27"/>
            <filter val="R$ 359,473.07"/>
            <filter val="R$ 36,234.35"/>
            <filter val="R$ 36,835.90"/>
            <filter val="R$ 362,643.08"/>
            <filter val="R$ 363,969.67"/>
            <filter val="R$ 366,779.82"/>
            <filter val="R$ 367,695.20"/>
            <filter val="R$ 368,420.65"/>
            <filter val="R$ 370,566.31"/>
            <filter val="R$ 373,740.33"/>
            <filter val="R$ 378,752.13"/>
            <filter val="R$ 381,656.46"/>
            <filter val="R$ 385,489.77"/>
            <filter val="R$ 386,224.65"/>
            <filter val="R$ 39,488.94"/>
            <filter val="R$ 391,888.29"/>
            <filter val="R$ 391,992.13"/>
            <filter val="R$ 392,664.63"/>
            <filter val="R$ 398,816.73"/>
            <filter val="R$ 4,189,690.54"/>
            <filter val="R$ 4,218,568.46"/>
            <filter val="R$ 4,357,260.20"/>
            <filter val="R$ 4,608,507.34"/>
            <filter val="R$ 4,620.06"/>
            <filter val="R$ 40,308.46"/>
            <filter val="R$ 40,928.00"/>
            <filter val="R$ 404,093.60"/>
            <filter val="R$ 404,903.88"/>
            <filter val="R$ 406,919.13"/>
            <filter val="R$ 41,826.03"/>
            <filter val="R$ 41,999.88"/>
            <filter val="R$ 411,553.44"/>
            <filter val="R$ 416,227.51"/>
            <filter val="R$ 418,531.34"/>
            <filter val="R$ 42,921.06"/>
            <filter val="R$ 420,654.55"/>
            <filter val="R$ 421,408.31"/>
            <filter val="R$ 421,965.61"/>
            <filter val="R$ 423,670.52"/>
            <filter val="R$ 426,540.40"/>
            <filter val="R$ 426,737.93"/>
            <filter val="R$ 435.68"/>
            <filter val="R$ 44,766.90"/>
            <filter val="R$ 443,817.26"/>
            <filter val="R$ 446,569.35"/>
            <filter val="R$ 447,652.59"/>
            <filter val="R$ 45,404.86"/>
            <filter val="R$ 453,760.24"/>
            <filter val="R$ 456,141.06"/>
            <filter val="R$ 46,752.95"/>
            <filter val="R$ 463,036.36"/>
            <filter val="R$ 463,926.66"/>
            <filter val="R$ 477,990.33"/>
            <filter val="R$ 48,460.62"/>
            <filter val="R$ 481,718.89"/>
            <filter val="R$ 482,396.67"/>
            <filter val="R$ 483,878.05"/>
            <filter val="R$ 486,661.08"/>
            <filter val="R$ 49,359.00"/>
            <filter val="R$ 49,827.07"/>
            <filter val="R$ 495,723.20"/>
            <filter val="R$ 5,643.12"/>
            <filter val="R$ 5.55"/>
            <filter val="R$ 50,262.05"/>
            <filter val="R$ 50.26"/>
            <filter val="R$ 500,838.24"/>
            <filter val="R$ 506,734.82"/>
            <filter val="R$ 51,759.93"/>
            <filter val="R$ 51,961.14"/>
            <filter val="R$ 512,479.56"/>
            <filter val="R$ 513,079.42"/>
            <filter val="R$ 514.44"/>
            <filter val="R$ 515,177.48"/>
            <filter val="R$ 516,749.55"/>
            <filter val="R$ 517,830.29"/>
            <filter val="R$ 52,418.97"/>
            <filter val="R$ 52,451.76"/>
            <filter val="R$ 528,655.79"/>
            <filter val="R$ 53,112.44"/>
            <filter val="R$ 53,233.35"/>
            <filter val="R$ 53,462.13"/>
            <filter val="R$ 53,544.78"/>
            <filter val="R$ 532,668.43"/>
            <filter val="R$ 533,184.53"/>
            <filter val="R$ 533,982.57"/>
            <filter val="R$ 536,225.61"/>
            <filter val="R$ 538,744.15"/>
            <filter val="R$ 54,099.04"/>
            <filter val="R$ 54,555.82"/>
            <filter val="R$ 54,998.82"/>
            <filter val="R$ 546,100.61"/>
            <filter val="R$ 546,664.05"/>
            <filter val="R$ 548.45"/>
            <filter val="R$ 55,414.38"/>
            <filter val="R$ 554,246.48"/>
            <filter val="R$ 56,014.37"/>
            <filter val="R$ 564,843.35"/>
            <filter val="R$ 567,959.82"/>
            <filter val="R$ 57,141.50"/>
            <filter val="R$ 57,332.02"/>
            <filter val="R$ 574,345.37"/>
            <filter val="R$ 575,596.87"/>
            <filter val="R$ 578,461.05"/>
            <filter val="R$ 585,023.88"/>
            <filter val="R$ 59,703.08"/>
            <filter val="R$ 6,183,506.47"/>
            <filter val="R$ 6,764.48"/>
            <filter val="R$ 608,841.45"/>
            <filter val="R$ 61,725.21"/>
            <filter val="R$ 61,866.12"/>
            <filter val="R$ 61,874.96"/>
            <filter val="R$ 610,235.55"/>
            <filter val="R$ 618,719.08"/>
            <filter val="R$ 619,579.86"/>
            <filter val="R$ 62,254.58"/>
            <filter val="R$ 625,453.34"/>
            <filter val="R$ 627,726.75"/>
            <filter val="R$ 63,255.04"/>
            <filter val="R$ 63,831.77"/>
            <filter val="R$ 634,632.13"/>
            <filter val="R$ 639,097.07"/>
            <filter val="R$ 64,045.57"/>
            <filter val="R$ 64,203.20"/>
            <filter val="R$ 64,717.11"/>
            <filter val="R$ 645,323.53"/>
            <filter val="R$ 649,546.84"/>
            <filter val="R$ 65,685.15"/>
            <filter val="R$ 650,613.94"/>
            <filter val="R$ 651,017.26"/>
            <filter val="R$ 666,577.12"/>
            <filter val="R$ 668,204.47"/>
            <filter val="R$ 67,319.42"/>
            <filter val="R$ 67,908.85"/>
            <filter val="R$ 674,875.78"/>
            <filter val="R$ 679,276.41"/>
            <filter val="R$ 68,654.73"/>
            <filter val="R$ 68,851.25"/>
            <filter val="R$ 681,890.11"/>
            <filter val="R$ 684,298.56"/>
            <filter val="R$ 684,973.02"/>
            <filter val="R$ 697,637.75"/>
            <filter val="R$ 7.82"/>
            <filter val="R$ 700,472.95"/>
            <filter val="R$ 702,013.08"/>
            <filter val="R$ 704,478.61"/>
            <filter val="R$ 706,869.86"/>
            <filter val="R$ 708,572.32"/>
            <filter val="R$ 717,838.38"/>
            <filter val="R$ 72,109.81"/>
            <filter val="R$ 72,798.95"/>
            <filter val="R$ 72,968.67"/>
            <filter val="R$ 721,860.49"/>
            <filter val="R$ 728,909.45"/>
            <filter val="R$ 73,387.99"/>
            <filter val="R$ 73,795.84"/>
            <filter val="R$ 742.40"/>
            <filter val="R$ 75,577.76"/>
            <filter val="R$ 754,062.16"/>
            <filter val="R$ 754,218.37"/>
            <filter val="R$ 758,454.81"/>
            <filter val="R$ 76,436.55"/>
            <filter val="R$ 76,863.18"/>
            <filter val="R$ 77,641.71"/>
            <filter val="R$ 778,605.93"/>
            <filter val="R$ 786,142.80"/>
            <filter val="R$ 79,432.93"/>
            <filter val="R$ 791,423.31"/>
            <filter val="R$ 799,717.97"/>
            <filter val="R$ 799,945.06"/>
            <filter val="R$ 8,169,228.50"/>
            <filter val="R$ 8,830.75"/>
            <filter val="R$ 81,281.60"/>
            <filter val="R$ 81,625.76"/>
            <filter val="R$ 81,632.83"/>
            <filter val="R$ 81,640.10"/>
            <filter val="R$ 810,142.87"/>
            <filter val="R$ 817,678.62"/>
            <filter val="R$ 82,464.94"/>
            <filter val="R$ 82,681.06"/>
            <filter val="R$ 820,967.38"/>
            <filter val="R$ 835,269.28"/>
            <filter val="R$ 836,767.00"/>
            <filter val="R$ 840,711.98"/>
            <filter val="R$ 85,000.00"/>
            <filter val="R$ 855,396.58"/>
            <filter val="R$ 86,783.11"/>
            <filter val="R$ 86.38"/>
            <filter val="R$ 866,851.66"/>
            <filter val="R$ 867,240.53"/>
            <filter val="R$ 87,143.73"/>
            <filter val="R$ 87,389.25"/>
            <filter val="R$ 87,854.91"/>
            <filter val="R$ 89,160.80"/>
            <filter val="R$ 89,237.43"/>
            <filter val="R$ 89,258.15"/>
            <filter val="R$ 892,805.98"/>
            <filter val="R$ 892,959.85"/>
            <filter val="R$ 9,191.00"/>
            <filter val="R$ 9.72"/>
            <filter val="R$ 907,780.95"/>
            <filter val="R$ 91,568.41"/>
            <filter val="R$ 91,860.35"/>
            <filter val="R$ 922,848.65"/>
            <filter val="R$ 93,152.33"/>
            <filter val="R$ 93,543.64"/>
            <filter val="R$ 945,272.34"/>
            <filter val="R$ 959,427.10"/>
            <filter val="R$ 96,979.47"/>
            <filter val="R$ 966,123.99"/>
            <filter val="R$ 966,258.68"/>
            <filter val="R$ 97,783.65"/>
            <filter val="R$ 98,971.16"/>
            <filter val="R$ 987,498.22"/>
            <filter val="R$ 99,541.39"/>
            <filter val="R$ 99,661.46"/>
          </filters>
        </filterColumn>
      </autoFilter>
    </customSheetView>
    <customSheetView guid="{7DA9518A-EE5A-427A-8374-9078BCA694F8}" filter="1" showAutoFilter="1">
      <pageMargins left="0" right="0" top="0" bottom="0" header="0" footer="0"/>
      <autoFilter ref="A1:AQ1088" xr:uid="{7067C463-8C11-4956-AB4E-C4046101250B}">
        <filterColumn colId="6">
          <filters blank="1">
            <filter val="Gabriel"/>
            <filter val="Marcus"/>
            <filter val="Operador"/>
          </filters>
        </filterColumn>
        <filterColumn colId="7">
          <filters blank="1">
            <filter val="Pode Operar"/>
          </filters>
        </filterColumn>
      </autoFilter>
    </customSheetView>
    <customSheetView guid="{BB685961-18A5-4353-B9CA-C99E3035439C}" filter="1" showAutoFilter="1">
      <pageMargins left="0" right="0" top="0" bottom="0" header="0" footer="0"/>
      <autoFilter ref="D2:E1086" xr:uid="{D6957FED-EB7B-4E1F-A9EF-77970EB3B3BB}">
        <filterColumn colId="1">
          <filters>
            <filter val="RJ"/>
            <filter val="SUL"/>
          </filters>
        </filterColumn>
      </autoFilter>
    </customSheetView>
    <customSheetView guid="{E7A70FCC-EA4E-40D5-9DDC-E30CAAA6A5E9}" filter="1" showAutoFilter="1">
      <pageMargins left="0" right="0" top="0" bottom="0" header="0" footer="0"/>
      <autoFilter ref="B2:AO1088" xr:uid="{533A2EDF-A86D-4DC9-89DF-DFB6109291B4}"/>
    </customSheetView>
    <customSheetView guid="{81931677-6684-49E1-A5A6-0E1E7ADF1EED}" filter="1" showAutoFilter="1">
      <pageMargins left="0" right="0" top="0" bottom="0" header="0" footer="0"/>
      <autoFilter ref="B2:AP1088" xr:uid="{755E6F72-87C6-4B78-BA32-D26A50616C8F}"/>
    </customSheetView>
    <customSheetView guid="{DD94A016-46C8-4460-B1C1-C762909060C1}" filter="1" showAutoFilter="1">
      <pageMargins left="0" right="0" top="0" bottom="0" header="0" footer="0"/>
      <autoFilter ref="A1:AU1084" xr:uid="{C688F994-C435-47B0-BE00-237E704EFF85}"/>
    </customSheetView>
    <customSheetView guid="{0C29AC0F-29EE-43E2-A3A9-238CF9B4E828}" filter="1" showAutoFilter="1">
      <pageMargins left="0" right="0" top="0" bottom="0" header="0" footer="0"/>
      <autoFilter ref="A2:AW1084" xr:uid="{95A3C749-0B4C-4F05-82B8-BC9DB96E94C8}">
        <filterColumn colId="7">
          <filters>
            <filter val="Pode Operar"/>
          </filters>
        </filterColumn>
      </autoFilter>
    </customSheetView>
    <customSheetView guid="{31229629-4FD1-448B-A266-475AA52A7FB8}" filter="1" showAutoFilter="1">
      <pageMargins left="0" right="0" top="0" bottom="0" header="0" footer="0"/>
      <autoFilter ref="D2:F1093" xr:uid="{B85614A5-F600-44B7-ACC7-B599BB074223}"/>
    </customSheetView>
    <customSheetView guid="{8512D509-BB82-4790-B030-E04796825D6B}" filter="1" showAutoFilter="1">
      <pageMargins left="0" right="0" top="0" bottom="0" header="0" footer="0"/>
      <autoFilter ref="B2:AL1088" xr:uid="{B9E4CB02-3ED5-4440-B692-7E90537CFAD5}"/>
    </customSheetView>
    <customSheetView guid="{61A21088-D231-4D60-92A9-DD2E208C52FC}" filter="1" showAutoFilter="1">
      <pageMargins left="0" right="0" top="0" bottom="0" header="0" footer="0"/>
      <autoFilter ref="F2:F1093" xr:uid="{EAFA3684-7A53-4816-9DE7-A9B3E61EBC17}"/>
    </customSheetView>
    <customSheetView guid="{1B54CF81-2EE6-41A0-8DAF-9EC2BA627E83}" filter="1" showAutoFilter="1">
      <pageMargins left="0" right="0" top="0" bottom="0" header="0" footer="0"/>
      <autoFilter ref="A2:AV1084" xr:uid="{B5C55353-DF2B-4B95-BE0A-26D6B7650CF9}"/>
    </customSheetView>
    <customSheetView guid="{B0B99A06-0585-42AE-A3FC-8AB03D179DE1}" filter="1" showAutoFilter="1">
      <pageMargins left="0" right="0" top="0" bottom="0" header="0" footer="0"/>
      <autoFilter ref="A1:AR1093" xr:uid="{7DA67255-9FB3-42F2-B01E-82DA24CAA103}">
        <filterColumn colId="5">
          <filters>
            <filter val="Alexandre Teixeira Campos"/>
            <filter val="Alexandre Xavier"/>
            <filter val="André de Queiroz Coelho"/>
            <filter val="Antonio Volpato"/>
            <filter val="Augusto Sampaio"/>
            <filter val="Bluemetrix"/>
            <filter val="Bruno Ribeiro"/>
            <filter val="Caroline Facó Ehlers"/>
            <filter val="Daniel Melhado"/>
            <filter val="Douglas Tuira"/>
            <filter val="Eleazar Ferreira Junior"/>
            <filter val="Felipe Cravos"/>
            <filter val="Felipe Miranda"/>
            <filter val="Gabriel Regis"/>
            <filter val="Gabriel Stella"/>
            <filter val="Guilherme dos Santos"/>
            <filter val="João Gabriel Miziara"/>
            <filter val="João Paulo Britto"/>
            <filter val="João Victor de Moura Beze"/>
            <filter val="Joney Alves"/>
            <filter val="Jorge Luiz Braga de Carvalho"/>
            <filter val="Larissa Montes"/>
            <filter val="Leonardo Nascimento Porto"/>
            <filter val="Lucas Ferreira"/>
            <filter val="Lucas Oliveira"/>
            <filter val="Luis Felipe"/>
            <filter val="Marcelo Franciscon"/>
            <filter val="Marcos Serra"/>
            <filter val="Marcus Macedo"/>
            <filter val="Mariana Rocha"/>
            <filter val="Norton Jr"/>
            <filter val="Pamara Rosa"/>
            <filter val="Paula Bonfim"/>
            <filter val="Paula Lemos"/>
            <filter val="Rafael Guedes"/>
            <filter val="Rafaela Souza"/>
            <filter val="Raoni Costa"/>
            <filter val="Rodrigo Milanez"/>
            <filter val="Thais Helena"/>
            <filter val="thiago Canabrava"/>
            <filter val="Valeria Viana"/>
            <filter val="Victor Hugo Laurentino"/>
            <filter val="Vitor Pedrazzi"/>
          </filters>
        </filterColumn>
        <filterColumn colId="12">
          <filters blank="1">
            <filter val="BDR"/>
            <filter val="Carteira"/>
            <filter val="CON/ COADM"/>
            <filter val="CON/ GR"/>
            <filter val="CON/ PREV CON"/>
            <filter val="CON/ PREV MOD"/>
            <filter val="CORP"/>
            <filter val="CRIP"/>
            <filter val="DIV/ COADM"/>
            <filter val="EQT"/>
            <filter val="EQT/ COADM"/>
            <filter val="INC CP"/>
            <filter val="INC CP/ COADM"/>
            <filter val="INC/ COADM"/>
            <filter val="INC/ PREV CON"/>
            <filter val="INC/ PREV MOD"/>
            <filter val="MOD/ COADM"/>
            <filter val="MOD/ GR"/>
            <filter val="MOD/ PREV ARR"/>
            <filter val="MOD/ PREV MOD"/>
            <filter val="MOD/ PREV MOD/ COADM"/>
            <filter val="MONT/ COADM"/>
            <filter val="MULT PRIV"/>
            <filter val="MULT PRIV/ CO ADM"/>
            <filter val="PREV ARR"/>
            <filter val="PREV CON"/>
            <filter val="PREV MOD"/>
            <filter val="SMLL"/>
            <filter val="STOCK"/>
          </filters>
        </filterColumn>
      </autoFilter>
    </customSheetView>
    <customSheetView guid="{9F819FDD-0727-4581-B42E-FBB6FF5FA047}" filter="1" showAutoFilter="1">
      <pageMargins left="0" right="0" top="0" bottom="0" header="0" footer="0"/>
      <autoFilter ref="A1:AU1084" xr:uid="{B59D8B1C-F5D1-4AF5-8D16-60BD86B8AB3D}">
        <filterColumn colId="8">
          <filters>
            <filter val="Resgate Total"/>
            <filter val="STVM Saída"/>
            <filter val="Troca de Assessoria"/>
          </filters>
        </filterColumn>
      </autoFilter>
    </customSheetView>
    <customSheetView guid="{55B42B10-8863-42F1-AE98-5DFC66B0599C}" filter="1" showAutoFilter="1">
      <pageMargins left="0" right="0" top="0" bottom="0" header="0" footer="0"/>
      <autoFilter ref="B2:AO1088" xr:uid="{88CAB25E-2772-42AC-939F-6E587C833690}"/>
    </customSheetView>
    <customSheetView guid="{877073CE-EDC5-4AE1-A62C-A28AC7A7A477}" filter="1" showAutoFilter="1">
      <pageMargins left="0" right="0" top="0" bottom="0" header="0" footer="0"/>
      <autoFilter ref="A1:AT1084" xr:uid="{032CFC23-3C83-4BFF-AF32-47BC055997BC}">
        <filterColumn colId="10">
          <filters>
            <filter val="01/02/2024"/>
            <filter val="01/04/2024"/>
            <filter val="01/04/2025"/>
            <filter val="01/07/2024"/>
            <filter val="01/07/2025"/>
            <filter val="01/08/2025"/>
            <filter val="01/10/2024"/>
            <filter val="01/12/2025"/>
            <filter val="02/01/2025"/>
            <filter val="02/05/2024"/>
            <filter val="02/06/2025"/>
            <filter val="02/07/2024"/>
            <filter val="02/08/2024"/>
            <filter val="02/09/2025"/>
            <filter val="03/02/2025"/>
            <filter val="03/04/2024"/>
            <filter val="03/04/2025"/>
            <filter val="03/05/2024"/>
            <filter val="03/06/2024"/>
            <filter val="03/06/2025"/>
            <filter val="03/07/2024"/>
            <filter val="03/07/2025"/>
            <filter val="03/10/2024"/>
            <filter val="03/11/2025"/>
            <filter val="04/02/2025"/>
            <filter val="04/03/2024"/>
            <filter val="04/04/2024"/>
            <filter val="04/06/2024"/>
            <filter val="04/06/2025"/>
            <filter val="04/09/2024"/>
            <filter val="04/09/2025"/>
            <filter val="04/11/2024"/>
            <filter val="04/12/2024"/>
            <filter val="04/12/2025"/>
            <filter val="05/01/2026"/>
            <filter val="05/02/2024"/>
            <filter val="05/02/2025"/>
            <filter val="05/03/2024"/>
            <filter val="05/04/2024"/>
            <filter val="05/05/2025"/>
            <filter val="05/06/2024"/>
            <filter val="05/11/2025"/>
            <filter val="06/01/2026"/>
            <filter val="06/02/2024"/>
            <filter val="06/02/2025"/>
            <filter val="06/03/2024"/>
            <filter val="06/05/2024"/>
            <filter val="06/06/2024"/>
            <filter val="06/06/2025"/>
            <filter val="06/11/2024"/>
            <filter val="07/02/2025"/>
            <filter val="07/04/2025"/>
            <filter val="07/05/2024"/>
            <filter val="07/05/2025"/>
            <filter val="07/06/2024"/>
            <filter val="07/07/2025"/>
            <filter val="07/10/2024"/>
            <filter val="07/11/2024"/>
            <filter val="07/11/2025"/>
            <filter val="08/01/2025"/>
            <filter val="08/01/2026"/>
            <filter val="08/02/2024"/>
            <filter val="08/03/2024"/>
            <filter val="08/04/2024"/>
            <filter val="08/04/2025"/>
            <filter val="08/05/2025"/>
            <filter val="08/07/2025"/>
            <filter val="08/10/2024"/>
            <filter val="08/10/2025"/>
            <filter val="08/11/2024"/>
            <filter val="09/01/2025"/>
            <filter val="09/02/2024"/>
            <filter val="09/04/2024"/>
            <filter val="09/04/2025"/>
            <filter val="09/05/2024"/>
            <filter val="09/08/2024"/>
            <filter val="09/09/2024"/>
            <filter val="09/09/2025"/>
            <filter val="09/10/2024"/>
            <filter val="10/02/2025"/>
            <filter val="10/03/2025"/>
            <filter val="10/04/2024"/>
            <filter val="10/04/2025"/>
            <filter val="10/05/2024"/>
            <filter val="10/06/2024"/>
            <filter val="10/07/2024"/>
            <filter val="10/07/2025"/>
            <filter val="10/09/2024"/>
            <filter val="10/09/2025"/>
            <filter val="10/10/2024"/>
            <filter val="10/10/2025"/>
            <filter val="10/12/2024"/>
            <filter val="10/12/2025"/>
            <filter val="11/02/2025"/>
            <filter val="11/03/2023"/>
            <filter val="11/03/2024"/>
            <filter val="11/04/2024"/>
            <filter val="11/06/2024"/>
            <filter val="11/06/2025"/>
            <filter val="11/08/2025"/>
            <filter val="11/09/2024"/>
            <filter val="11/10/2024"/>
            <filter val="11/11/2024"/>
            <filter val="11/12/2024"/>
            <filter val="11/12/2025"/>
            <filter val="12/02/2025"/>
            <filter val="12/03/2024"/>
            <filter val="12/03/2025"/>
            <filter val="12/06/2024"/>
            <filter val="12/08/2024"/>
            <filter val="12/09/2024"/>
            <filter val="12/12/2024"/>
            <filter val="12/12/2025"/>
            <filter val="13/01/2025"/>
            <filter val="13/01/2026"/>
            <filter val="13/02/2025"/>
            <filter val="13/03/2024"/>
            <filter val="13/03/2025"/>
            <filter val="13/05/2025"/>
            <filter val="13/06/2024"/>
            <filter val="13/09/2024"/>
            <filter val="13/11/2025"/>
            <filter val="13/12/2024"/>
            <filter val="14/03/2024"/>
            <filter val="14/03/2025"/>
            <filter val="14/05/2024"/>
            <filter val="14/06/2024"/>
            <filter val="14/07/2025"/>
            <filter val="14/08/2024"/>
            <filter val="14/10/2024"/>
            <filter val="14/11/2024"/>
            <filter val="15/01/2025"/>
            <filter val="15/02/2024"/>
            <filter val="15/05/2024"/>
            <filter val="15/07/2024"/>
            <filter val="15/08/2024"/>
            <filter val="15/09/2025"/>
            <filter val="15/10/2024"/>
            <filter val="15/10/2025"/>
            <filter val="16/01/2025"/>
            <filter val="16/02/2024"/>
            <filter val="16/04/2024"/>
            <filter val="16/06/2025"/>
            <filter val="16/07/2025"/>
            <filter val="16/08/2024"/>
            <filter val="16/09/2024"/>
            <filter val="16/09/2025"/>
            <filter val="16/12/2024"/>
            <filter val="16/12/2025"/>
            <filter val="17/02/2025"/>
            <filter val="17/03/2025"/>
            <filter val="17/04/2025"/>
            <filter val="17/06/2024"/>
            <filter val="17/06/2025"/>
            <filter val="17/07/2024"/>
            <filter val="17/09/2024"/>
            <filter val="17/09/2025"/>
            <filter val="17/10/2024"/>
            <filter val="18/02/2025"/>
            <filter val="18/03/2024"/>
            <filter val="18/06/2024"/>
            <filter val="18/06/2025"/>
            <filter val="18/09/2025"/>
            <filter val="18/11/2024"/>
            <filter val="18/12/2024"/>
            <filter val="18/12/2025"/>
            <filter val="19/02/2024"/>
            <filter val="19/03/2024"/>
            <filter val="19/04/2024"/>
            <filter val="19/06/2024"/>
            <filter val="19/08/2024"/>
            <filter val="19/11/2024"/>
            <filter val="19/12/2024"/>
            <filter val="19/12/2025"/>
            <filter val="20/01/2025"/>
            <filter val="20/02/2025"/>
            <filter val="20/03/2024"/>
            <filter val="20/03/2025"/>
            <filter val="20/05/2024"/>
            <filter val="20/06/2024"/>
            <filter val="20/06/2025"/>
            <filter val="20/10/2025"/>
            <filter val="20/12/2024"/>
            <filter val="21/02/2024"/>
            <filter val="21/02/2025"/>
            <filter val="21/05/2025"/>
            <filter val="21/06/2024"/>
            <filter val="21/08/2025"/>
            <filter val="21/10/2024"/>
            <filter val="21/10/2025"/>
            <filter val="21/11/2024"/>
            <filter val="21/11/2025"/>
            <filter val="22/02/2024"/>
            <filter val="22/03/2024"/>
            <filter val="22/07/2024"/>
            <filter val="22/10/2024"/>
            <filter val="22/10/2025"/>
            <filter val="22/12/2025"/>
            <filter val="23/02/2024"/>
            <filter val="23/04/2024"/>
            <filter val="23/05/2025"/>
            <filter val="23/07/2025"/>
            <filter val="23/09/2024"/>
            <filter val="23/09/2025"/>
            <filter val="23/12/2025"/>
            <filter val="24/01/2024"/>
            <filter val="24/01/2025"/>
            <filter val="24/04/2025"/>
            <filter val="24/06/2024"/>
            <filter val="24/06/2025"/>
            <filter val="24/09/2025"/>
            <filter val="24/11/2025"/>
            <filter val="25/02/2025"/>
            <filter val="25/03/2024"/>
            <filter val="25/03/2025"/>
            <filter val="25/04/2024"/>
            <filter val="25/04/2025"/>
            <filter val="25/06/2024"/>
            <filter val="25/07/2024"/>
            <filter val="25/08/2025"/>
            <filter val="25/09/2024"/>
            <filter val="25/09/2025"/>
            <filter val="25/11/2023"/>
            <filter val="26/02/2024"/>
            <filter val="26/03/2024"/>
            <filter val="26/03/2025"/>
            <filter val="26/04/2024"/>
            <filter val="26/06/2024"/>
            <filter val="26/09/2025"/>
            <filter val="26/12/2024"/>
            <filter val="27/02/2024"/>
            <filter val="27/03/2025"/>
            <filter val="27/05/2024"/>
            <filter val="27/06/2024"/>
            <filter val="27/06/2025"/>
            <filter val="27/08/2025"/>
            <filter val="27/09/2024"/>
            <filter val="27/10/2025"/>
            <filter val="27/11/2024"/>
            <filter val="28/01/2025"/>
            <filter val="28/02/2024"/>
            <filter val="28/02/2025"/>
            <filter val="28/05/2024"/>
            <filter val="29/05/2024"/>
            <filter val="29/05/2025"/>
            <filter val="29/08/2025"/>
            <filter val="29/11/2024"/>
            <filter val="29/12/2025"/>
            <filter val="30/01/2024"/>
            <filter val="30/04/2024"/>
            <filter val="30/04/2025"/>
            <filter val="30/05/2025"/>
            <filter val="30/07/2024"/>
            <filter val="30/09/2024"/>
            <filter val="30/10/2025"/>
            <filter val="31/01/2024"/>
            <filter val="31/01/2025"/>
            <filter val="31/07/2024"/>
            <filter val="31/07/2025"/>
            <filter val="31/10/2025"/>
          </filters>
        </filterColumn>
      </autoFilter>
    </customSheetView>
    <customSheetView guid="{A94C9867-6E9C-4996-98EE-31E34F1A6290}" filter="1" showAutoFilter="1">
      <pageMargins left="0" right="0" top="0" bottom="0" header="0" footer="0"/>
      <autoFilter ref="A1:AQ1088" xr:uid="{CE21257C-EA5D-427E-AE1C-1EBF5AEDC1E4}"/>
    </customSheetView>
    <customSheetView guid="{FFF3EAAB-FE87-47E6-83D5-BE12890C325F}" filter="1" showAutoFilter="1">
      <pageMargins left="0" right="0" top="0" bottom="0" header="0" footer="0"/>
      <autoFilter ref="A2:AW1084" xr:uid="{385EAB83-403C-47C0-8F89-3EAE2DE79085}">
        <filterColumn colId="7">
          <filters>
            <filter val="Ativo"/>
          </filters>
        </filterColumn>
        <filterColumn colId="48">
          <filters>
            <filter val="R$ 0.00"/>
            <filter val="R$ 0.01"/>
            <filter val="R$ 0.09"/>
            <filter val="R$ 0.14"/>
            <filter val="R$ 0.15"/>
            <filter val="R$ 0.16"/>
            <filter val="R$ 0.39"/>
            <filter val="R$ 0.78"/>
            <filter val="R$ 0.89"/>
            <filter val="R$ 1,000,991.59"/>
            <filter val="R$ 1,001.59"/>
            <filter val="R$ 1,009,941.62"/>
            <filter val="R$ 1,042,902.05"/>
            <filter val="R$ 1,047,159.73"/>
            <filter val="R$ 1,053,898.68"/>
            <filter val="R$ 1,063,307.91"/>
            <filter val="R$ 1,064,896.89"/>
            <filter val="R$ 1,066,970.04"/>
            <filter val="R$ 1,069,095.93"/>
            <filter val="R$ 1,077,534.52"/>
            <filter val="R$ 1,119.31"/>
            <filter val="R$ 1,120,231.44"/>
            <filter val="R$ 1,126.35"/>
            <filter val="R$ 1,153,441.88"/>
            <filter val="R$ 1,158,198.34"/>
            <filter val="R$ 1,181,453.01"/>
            <filter val="R$ 1,200,219.25"/>
            <filter val="R$ 1,239,870.15"/>
            <filter val="R$ 1,242,953.36"/>
            <filter val="R$ 1,255,013.76"/>
            <filter val="R$ 1,277,140.44"/>
            <filter val="R$ 1,289,543.74"/>
            <filter val="R$ 1,293,675.25"/>
            <filter val="R$ 1,301.52"/>
            <filter val="R$ 1,303,972.44"/>
            <filter val="R$ 1,312,108.37"/>
            <filter val="R$ 1,346,659.30"/>
            <filter val="R$ 1,365,082.92"/>
            <filter val="R$ 1,384,069.46"/>
            <filter val="R$ 1,426,979.35"/>
            <filter val="R$ 1,428,887.09"/>
            <filter val="R$ 1,431,243.69"/>
            <filter val="R$ 1,444,199.99"/>
            <filter val="R$ 1,459,910.20"/>
            <filter val="R$ 1,464.62"/>
            <filter val="R$ 1,485,219.16"/>
            <filter val="R$ 1,504.25"/>
            <filter val="R$ 1,563,469.43"/>
            <filter val="R$ 1,596,659.71"/>
            <filter val="R$ 1,609,197.92"/>
            <filter val="R$ 1,633,210.16"/>
            <filter val="R$ 1,639,208.17"/>
            <filter val="R$ 1,650,026.08"/>
            <filter val="R$ 1,698,417.81"/>
            <filter val="R$ 1,806,232.88"/>
            <filter val="R$ 1,823,412.12"/>
            <filter val="R$ 1,833,654.69"/>
            <filter val="R$ 1,882,119.94"/>
            <filter val="R$ 1,890,115.85"/>
            <filter val="R$ 1,998,699.75"/>
            <filter val="R$ 1.06"/>
            <filter val="R$ 10,117.07"/>
            <filter val="R$ 10,727.74"/>
            <filter val="R$ 101,205.41"/>
            <filter val="R$ 101,250.66"/>
            <filter val="R$ 101,505.39"/>
            <filter val="R$ 102,329.32"/>
            <filter val="R$ 102,513.19"/>
            <filter val="R$ 102,856.91"/>
            <filter val="R$ 103,054.56"/>
            <filter val="R$ 103,114.97"/>
            <filter val="R$ 103,594.28"/>
            <filter val="R$ 104,300.00"/>
            <filter val="R$ 104,327.22"/>
            <filter val="R$ 104,351.34"/>
            <filter val="R$ 104,501.31"/>
            <filter val="R$ 104,663.11"/>
            <filter val="R$ 104,723.20"/>
            <filter val="R$ 104,868.18"/>
            <filter val="R$ 105,164.21"/>
            <filter val="R$ 107,205.88"/>
            <filter val="R$ 107,989.36"/>
            <filter val="R$ 108,303.40"/>
            <filter val="R$ 109,137.66"/>
            <filter val="R$ 11,431.85"/>
            <filter val="R$ 11,512.46"/>
            <filter val="R$ 111,686.15"/>
            <filter val="R$ 111,940.50"/>
            <filter val="R$ 112,663.48"/>
            <filter val="R$ 114,381.89"/>
            <filter val="R$ 114,402.67"/>
            <filter val="R$ 114,480.81"/>
            <filter val="R$ 115,044.75"/>
            <filter val="R$ 117,049.00"/>
            <filter val="R$ 119,862.32"/>
            <filter val="R$ 119,901.52"/>
            <filter val="R$ 121,658.89"/>
            <filter val="R$ 121,852.18"/>
            <filter val="R$ 124,791.66"/>
            <filter val="R$ 125,398.61"/>
            <filter val="R$ 126,220.89"/>
            <filter val="R$ 129,147.12"/>
            <filter val="R$ 129,147.26"/>
            <filter val="R$ 13,068.91"/>
            <filter val="R$ 13,716.42"/>
            <filter val="R$ 130,282.38"/>
            <filter val="R$ 131,805.24"/>
            <filter val="R$ 132,130.09"/>
            <filter val="R$ 133,503.57"/>
            <filter val="R$ 134,379.96"/>
            <filter val="R$ 134,780.95"/>
            <filter val="R$ 135,941.03"/>
            <filter val="R$ 136,394.09"/>
            <filter val="R$ 137,351.63"/>
            <filter val="R$ 137,435.10"/>
            <filter val="R$ 137,673.40"/>
            <filter val="R$ 137.32"/>
            <filter val="R$ 139,093.47"/>
            <filter val="R$ 139,736.26"/>
            <filter val="R$ 14,230.92"/>
            <filter val="R$ 14,747.84"/>
            <filter val="R$ 14.67"/>
            <filter val="R$ 140,246.64"/>
            <filter val="R$ 140,285.00"/>
            <filter val="R$ 140,287.07"/>
            <filter val="R$ 140,596.37"/>
            <filter val="R$ 140.59"/>
            <filter val="R$ 141,341.87"/>
            <filter val="R$ 141,659.22"/>
            <filter val="R$ 142,733.52"/>
            <filter val="R$ 144,284.80"/>
            <filter val="R$ 144,495.55"/>
            <filter val="R$ 146,841.97"/>
            <filter val="R$ 146.74"/>
            <filter val="R$ 149,376.34"/>
            <filter val="R$ 15,351.73"/>
            <filter val="R$ 15,935.10"/>
            <filter val="R$ 150,464.07"/>
            <filter val="R$ 150,736.95"/>
            <filter val="R$ 152,100.88"/>
            <filter val="R$ 153,435.44"/>
            <filter val="R$ 154,454.13"/>
            <filter val="R$ 154,923.63"/>
            <filter val="R$ 157,321.63"/>
            <filter val="R$ 158,703.75"/>
            <filter val="R$ 158,825.91"/>
            <filter val="R$ 159,902.35"/>
            <filter val="R$ 16,523,890.02"/>
            <filter val="R$ 16,731.64"/>
            <filter val="R$ 16.18"/>
            <filter val="R$ 160,214.99"/>
            <filter val="R$ 160,286.49"/>
            <filter val="R$ 160,710.31"/>
            <filter val="R$ 162,158.77"/>
            <filter val="R$ 162,955.89"/>
            <filter val="R$ 163,478.71"/>
            <filter val="R$ 163,997.52"/>
            <filter val="R$ 164,501.49"/>
            <filter val="R$ 167,672.40"/>
            <filter val="R$ 167,903.82"/>
            <filter val="R$ 168,695.58"/>
            <filter val="R$ 169,309.23"/>
            <filter val="R$ 17,659.52"/>
            <filter val="R$ 170.67"/>
            <filter val="R$ 171,477.40"/>
            <filter val="R$ 171.31"/>
            <filter val="R$ 172,384.33"/>
            <filter val="R$ 174,526.13"/>
            <filter val="R$ 176,404.80"/>
            <filter val="R$ 177,375.23"/>
            <filter val="R$ 179,899.19"/>
            <filter val="R$ 18,586.32"/>
            <filter val="R$ 18.77"/>
            <filter val="R$ 180,938.03"/>
            <filter val="R$ 185,296.17"/>
            <filter val="R$ 187,596.72"/>
            <filter val="R$ 191,029.53"/>
            <filter val="R$ 193,588.35"/>
            <filter val="R$ 193,638.73"/>
            <filter val="R$ 194,411.18"/>
            <filter val="R$ 194,882.55"/>
            <filter val="R$ 196,353.37"/>
            <filter val="R$ 2,007,276.64"/>
            <filter val="R$ 2,050.86"/>
            <filter val="R$ 2,130,656.17"/>
            <filter val="R$ 2,137,864.26"/>
            <filter val="R$ 2,241,552.06"/>
            <filter val="R$ 2,244,094.95"/>
            <filter val="R$ 2,277,301.51"/>
            <filter val="R$ 2,325.06"/>
            <filter val="R$ 2,426,511.51"/>
            <filter val="R$ 2,503.58"/>
            <filter val="R$ 2,546.54"/>
            <filter val="R$ 2,584,018.75"/>
            <filter val="R$ 2,756,883.68"/>
            <filter val="R$ 2,795,806.80"/>
            <filter val="R$ 2,839,628.15"/>
            <filter val="R$ 2,847,042.41"/>
            <filter val="R$ 20,653.07"/>
            <filter val="R$ 20.72"/>
            <filter val="R$ 200,155.63"/>
            <filter val="R$ 203,035.19"/>
            <filter val="R$ 203,143.75"/>
            <filter val="R$ 203,648.03"/>
            <filter val="R$ 204,538.43"/>
            <filter val="R$ 205,686.07"/>
            <filter val="R$ 205,870.37"/>
            <filter val="R$ 206,222.73"/>
            <filter val="R$ 207,011.53"/>
            <filter val="R$ 207,262.24"/>
            <filter val="R$ 209,678.10"/>
            <filter val="R$ 209.26"/>
            <filter val="R$ 21,052.45"/>
            <filter val="R$ 210,854.24"/>
            <filter val="R$ 210,892.59"/>
            <filter val="R$ 214,690.42"/>
            <filter val="R$ 216,644.68"/>
            <filter val="R$ 22,583.51"/>
            <filter val="R$ 220,034.61"/>
            <filter val="R$ 220,877.83"/>
            <filter val="R$ 223,808.12"/>
            <filter val="R$ 225.51"/>
            <filter val="R$ 225.57"/>
            <filter val="R$ 226,091.54"/>
            <filter val="R$ 227,436.61"/>
            <filter val="R$ 229,850.74"/>
            <filter val="R$ 23,577.54"/>
            <filter val="R$ 237,902.88"/>
            <filter val="R$ 238,572.20"/>
            <filter val="R$ 240,282.31"/>
            <filter val="R$ 240,651.02"/>
            <filter val="R$ 241,158.97"/>
            <filter val="R$ 243,986.61"/>
            <filter val="R$ 244,225.82"/>
            <filter val="R$ 245,498.57"/>
            <filter val="R$ 245,889.80"/>
            <filter val="R$ 246,738.52"/>
            <filter val="R$ 247,051.88"/>
            <filter val="R$ 252,228.48"/>
            <filter val="R$ 252,690.67"/>
            <filter val="R$ 254,560.55"/>
            <filter val="R$ 256,018.70"/>
            <filter val="R$ 256,538.48"/>
            <filter val="R$ 26,561.96"/>
            <filter val="R$ 26,596.87"/>
            <filter val="R$ 26,929.96"/>
            <filter val="R$ 262,611.44"/>
            <filter val="R$ 264,749.49"/>
            <filter val="R$ 265,209.88"/>
            <filter val="R$ 265,297.84"/>
            <filter val="R$ 265,516.80"/>
            <filter val="R$ 267,033.97"/>
            <filter val="R$ 267,336.43"/>
            <filter val="R$ 268,734.95"/>
            <filter val="R$ 273,707.75"/>
            <filter val="R$ 276,789.02"/>
            <filter val="R$ 278,391.66"/>
            <filter val="R$ 279,463.95"/>
            <filter val="R$ 28,025.44"/>
            <filter val="R$ 28,193.34"/>
            <filter val="R$ 282,668.50"/>
            <filter val="R$ 283,791.34"/>
            <filter val="R$ 284.91"/>
            <filter val="R$ 286,943.12"/>
            <filter val="R$ 289,037.78"/>
            <filter val="R$ 29,309.64"/>
            <filter val="R$ 294,500.57"/>
            <filter val="R$ 294,925.98"/>
            <filter val="R$ 297,895.15"/>
            <filter val="R$ 3,023,601.99"/>
            <filter val="R$ 3,214,698.19"/>
            <filter val="R$ 3,322.39"/>
            <filter val="R$ 3,361,260.34"/>
            <filter val="R$ 3,431,369.99"/>
            <filter val="R$ 3,755,707.41"/>
            <filter val="R$ 3,819,221.34"/>
            <filter val="R$ 3,839,579.00"/>
            <filter val="R$ 30,257.60"/>
            <filter val="R$ 30,358.37"/>
            <filter val="R$ 30.02"/>
            <filter val="R$ 302,703.59"/>
            <filter val="R$ 306,615.91"/>
            <filter val="R$ 31,005.58"/>
            <filter val="R$ 31,477.15"/>
            <filter val="R$ 313,290.90"/>
            <filter val="R$ 313,646.34"/>
            <filter val="R$ 313,991.54"/>
            <filter val="R$ 316,403.92"/>
            <filter val="R$ 32,287.35"/>
            <filter val="R$ 320,036.63"/>
            <filter val="R$ 323,405.42"/>
            <filter val="R$ 325,439.29"/>
            <filter val="R$ 325,691.07"/>
            <filter val="R$ 327,583.28"/>
            <filter val="R$ 33,853.44"/>
            <filter val="R$ 33,983.76"/>
            <filter val="R$ 33,992.91"/>
            <filter val="R$ 33.05"/>
            <filter val="R$ 330,757.68"/>
            <filter val="R$ 334,298.87"/>
            <filter val="R$ 334,953.40"/>
            <filter val="R$ 336,551.07"/>
            <filter val="R$ 337,962.60"/>
            <filter val="R$ 342,743.89"/>
            <filter val="R$ 345,713.60"/>
            <filter val="R$ 346,764.92"/>
            <filter val="R$ 347,570.86"/>
            <filter val="R$ 348,379.66"/>
            <filter val="R$ 35,274.58"/>
            <filter val="R$ 35,304.36"/>
            <filter val="R$ 35,463.24"/>
            <filter val="R$ 35,820.13"/>
            <filter val="R$ 35.29"/>
            <filter val="R$ 350,725.59"/>
            <filter val="R$ 351,339.11"/>
            <filter val="R$ 352,782.73"/>
            <filter val="R$ 353.00"/>
            <filter val="R$ 356,098.04"/>
            <filter val="R$ 357,875.71"/>
            <filter val="R$ 361,097.71"/>
            <filter val="R$ 364,082.52"/>
            <filter val="R$ 365,697.18"/>
            <filter val="R$ 366,231.42"/>
            <filter val="R$ 368,564.59"/>
            <filter val="R$ 368,641.85"/>
            <filter val="R$ 374,712.09"/>
            <filter val="R$ 376,620.20"/>
            <filter val="R$ 377,147.44"/>
            <filter val="R$ 378,431.57"/>
            <filter val="R$ 388,775.00"/>
            <filter val="R$ 390,387.65"/>
            <filter val="R$ 394,597.36"/>
            <filter val="R$ 396,652.54"/>
            <filter val="R$ 4,039,125.48"/>
            <filter val="R$ 4,295,934.78"/>
            <filter val="R$ 4,312,662.84"/>
            <filter val="R$ 4,397,477.29"/>
            <filter val="R$ 4,460,551.74"/>
            <filter val="R$ 4,485,768.68"/>
            <filter val="R$ 40,194.98"/>
            <filter val="R$ 404,628.32"/>
            <filter val="R$ 407,678.64"/>
            <filter val="R$ 41,435.87"/>
            <filter val="R$ 41,967.58"/>
            <filter val="R$ 42,685.50"/>
            <filter val="R$ 42,896.63"/>
            <filter val="R$ 421,870.60"/>
            <filter val="R$ 425,000.19"/>
            <filter val="R$ 426,797.43"/>
            <filter val="R$ 427,208.00"/>
            <filter val="R$ 427,432.58"/>
            <filter val="R$ 428,542.58"/>
            <filter val="R$ 43,052.43"/>
            <filter val="R$ 43,467.77"/>
            <filter val="R$ 430,801.34"/>
            <filter val="R$ 430,912.15"/>
            <filter val="R$ 435.94"/>
            <filter val="R$ 436,678.49"/>
            <filter val="R$ 438,530.77"/>
            <filter val="R$ 44,497.80"/>
            <filter val="R$ 443,417.86"/>
            <filter val="R$ 450,866.14"/>
            <filter val="R$ 450.54"/>
            <filter val="R$ 456,589.58"/>
            <filter val="R$ 46,392.12"/>
            <filter val="R$ 460,657.48"/>
            <filter val="R$ 461,792.47"/>
            <filter val="R$ 463,317.50"/>
            <filter val="R$ 466,830.27"/>
            <filter val="R$ 473,331.37"/>
            <filter val="R$ 48,297.43"/>
            <filter val="R$ 48,585.14"/>
            <filter val="R$ 48,852.60"/>
            <filter val="R$ 492,167.63"/>
            <filter val="R$ 493,164.06"/>
            <filter val="R$ 494,699.39"/>
            <filter val="R$ 5,028.95"/>
            <filter val="R$ 5,194.78"/>
            <filter val="R$ 5,612.56"/>
            <filter val="R$ 5,744.77"/>
            <filter val="R$ 5,818,801.75"/>
            <filter val="R$ 5.55"/>
            <filter val="R$ 50,061.93"/>
            <filter val="R$ 50,269.97"/>
            <filter val="R$ 50,397.13"/>
            <filter val="R$ 50,930.79"/>
            <filter val="R$ 50.26"/>
            <filter val="R$ 500,890.57"/>
            <filter val="R$ 501,159.88"/>
            <filter val="R$ 504,924.71"/>
            <filter val="R$ 51,013.45"/>
            <filter val="R$ 51,054.53"/>
            <filter val="R$ 510,606.55"/>
            <filter val="R$ 519,788.90"/>
            <filter val="R$ 525,434.07"/>
            <filter val="R$ 525,472.70"/>
            <filter val="R$ 527,081.27"/>
            <filter val="R$ 53,505.91"/>
            <filter val="R$ 53,523.46"/>
            <filter val="R$ 530,776.49"/>
            <filter val="R$ 536,257.18"/>
            <filter val="R$ 54,098.91"/>
            <filter val="R$ 54,451.84"/>
            <filter val="R$ 540,494.52"/>
            <filter val="R$ 541,516.93"/>
            <filter val="R$ 545,892.12"/>
            <filter val="R$ 55,930.45"/>
            <filter val="R$ 550,429.91"/>
            <filter val="R$ 550,621.00"/>
            <filter val="R$ 551.26"/>
            <filter val="R$ 554,805.92"/>
            <filter val="R$ 555,199.17"/>
            <filter val="R$ 56,802.00"/>
            <filter val="R$ 567,918.27"/>
            <filter val="R$ 567.70"/>
            <filter val="R$ 568,342.23"/>
            <filter val="R$ 569,717.36"/>
            <filter val="R$ 57,945.12"/>
            <filter val="R$ 574,327.63"/>
            <filter val="R$ 574,607.37"/>
            <filter val="R$ 577,230.70"/>
            <filter val="R$ 58,076.04"/>
            <filter val="R$ 58,345.64"/>
            <filter val="R$ 58,458.23"/>
            <filter val="R$ 58,668.22"/>
            <filter val="R$ 580.01"/>
            <filter val="R$ 581,827.86"/>
            <filter val="R$ 582,727.07"/>
            <filter val="R$ 586,787.50"/>
            <filter val="R$ 59,694.45"/>
            <filter val="R$ 594,327.36"/>
            <filter val="R$ 6,000.00"/>
            <filter val="R$ 6,155.03"/>
            <filter val="R$ 6,273,001.62"/>
            <filter val="R$ 6,745.71"/>
            <filter val="R$ 6,859.37"/>
            <filter val="R$ 603,404.57"/>
            <filter val="R$ 607,761.38"/>
            <filter val="R$ 608,996.41"/>
            <filter val="R$ 62,837.01"/>
            <filter val="R$ 622,694.76"/>
            <filter val="R$ 623,702.07"/>
            <filter val="R$ 625,486.55"/>
            <filter val="R$ 626,479.97"/>
            <filter val="R$ 626,625.64"/>
            <filter val="R$ 63,760.24"/>
            <filter val="R$ 633,953.26"/>
            <filter val="R$ 640,051.07"/>
            <filter val="R$ 648,589.35"/>
            <filter val="R$ 65,158.14"/>
            <filter val="R$ 655,293.54"/>
            <filter val="R$ 655,720.22"/>
            <filter val="R$ 656,283.35"/>
            <filter val="R$ 66,386.28"/>
            <filter val="R$ 66,405.76"/>
            <filter val="R$ 663,216.71"/>
            <filter val="R$ 663,847.98"/>
            <filter val="R$ 668,407.40"/>
            <filter val="R$ 67,105.66"/>
            <filter val="R$ 676,174.01"/>
            <filter val="R$ 68,035.38"/>
            <filter val="R$ 68,171.38"/>
            <filter val="R$ 68,755.69"/>
            <filter val="R$ 68.39"/>
            <filter val="R$ 680,459.13"/>
            <filter val="R$ 686,867.99"/>
            <filter val="R$ 688,196.81"/>
            <filter val="R$ 69,000.88"/>
            <filter val="R$ 69,098.44"/>
            <filter val="R$ 697,736.76"/>
            <filter val="R$ 7,188.30"/>
            <filter val="R$ 7,292,274.01"/>
            <filter val="R$ 7,323.91"/>
            <filter val="R$ 7,600.49"/>
            <filter val="R$ 703,252.34"/>
            <filter val="R$ 71,720.31"/>
            <filter val="R$ 718,812.51"/>
            <filter val="R$ 73,158.95"/>
            <filter val="R$ 73,840.23"/>
            <filter val="R$ 73.59"/>
            <filter val="R$ 731,594.67"/>
            <filter val="R$ 74,163.19"/>
            <filter val="R$ 74,212.90"/>
            <filter val="R$ 74,734.14"/>
            <filter val="R$ 75,125.82"/>
            <filter val="R$ 759,514.93"/>
            <filter val="R$ 759.00"/>
            <filter val="R$ 76,475.19"/>
            <filter val="R$ 765,575.63"/>
            <filter val="R$ 77,206.92"/>
            <filter val="R$ 77,351.94"/>
            <filter val="R$ 77,652.46"/>
            <filter val="R$ 773,226.21"/>
            <filter val="R$ 778,613.49"/>
            <filter val="R$ 79,278.76"/>
            <filter val="R$ 79,591.77"/>
            <filter val="R$ 8,080,494.59"/>
            <filter val="R$ 801,302.32"/>
            <filter val="R$ 802,110.67"/>
            <filter val="R$ 803,507.43"/>
            <filter val="R$ 807,149.98"/>
            <filter val="R$ 81,039.79"/>
            <filter val="R$ 812,486.91"/>
            <filter val="R$ 815,684.51"/>
            <filter val="R$ 818,622.85"/>
            <filter val="R$ 828,451.96"/>
            <filter val="R$ 829,370.48"/>
            <filter val="R$ 83,186.65"/>
            <filter val="R$ 830,733.73"/>
            <filter val="R$ 836,610.72"/>
            <filter val="R$ 837,618.20"/>
            <filter val="R$ 85,768.99"/>
            <filter val="R$ 850,022.20"/>
            <filter val="R$ 859,210.00"/>
            <filter val="R$ 86,482.09"/>
            <filter val="R$ 86.38"/>
            <filter val="R$ 862,950.86"/>
            <filter val="R$ 863,638.46"/>
            <filter val="R$ 868,861.72"/>
            <filter val="R$ 870,146.90"/>
            <filter val="R$ 874,087.61"/>
            <filter val="R$ 880,475.50"/>
            <filter val="R$ 889,186.44"/>
            <filter val="R$ 89,216.53"/>
            <filter val="R$ 89,381.90"/>
            <filter val="R$ 89,547.54"/>
            <filter val="R$ 892,261.10"/>
            <filter val="R$ 898,278.39"/>
            <filter val="R$ 9,079.50"/>
            <filter val="R$ 9.74"/>
            <filter val="R$ 904,444.35"/>
            <filter val="R$ 929,335.64"/>
            <filter val="R$ 94,987.15"/>
            <filter val="R$ 948,513.33"/>
            <filter val="R$ 955,552.47"/>
            <filter val="R$ 96,166.27"/>
            <filter val="R$ 96,234.46"/>
            <filter val="R$ 977,995.99"/>
            <filter val="R$ 978,638.13"/>
            <filter val="R$ 98,754.33"/>
            <filter val="R$ 98,937.03"/>
            <filter val="R$ 983,365.96"/>
            <filter val="R$ 990,177.55"/>
            <filter val="R$ 992,536.72"/>
            <filter val="R$ 996,713.38"/>
          </filters>
        </filterColumn>
      </autoFilter>
    </customSheetView>
    <customSheetView guid="{B36BCCD7-3E96-42EF-956F-39C1E1AA82D7}" filter="1" showAutoFilter="1">
      <pageMargins left="0" right="0" top="0" bottom="0" header="0" footer="0"/>
      <autoFilter ref="B2:AL1088" xr:uid="{8A387EB3-8F86-4974-8A38-2830150ACEA9}"/>
    </customSheetView>
    <customSheetView guid="{6C4E81CA-32B3-4BD4-9A1C-F20FF8B924A7}" filter="1" showAutoFilter="1">
      <pageMargins left="0" right="0" top="0" bottom="0" header="0" footer="0"/>
      <autoFilter ref="B2:AN1088" xr:uid="{8E3C3D6D-B2C0-4915-A836-0BCCB2B50DA5}"/>
    </customSheetView>
    <customSheetView guid="{B7CD9EB0-1531-40C7-9620-5B58C4DE4619}" filter="1" showAutoFilter="1">
      <pageMargins left="0" right="0" top="0" bottom="0" header="0" footer="0"/>
      <autoFilter ref="AW9:AW1080" xr:uid="{4ED4C5AC-BA6D-473B-A750-8F6C1589E4EB}"/>
    </customSheetView>
    <customSheetView guid="{FEAC60D3-C159-415D-937A-4EAACDD63294}" filter="1" showAutoFilter="1">
      <pageMargins left="0" right="0" top="0" bottom="0" header="0" footer="0"/>
      <autoFilter ref="D2:F1093" xr:uid="{FC213017-8EED-4D99-A9C4-5D49BFEE9CE4}"/>
    </customSheetView>
    <customSheetView guid="{D6C27E9A-598C-47F2-8F3D-83A50A107790}" filter="1" showAutoFilter="1">
      <pageMargins left="0" right="0" top="0" bottom="0" header="0" footer="0"/>
      <autoFilter ref="A1:AQ1088" xr:uid="{0848EFEE-B2EC-4A55-906D-739D0CD7523C}"/>
    </customSheetView>
    <customSheetView guid="{D88A4E9B-48B4-4051-9559-DAF3073B092E}" filter="1" showAutoFilter="1">
      <pageMargins left="0" right="0" top="0" bottom="0" header="0" footer="0"/>
      <autoFilter ref="A2:AV1084" xr:uid="{51744CE7-C1D0-4245-9558-1E2F296F7F67}">
        <filterColumn colId="8">
          <filters>
            <filter val="Bloqueado"/>
            <filter val="Resgate Total"/>
            <filter val="Sem Saldo"/>
            <filter val="Troca de Assessoria"/>
          </filters>
        </filterColumn>
      </autoFilter>
    </customSheetView>
    <customSheetView guid="{5CDCABD2-B796-4544-A3DF-EA95C60E83B1}" filter="1" showAutoFilter="1">
      <pageMargins left="0" right="0" top="0" bottom="0" header="0" footer="0"/>
      <autoFilter ref="A2:AW1084" xr:uid="{2D05652C-5348-41FF-B401-1B5597A72E32}">
        <filterColumn colId="7">
          <filters>
            <filter val="Inativo"/>
            <filter val="Ativo"/>
          </filters>
        </filterColumn>
        <filterColumn colId="8">
          <filters>
            <filter val="Resgate Total"/>
            <filter val="Sem Saldo"/>
            <filter val="Troca de Assessoria"/>
          </filters>
        </filterColumn>
      </autoFilter>
    </customSheetView>
    <customSheetView guid="{6A9A4AFA-3A97-4345-9DC1-B2430F067760}" filter="1" showAutoFilter="1">
      <pageMargins left="0" right="0" top="0" bottom="0" header="0" footer="0"/>
      <autoFilter ref="A1:AR1093" xr:uid="{47A7D8FD-C68E-40C6-BB0A-11E7D25C193B}">
        <filterColumn colId="5">
          <filters>
            <filter val="Alexandre Teixeira Campos"/>
            <filter val="Alexandre Xavier"/>
            <filter val="André de Queiroz Coelho"/>
            <filter val="Antonio Volpato"/>
            <filter val="Augusto Sampaio"/>
            <filter val="Bluemetrix"/>
            <filter val="Bruno Ribeiro"/>
            <filter val="Caroline Facó Ehlers"/>
            <filter val="Daniel Melhado"/>
            <filter val="Douglas Tuira"/>
            <filter val="Eleazar Ferreira Junior"/>
            <filter val="Felipe Cravos"/>
            <filter val="Felipe Miranda"/>
            <filter val="Gabriel Regis"/>
            <filter val="Gabriel Stella"/>
            <filter val="Guilherme dos Santos"/>
            <filter val="João Gabriel Miziara"/>
            <filter val="João Paulo Britto"/>
            <filter val="João Victor de Moura Beze"/>
            <filter val="Joney Alves"/>
            <filter val="Jorge Luiz Braga de Carvalho"/>
            <filter val="Larissa Montes"/>
            <filter val="Leonardo Nascimento Porto"/>
            <filter val="Lucas Ferreira"/>
            <filter val="Lucas Oliveira"/>
            <filter val="Luis Felipe"/>
            <filter val="Marcelo Franciscon"/>
            <filter val="Marcos Serra"/>
            <filter val="Marcus Macedo"/>
            <filter val="Mariana Rocha"/>
            <filter val="Norton Jr"/>
            <filter val="Pamara Rosa"/>
            <filter val="Paula Bonfim"/>
            <filter val="Paula Lemos"/>
            <filter val="Rafael Guedes"/>
            <filter val="Rafaela Souza"/>
            <filter val="Raoni Costa"/>
            <filter val="Rodrigo Milanez"/>
            <filter val="Thais Helena"/>
            <filter val="thiago Canabrava"/>
            <filter val="Valeria Viana"/>
            <filter val="Victor Hugo Laurentino"/>
            <filter val="Vitor Pedrazzi"/>
          </filters>
        </filterColumn>
        <filterColumn colId="12">
          <filters blank="1">
            <filter val="BDR"/>
            <filter val="Carteira"/>
            <filter val="CON/ COADM"/>
            <filter val="CON/ GR"/>
            <filter val="CON/ PREV CON"/>
            <filter val="CON/ PREV MOD"/>
            <filter val="CORP"/>
            <filter val="CRIP"/>
            <filter val="DIV/ COADM"/>
            <filter val="EQT"/>
            <filter val="EQT/ COADM"/>
            <filter val="INC CP"/>
            <filter val="INC CP/ COADM"/>
            <filter val="INC/ COADM"/>
            <filter val="INC/ PREV CON"/>
            <filter val="INC/ PREV MOD"/>
            <filter val="MOD/ COADM"/>
            <filter val="MOD/ GR"/>
            <filter val="MOD/ PREV ARR"/>
            <filter val="MOD/ PREV MOD"/>
            <filter val="MOD/ PREV MOD/ COADM"/>
            <filter val="MONT/ COADM"/>
            <filter val="MULT PRIV"/>
            <filter val="MULT PRIV/ CO ADM"/>
            <filter val="PREV ARR"/>
            <filter val="PREV CON"/>
            <filter val="PREV MOD"/>
            <filter val="SMLL"/>
            <filter val="STOCK"/>
          </filters>
        </filterColumn>
      </autoFilter>
    </customSheetView>
    <customSheetView guid="{48357F01-1856-4FCF-9F08-FCDE56A2D44A}" filter="1" showAutoFilter="1">
      <pageMargins left="0" right="0" top="0" bottom="0" header="0" footer="0"/>
      <autoFilter ref="F2:AN1093" xr:uid="{8272F02A-F9D3-4BED-8610-5D659DC9BAC9}">
        <filterColumn colId="33">
          <filters>
            <filter val="R$ 0.00"/>
            <filter val="R$ 0.01"/>
            <filter val="R$ 1,010.11"/>
            <filter val="R$ 1,027.31"/>
            <filter val="R$ 1,042,177.69"/>
            <filter val="R$ 1,048,743.06"/>
            <filter val="R$ 1,072,991.87"/>
            <filter val="R$ 1,082,128.18"/>
            <filter val="R$ 1,089,087.97"/>
            <filter val="R$ 1,098,123.19"/>
            <filter val="R$ 1,140,148.39"/>
            <filter val="R$ 1,141,560.80"/>
            <filter val="R$ 1,157,718.00"/>
            <filter val="R$ 1,160,229.71"/>
            <filter val="R$ 1,207,452.88"/>
            <filter val="R$ 1,226,801.03"/>
            <filter val="R$ 1,236,011.28"/>
            <filter val="R$ 1,279,464.70"/>
            <filter val="R$ 1,292,029.39"/>
            <filter val="R$ 1,297,521.30"/>
            <filter val="R$ 1,307,731.72"/>
            <filter val="R$ 1,309,970.99"/>
            <filter val="R$ 1,389,671.12"/>
            <filter val="R$ 1,404,159.84"/>
            <filter val="R$ 1,481,389.20"/>
            <filter val="R$ 1,534,943.49"/>
            <filter val="R$ 1,644,341.39"/>
            <filter val="R$ 1,667,434.67"/>
            <filter val="R$ 1,696,169.83"/>
            <filter val="R$ 1,728,001.75"/>
            <filter val="R$ 1,769,481.97"/>
            <filter val="R$ 1,919.93"/>
            <filter val="R$ 10,121.37"/>
            <filter val="R$ 10,590.80"/>
            <filter val="R$ 100,563.06"/>
            <filter val="R$ 100,648.86"/>
            <filter val="R$ 101,366.48"/>
            <filter val="R$ 102,562.49"/>
            <filter val="R$ 102,906.88"/>
            <filter val="R$ 102,937.17"/>
            <filter val="R$ 105,096.22"/>
            <filter val="R$ 105,881.35"/>
            <filter val="R$ 106,366.95"/>
            <filter val="R$ 106,396.79"/>
            <filter val="R$ 106,502.53"/>
            <filter val="R$ 107,103.66"/>
            <filter val="R$ 107,326.56"/>
            <filter val="R$ 107,537.03"/>
            <filter val="R$ 107,737.05"/>
            <filter val="R$ 108,108.28"/>
            <filter val="R$ 113,918.96"/>
            <filter val="R$ 116,324.12"/>
            <filter val="R$ 117,722.06"/>
            <filter val="R$ 119,165.24"/>
            <filter val="R$ 121,542.65"/>
            <filter val="R$ 121,930.35"/>
            <filter val="R$ 122,550.79"/>
            <filter val="R$ 125,151.44"/>
            <filter val="R$ 127,766.28"/>
            <filter val="R$ 129,627.90"/>
            <filter val="R$ 13,707.40"/>
            <filter val="R$ 130,817.66"/>
            <filter val="R$ 131,947.19"/>
            <filter val="R$ 134,113.35"/>
            <filter val="R$ 135,591.54"/>
            <filter val="R$ 138,871.22"/>
            <filter val="R$ 139,372.91"/>
            <filter val="R$ 146,491.67"/>
            <filter val="R$ 147,938.64"/>
            <filter val="R$ 147,998.45"/>
            <filter val="R$ 148,461.24"/>
            <filter val="R$ 15,000.00"/>
            <filter val="R$ 15,561.04"/>
            <filter val="R$ 15,896,277.26"/>
            <filter val="R$ 151,242.98"/>
            <filter val="R$ 157,127.40"/>
            <filter val="R$ 157,716.83"/>
            <filter val="R$ 158,275.19"/>
            <filter val="R$ 163,569.63"/>
            <filter val="R$ 165,822.31"/>
            <filter val="R$ 166,990.86"/>
            <filter val="R$ 168,414.97"/>
            <filter val="R$ 168,860.19"/>
            <filter val="R$ 171,559.12"/>
            <filter val="R$ 174,038.01"/>
            <filter val="R$ 176,470,655.86"/>
            <filter val="R$ 178,117.61"/>
            <filter val="R$ 179,377.58"/>
            <filter val="R$ 180,521.59"/>
            <filter val="R$ 181,860.56"/>
            <filter val="R$ 182,350.83"/>
            <filter val="R$ 196,237.19"/>
            <filter val="R$ 198,416.28"/>
            <filter val="R$ 2,027,949.47"/>
            <filter val="R$ 2,066,995.05"/>
            <filter val="R$ 2,070,022.35"/>
            <filter val="R$ 2,151.04"/>
            <filter val="R$ 2,168,757.62"/>
            <filter val="R$ 2,455,150.22"/>
            <filter val="R$ 2,466,852.75"/>
            <filter val="R$ 2,484,801.55"/>
            <filter val="R$ 2,497,905.81"/>
            <filter val="R$ 2,566,640.21"/>
            <filter val="R$ 2,770,866.74"/>
            <filter val="R$ 2,795,420.34"/>
            <filter val="R$ 2,870,623.99"/>
            <filter val="R$ 20,245.20"/>
            <filter val="R$ 202,518.84"/>
            <filter val="R$ 204,655.88"/>
            <filter val="R$ 209,789.01"/>
            <filter val="R$ 210,494.19"/>
            <filter val="R$ 212,181.64"/>
            <filter val="R$ 214,989.41"/>
            <filter val="R$ 217,477.55"/>
            <filter val="R$ 217,959.20"/>
            <filter val="R$ 22,448.47"/>
            <filter val="R$ 223,209.27"/>
            <filter val="R$ 225,285.35"/>
            <filter val="R$ 227,605.23"/>
            <filter val="R$ 23,401.90"/>
            <filter val="R$ 230,828.89"/>
            <filter val="R$ 233,418.45"/>
            <filter val="R$ 241,167.17"/>
            <filter val="R$ 244,022.86"/>
            <filter val="R$ 245,715.26"/>
            <filter val="R$ 247,554.61"/>
            <filter val="R$ 250,702.30"/>
            <filter val="R$ 259,544.42"/>
            <filter val="R$ 26,661.75"/>
            <filter val="R$ 260,425.27"/>
            <filter val="R$ 268,061.12"/>
            <filter val="R$ 268,927.25"/>
            <filter val="R$ 274,010.13"/>
            <filter val="R$ 274,818.05"/>
            <filter val="R$ 276,198.08"/>
            <filter val="R$ 276,929.50"/>
            <filter val="R$ 280,076.21"/>
            <filter val="R$ 288,087.22"/>
            <filter val="R$ 289,366.31"/>
            <filter val="R$ 29,257.61"/>
            <filter val="R$ 299,873.01"/>
            <filter val="R$ 3,122,146.91"/>
            <filter val="R$ 3,182,425.32"/>
            <filter val="R$ 3,188,978.01"/>
            <filter val="R$ 3,239,178.93"/>
            <filter val="R$ 3,332,193.62"/>
            <filter val="R$ 3,353,269.63"/>
            <filter val="R$ 30,452.71"/>
            <filter val="R$ 302,958.03"/>
            <filter val="R$ 306,493.43"/>
            <filter val="R$ 308,282.00"/>
            <filter val="R$ 31,014.04"/>
            <filter val="R$ 310,265.38"/>
            <filter val="R$ 311,282.54"/>
            <filter val="R$ 312,389.67"/>
            <filter val="R$ 324,898.95"/>
            <filter val="R$ 326,697.58"/>
            <filter val="R$ 33,319.77"/>
            <filter val="R$ 331,938.47"/>
            <filter val="R$ 340,102.23"/>
            <filter val="R$ 341,698.42"/>
            <filter val="R$ 342,130.28"/>
            <filter val="R$ 344,793.73"/>
            <filter val="R$ 347,483.42"/>
            <filter val="R$ 347,561.87"/>
            <filter val="R$ 357,473.90"/>
            <filter val="R$ 357,710.52"/>
            <filter val="R$ 36,143.78"/>
            <filter val="R$ 360,391.21"/>
            <filter val="R$ 363,226.57"/>
            <filter val="R$ 37,421.92"/>
            <filter val="R$ 372,607.98"/>
            <filter val="R$ 378,013.16"/>
            <filter val="R$ 38,402.56"/>
            <filter val="R$ 384,253.18"/>
            <filter val="R$ 39,676.93"/>
            <filter val="R$ 396,340.75"/>
            <filter val="R$ 4,364,609.29"/>
            <filter val="R$ 4,384.53"/>
            <filter val="R$ 40,189.89"/>
            <filter val="R$ 40,478.05"/>
            <filter val="R$ 40,564.96"/>
            <filter val="R$ 403,819.67"/>
            <filter val="R$ 406,919.01"/>
            <filter val="R$ 407,252.56"/>
            <filter val="R$ 408,190.60"/>
            <filter val="R$ 414,552.97"/>
            <filter val="R$ 42,040.96"/>
            <filter val="R$ 427,761.52"/>
            <filter val="R$ 43,353.84"/>
            <filter val="R$ 43,995.85"/>
            <filter val="R$ 430,183.62"/>
            <filter val="R$ 433,492.38"/>
            <filter val="R$ 439,840.02"/>
            <filter val="R$ 44,467.04"/>
            <filter val="R$ 44,968.78"/>
            <filter val="R$ 450,031.58"/>
            <filter val="R$ 46,550.74"/>
            <filter val="R$ 46,739.32"/>
            <filter val="R$ 461,665.96"/>
            <filter val="R$ 468,483.92"/>
            <filter val="R$ 47,800.97"/>
            <filter val="R$ 49,815.46"/>
            <filter val="R$ 49,931.15"/>
            <filter val="R$ 493,663.84"/>
            <filter val="R$ 494,989.38"/>
            <filter val="R$ 499,291.51"/>
            <filter val="R$ 5,000.00"/>
            <filter val="R$ 5,316.89"/>
            <filter val="R$ 50,389.96"/>
            <filter val="R$ 507,006.42"/>
            <filter val="R$ 509,775.18"/>
            <filter val="R$ 51,210.32"/>
            <filter val="R$ 510,334.32"/>
            <filter val="R$ 510,336.77"/>
            <filter val="R$ 515,470.43"/>
            <filter val="R$ 52,222.99"/>
            <filter val="R$ 525,755.99"/>
            <filter val="R$ 534,786.71"/>
            <filter val="R$ 54,661.25"/>
            <filter val="R$ 54,741.43"/>
            <filter val="R$ 56,248.95"/>
            <filter val="R$ 566,724.20"/>
            <filter val="R$ 569,712.92"/>
            <filter val="R$ 57,317.61"/>
            <filter val="R$ 579,285.01"/>
            <filter val="R$ 579,356.60"/>
            <filter val="R$ 58,477.42"/>
            <filter val="R$ 582,319.12"/>
            <filter val="R$ 584,340.22"/>
            <filter val="R$ 59,285.70"/>
            <filter val="R$ 599,462.24"/>
            <filter val="R$ 6,317.77"/>
            <filter val="R$ 6,409.45"/>
            <filter val="R$ 60,985.13"/>
            <filter val="R$ 607,920.45"/>
            <filter val="R$ 611,790.00"/>
            <filter val="R$ 615,707.80"/>
            <filter val="R$ 618,853.27"/>
            <filter val="R$ 62,211.39"/>
            <filter val="R$ 625,317.48"/>
            <filter val="R$ 627,525.17"/>
            <filter val="R$ 628,636.38"/>
            <filter val="R$ 63,991.85"/>
            <filter val="R$ 631,261.12"/>
            <filter val="R$ 64,503.79"/>
            <filter val="R$ 64,526.73"/>
            <filter val="R$ 667,808.17"/>
            <filter val="R$ 67,680.42"/>
            <filter val="R$ 671,497.32"/>
            <filter val="R$ 686,212.09"/>
            <filter val="R$ 697,627.07"/>
            <filter val="R$ 70,426.32"/>
            <filter val="R$ 70,572.13"/>
            <filter val="R$ 704,652.48"/>
            <filter val="R$ 707,734.86"/>
            <filter val="R$ 709,432.98"/>
            <filter val="R$ 709,503.56"/>
            <filter val="R$ 709,516.96"/>
            <filter val="R$ 71,927.97"/>
            <filter val="R$ 712.78"/>
            <filter val="R$ 714,697.76"/>
            <filter val="R$ 73,058.10"/>
            <filter val="R$ 747,604.76"/>
            <filter val="R$ 756,752.38"/>
            <filter val="R$ 76,467.35"/>
            <filter val="R$ 775,970.71"/>
            <filter val="R$ 8,788,058.62"/>
            <filter val="R$ 8.53"/>
            <filter val="R$ 80,132.51"/>
            <filter val="R$ 80,855.08"/>
            <filter val="R$ 804,596.25"/>
            <filter val="R$ 81,126.58"/>
            <filter val="R$ 817,587.84"/>
            <filter val="R$ 82,180.02"/>
            <filter val="R$ 820,233.94"/>
            <filter val="R$ 83,333.43"/>
            <filter val="R$ 83,869.63"/>
            <filter val="R$ 832,614.92"/>
            <filter val="R$ 850,795.67"/>
            <filter val="R$ 86,217.05"/>
            <filter val="R$ 86,409.50"/>
            <filter val="R$ 87,335.75"/>
            <filter val="R$ 887,588.24"/>
            <filter val="R$ 890,507.37"/>
            <filter val="R$ 9,042.84"/>
            <filter val="R$ 9,046.45"/>
            <filter val="R$ 9,048.26"/>
            <filter val="R$ 9.67"/>
            <filter val="R$ 917,050.58"/>
            <filter val="R$ 930,674.54"/>
            <filter val="R$ 95,641.04"/>
            <filter val="R$ 959,768.12"/>
            <filter val="R$ 98,581.04"/>
            <filter val="R$ 99,754.48"/>
          </filters>
        </filterColumn>
      </autoFilter>
    </customSheetView>
    <customSheetView guid="{1A2D0BEE-A1E7-4868-B0E7-2299906D2EC9}" filter="1" showAutoFilter="1">
      <pageMargins left="0" right="0" top="0" bottom="0" header="0" footer="0"/>
      <autoFilter ref="A1:AW1084" xr:uid="{F40A3898-FE32-4EC8-B1ED-0DCE4029906B}">
        <filterColumn colId="7">
          <filters>
            <filter val="Encerrado"/>
          </filters>
        </filterColumn>
        <filterColumn colId="11">
          <filters blank="1">
            <filter val="01/08/2024"/>
            <filter val="01/09/2025"/>
            <filter val="01/10/2024"/>
            <filter val="01/10/2025"/>
            <filter val="01/12/2025"/>
            <filter val="02/05/2024"/>
            <filter val="02/08/2024"/>
            <filter val="02/09/2024"/>
            <filter val="02/10/2025"/>
            <filter val="03/04/2025"/>
            <filter val="03/05/2024"/>
            <filter val="03/11/2025"/>
            <filter val="04/02/2025"/>
            <filter val="04/08/2025"/>
            <filter val="04/09/2023"/>
            <filter val="04/09/2024"/>
            <filter val="04/11/2025"/>
            <filter val="05/02/2025"/>
            <filter val="05/03/2024"/>
            <filter val="05/07/2024"/>
            <filter val="05/09/2024"/>
            <filter val="05/10/2025"/>
            <filter val="05/11/2025"/>
            <filter val="06/06/2024"/>
            <filter val="06/06/2025"/>
            <filter val="06/08/2024"/>
            <filter val="06/10/2025"/>
            <filter val="07/06/2024"/>
            <filter val="07/07/2025"/>
            <filter val="07/10/2024"/>
            <filter val="07/10/2025"/>
            <filter val="08/10/2025"/>
            <filter val="09/05/25"/>
            <filter val="09/06/2025"/>
            <filter val="09/07/2025"/>
            <filter val="09/08/2024"/>
            <filter val="09/09/2025"/>
            <filter val="09/10/2024"/>
            <filter val="09/10/2025"/>
            <filter val="10/09/2024"/>
            <filter val="10/10/2025"/>
            <filter val="10/12/2024"/>
            <filter val="11/04/2024"/>
            <filter val="11/10/2024"/>
            <filter val="12/08/2024"/>
            <filter val="13/08/2024"/>
            <filter val="13/10/2025"/>
            <filter val="14/04/2025"/>
            <filter val="14/06/2024"/>
            <filter val="14/08/2024"/>
            <filter val="14/10/2024"/>
            <filter val="15/10/2024"/>
            <filter val="15/10/2025"/>
            <filter val="16/05/2025"/>
            <filter val="16/07/2025"/>
            <filter val="16/08/2024"/>
            <filter val="16/10/2024"/>
            <filter val="16/10/2025"/>
            <filter val="17/04/2025"/>
            <filter val="17/07/2024"/>
            <filter val="17/08/2024"/>
            <filter val="17/09/2024"/>
            <filter val="17/10/2024"/>
            <filter val="17/12/2024"/>
            <filter val="18/09/2024"/>
            <filter val="18/10/2024"/>
            <filter val="18/11/2024"/>
            <filter val="18/12/2023"/>
            <filter val="18/12/2024"/>
            <filter val="19/04/2024"/>
            <filter val="19/05/2025"/>
            <filter val="19/07/2024"/>
            <filter val="19/08/2024"/>
            <filter val="19/08/2025"/>
            <filter val="19/11/2025"/>
            <filter val="20/08/2024"/>
            <filter val="20/09/2024"/>
            <filter val="21/05/2024"/>
            <filter val="21/06/2024"/>
            <filter val="21/08/2024"/>
            <filter val="21/08/2025"/>
            <filter val="21/10/2024"/>
            <filter val="21/8/2024"/>
            <filter val="22/04/2025"/>
            <filter val="22/05/2025"/>
            <filter val="22/07/2024"/>
            <filter val="22/08/2024"/>
            <filter val="22/08/2025"/>
            <filter val="22/09/2025"/>
            <filter val="22/10/2024"/>
            <filter val="23/04/2025"/>
            <filter val="23/08/2024"/>
            <filter val="23/10/2024"/>
            <filter val="23/12/2025"/>
            <filter val="24/04/2025"/>
            <filter val="24/09/2024"/>
            <filter val="24/10/2024"/>
            <filter val="24/11/2025"/>
            <filter val="25/04/2024"/>
            <filter val="25/04/2025"/>
            <filter val="25/07/2024"/>
            <filter val="25/10/2024"/>
            <filter val="25/11/2024"/>
            <filter val="26/08/2024"/>
            <filter val="27/08/2024"/>
            <filter val="27/08/2025"/>
            <filter val="27/09/2024"/>
            <filter val="27/10/2024"/>
            <filter val="27/10/2025"/>
            <filter val="28/04/2025"/>
            <filter val="28/05/2024"/>
            <filter val="28/08/2024"/>
            <filter val="29/04/2024"/>
            <filter val="29/04/2025"/>
            <filter val="29/07/2024"/>
            <filter val="30/04/2025"/>
            <filter val="30/09/2024"/>
            <filter val="30/10/2024"/>
            <filter val="31/03/2025"/>
            <filter val="31/07/2024"/>
            <filter val="31/10/2024"/>
            <filter val="Data distrato"/>
          </filters>
        </filterColumn>
      </autoFilter>
    </customSheetView>
    <customSheetView guid="{93AB8B81-5F98-4284-B06A-D7CE72815A11}" filter="1" showAutoFilter="1">
      <pageMargins left="0" right="0" top="0" bottom="0" header="0" footer="0"/>
      <autoFilter ref="B2:AN1088" xr:uid="{8E0B3B5B-F098-4E33-BF90-5513038A848B}"/>
    </customSheetView>
    <customSheetView guid="{24DA35F3-A183-4043-B5A3-CCE9C654A418}" filter="1" showAutoFilter="1">
      <pageMargins left="0" right="0" top="0" bottom="0" header="0" footer="0"/>
      <autoFilter ref="B2:AO1088" xr:uid="{28790F8A-4EC0-4F89-BE69-264F0CF1FD14}"/>
    </customSheetView>
    <customSheetView guid="{2ACEDE0F-F9B4-496A-AEDF-A3455844D0F1}" filter="1" showAutoFilter="1">
      <pageMargins left="0" right="0" top="0" bottom="0" header="0" footer="0"/>
      <autoFilter ref="D2:K1093" xr:uid="{33FB470E-2085-402A-AE5E-24B0F3070CD3}">
        <filterColumn colId="7">
          <filters>
            <filter val="01/02/2023"/>
            <filter val="01/02/2024"/>
            <filter val="01/03/2023"/>
            <filter val="01/04/2024"/>
            <filter val="01/04/2025"/>
            <filter val="01/07/2024"/>
            <filter val="01/07/2025"/>
            <filter val="01/08/2023"/>
            <filter val="01/08/2025"/>
            <filter val="01/09/2023"/>
            <filter val="01/10/2024"/>
            <filter val="01/12/2022"/>
            <filter val="01/12/2023"/>
            <filter val="01/12/2025"/>
            <filter val="02/01/2023"/>
            <filter val="02/01/2024"/>
            <filter val="02/01/2025"/>
            <filter val="02/02/2023"/>
            <filter val="02/03/2023"/>
            <filter val="02/05/2023"/>
            <filter val="02/05/2024"/>
            <filter val="02/06/2025"/>
            <filter val="02/07/2024"/>
            <filter val="02/08/2023"/>
            <filter val="02/08/2024"/>
            <filter val="02/09/2025"/>
            <filter val="02/10/2023"/>
            <filter val="03/01/2023"/>
            <filter val="03/02/2023"/>
            <filter val="03/02/2025"/>
            <filter val="03/03/2023"/>
            <filter val="03/04/2024"/>
            <filter val="03/04/2025"/>
            <filter val="03/05/2023"/>
            <filter val="03/05/2024"/>
            <filter val="03/06/2024"/>
            <filter val="03/06/2025"/>
            <filter val="03/07/2024"/>
            <filter val="03/07/2025"/>
            <filter val="03/08/2023"/>
            <filter val="03/10/2023"/>
            <filter val="03/10/2024"/>
            <filter val="03/11/2023"/>
            <filter val="03/11/2025"/>
            <filter val="04/02/2025"/>
            <filter val="04/03/2024"/>
            <filter val="04/04/2023"/>
            <filter val="04/04/2024"/>
            <filter val="04/06/2024"/>
            <filter val="04/06/2025"/>
            <filter val="04/07/2023"/>
            <filter val="04/08/2023"/>
            <filter val="04/09/2023"/>
            <filter val="04/09/2024"/>
            <filter val="04/09/2025"/>
            <filter val="04/10/2023"/>
            <filter val="04/11/2024"/>
            <filter val="04/12/2023"/>
            <filter val="04/12/2024"/>
            <filter val="04/12/2025"/>
            <filter val="05/01/2023"/>
            <filter val="05/01/2024"/>
            <filter val="05/01/2026"/>
            <filter val="05/02/2024"/>
            <filter val="05/02/2025"/>
            <filter val="05/03/2024"/>
            <filter val="05/04/2023"/>
            <filter val="05/04/2024"/>
            <filter val="05/05/2023"/>
            <filter val="05/05/2025"/>
            <filter val="05/06/2024"/>
            <filter val="05/09/2023"/>
            <filter val="05/10/2023"/>
            <filter val="05/11/2025"/>
            <filter val="05/12/2023"/>
            <filter val="06/01/2023"/>
            <filter val="06/01/2026"/>
            <filter val="06/02/2024"/>
            <filter val="06/02/2025"/>
            <filter val="06/03/2023"/>
            <filter val="06/03/2024"/>
            <filter val="06/04/2023"/>
            <filter val="06/05/2024"/>
            <filter val="06/06/2023"/>
            <filter val="06/06/2024"/>
            <filter val="06/06/2025"/>
            <filter val="06/07/2023"/>
            <filter val="06/09/2023"/>
            <filter val="06/11/2023"/>
            <filter val="06/11/2024"/>
            <filter val="06/12/2023"/>
            <filter val="07/02/2023"/>
            <filter val="07/02/2025"/>
            <filter val="07/03/2023"/>
            <filter val="07/04/2025"/>
            <filter val="07/05/2024"/>
            <filter val="07/05/2025"/>
            <filter val="07/06/2024"/>
            <filter val="07/07/2025"/>
            <filter val="07/08/2023"/>
            <filter val="07/10/2024"/>
            <filter val="07/11/2024"/>
            <filter val="07/11/2025"/>
            <filter val="07/12/2023"/>
            <filter val="08/01/2025"/>
            <filter val="08/01/2026"/>
            <filter val="08/02/2023"/>
            <filter val="08/02/2024"/>
            <filter val="08/03/2023"/>
            <filter val="08/03/2024"/>
            <filter val="08/04/2024"/>
            <filter val="08/04/2025"/>
            <filter val="08/05/2025"/>
            <filter val="08/07/2025"/>
            <filter val="08/09/2023"/>
            <filter val="08/10/2024"/>
            <filter val="08/10/2025"/>
            <filter val="08/11/2023"/>
            <filter val="08/11/2024"/>
            <filter val="08/12/2022"/>
            <filter val="08/12/2023"/>
            <filter val="09/01/2023"/>
            <filter val="09/01/2025"/>
            <filter val="09/02/2023"/>
            <filter val="09/02/2024"/>
            <filter val="09/03/2023"/>
            <filter val="09/04/2024"/>
            <filter val="09/04/2025"/>
            <filter val="09/05/2024"/>
            <filter val="09/06/2023"/>
            <filter val="09/08/2024"/>
            <filter val="09/09/2024"/>
            <filter val="09/09/2025"/>
            <filter val="09/10/2023"/>
            <filter val="09/10/2024"/>
            <filter val="09/11/2022"/>
            <filter val="10/01/2023"/>
            <filter val="10/01/2024"/>
            <filter val="10/02/2025"/>
            <filter val="10/03/2023"/>
            <filter val="10/03/2025"/>
            <filter val="10/04/2023"/>
            <filter val="10/04/2024"/>
            <filter val="10/04/2025"/>
            <filter val="10/05/2023"/>
            <filter val="10/05/2024"/>
            <filter val="10/06/2024"/>
            <filter val="10/07/2023"/>
            <filter val="10/07/2024"/>
            <filter val="10/07/2025"/>
            <filter val="10/08/2023"/>
            <filter val="10/09/2024"/>
            <filter val="10/09/2025"/>
            <filter val="10/10/2023"/>
            <filter val="10/10/2024"/>
            <filter val="10/10/2025"/>
            <filter val="10/11/2023"/>
            <filter val="10/12/2024"/>
            <filter val="10/12/2025"/>
            <filter val="11/02/2025"/>
            <filter val="11/03/2023"/>
            <filter val="11/03/2024"/>
            <filter val="11/04/2023"/>
            <filter val="11/04/2024"/>
            <filter val="11/06/2024"/>
            <filter val="11/06/2025"/>
            <filter val="11/07/2023"/>
            <filter val="11/08/2023"/>
            <filter val="11/08/2025"/>
            <filter val="11/09/2023"/>
            <filter val="11/09/2024"/>
            <filter val="11/10/2023"/>
            <filter val="11/10/2024"/>
            <filter val="11/11/2024"/>
            <filter val="11/12/2023"/>
            <filter val="11/12/2024"/>
            <filter val="11/12/2025"/>
            <filter val="12/01/2023"/>
            <filter val="12/02/2025"/>
            <filter val="12/03/2024"/>
            <filter val="12/03/2025"/>
            <filter val="12/04/2023"/>
            <filter val="12/04/2024"/>
            <filter val="12/05/2023"/>
            <filter val="12/06/2024"/>
            <filter val="12/08/2024"/>
            <filter val="12/09/2024"/>
            <filter val="12/12/2022"/>
            <filter val="12/12/2024"/>
            <filter val="12/12/2025"/>
            <filter val="13/01/2025"/>
            <filter val="13/01/2026"/>
            <filter val="13/02/2023"/>
            <filter val="13/02/2025"/>
            <filter val="13/03/2023"/>
            <filter val="13/03/2024"/>
            <filter val="13/03/2025"/>
            <filter val="13/04/2023"/>
            <filter val="13/05/2025"/>
            <filter val="13/06/2024"/>
            <filter val="13/07/2023"/>
            <filter val="13/09/2023"/>
            <filter val="13/09/2024"/>
            <filter val="13/10/2023"/>
            <filter val="13/11/2025"/>
            <filter val="13/12/2022"/>
            <filter val="13/12/2024"/>
            <filter val="14/02/2023"/>
            <filter val="14/03/2023"/>
            <filter val="14/03/2024"/>
            <filter val="14/03/2025"/>
            <filter val="14/04/2023"/>
            <filter val="14/05/2024"/>
            <filter val="14/06/2024"/>
            <filter val="14/07/2023"/>
            <filter val="14/07/2025"/>
            <filter val="14/08/2024"/>
            <filter val="14/09/2023"/>
            <filter val="14/10/2024"/>
            <filter val="14/11/2022"/>
            <filter val="14/11/2023"/>
            <filter val="14/11/2024"/>
            <filter val="14/12/2022"/>
            <filter val="15/01/2024"/>
            <filter val="15/01/2025"/>
            <filter val="15/02/2022"/>
            <filter val="15/02/2023"/>
            <filter val="15/02/2024"/>
            <filter val="15/03/2023"/>
            <filter val="15/05/2023"/>
            <filter val="15/05/2024"/>
            <filter val="15/06/2023"/>
            <filter val="15/07/2024"/>
            <filter val="15/08/2023"/>
            <filter val="15/08/2024"/>
            <filter val="15/09/2023"/>
            <filter val="15/09/2025"/>
            <filter val="15/10/2024"/>
            <filter val="15/10/2025"/>
            <filter val="16/01/2025"/>
            <filter val="16/02/2023"/>
            <filter val="16/02/2024"/>
            <filter val="16/03/2023"/>
            <filter val="16/04/2024"/>
            <filter val="16/05/2023"/>
            <filter val="16/06/2023"/>
            <filter val="16/06/2025"/>
            <filter val="16/07/2025"/>
            <filter val="16/08/2024"/>
            <filter val="16/09/2024"/>
            <filter val="16/09/2025"/>
            <filter val="16/11/2023"/>
            <filter val="16/12/2022"/>
            <filter val="16/12/2024"/>
            <filter val="16/12/2025"/>
            <filter val="17/01/2023"/>
            <filter val="17/01/2024"/>
            <filter val="17/02/2023"/>
            <filter val="17/02/2025"/>
            <filter val="17/03/2023"/>
            <filter val="17/03/2025"/>
            <filter val="17/04/2023"/>
            <filter val="17/04/2025"/>
            <filter val="17/05/2023"/>
            <filter val="17/06/2024"/>
            <filter val="17/06/2025"/>
            <filter val="17/07/2023"/>
            <filter val="17/07/2024"/>
            <filter val="17/08/2023"/>
            <filter val="17/09/2024"/>
            <filter val="17/09/2025"/>
            <filter val="17/10/2024"/>
            <filter val="17/11/2023"/>
            <filter val="18/01/2023"/>
            <filter val="18/01/2024"/>
            <filter val="18/02/2025"/>
            <filter val="18/03/2024"/>
            <filter val="18/04/2023"/>
            <filter val="18/05/2023"/>
            <filter val="18/06/2024"/>
            <filter val="18/06/2025"/>
            <filter val="18/07/2023"/>
            <filter val="18/08/2023"/>
            <filter val="18/09/2023"/>
            <filter val="18/09/2025"/>
            <filter val="18/10/2023"/>
            <filter val="18/11/2024"/>
            <filter val="18/12/2022"/>
            <filter val="18/12/2023"/>
            <filter val="18/12/2024"/>
            <filter val="18/12/2025"/>
            <filter val="19/01/2023"/>
            <filter val="19/02/2024"/>
            <filter val="19/03/2024"/>
            <filter val="19/04/2023"/>
            <filter val="19/04/2024"/>
            <filter val="19/05/2023"/>
            <filter val="19/06/2023"/>
            <filter val="19/06/2024"/>
            <filter val="19/07/2023"/>
            <filter val="19/08/2024"/>
            <filter val="19/09/2023"/>
            <filter val="19/10/2023"/>
            <filter val="19/11/2024"/>
            <filter val="19/12/2022"/>
            <filter val="19/12/2023"/>
            <filter val="19/12/2024"/>
            <filter val="19/12/2025"/>
            <filter val="20/01/2023"/>
            <filter val="20/01/2025"/>
            <filter val="20/02/2023"/>
            <filter val="20/02/2025"/>
            <filter val="20/03/2023"/>
            <filter val="20/03/2024"/>
            <filter val="20/03/2025"/>
            <filter val="20/04/2023"/>
            <filter val="20/05/2024"/>
            <filter val="20/06/2024"/>
            <filter val="20/06/2025"/>
            <filter val="20/07/2023"/>
            <filter val="20/08/2023"/>
            <filter val="20/09/2023"/>
            <filter val="20/10/2023"/>
            <filter val="20/10/2025"/>
            <filter val="20/11/2023"/>
            <filter val="20/12/2023"/>
            <filter val="20/12/2024"/>
            <filter val="21/02/2024"/>
            <filter val="21/02/2025"/>
            <filter val="21/03/2023"/>
            <filter val="21/05/2025"/>
            <filter val="21/06/2024"/>
            <filter val="21/07/2023"/>
            <filter val="21/08/2023"/>
            <filter val="21/08/2025"/>
            <filter val="21/09/2023"/>
            <filter val="21/10/2024"/>
            <filter val="21/10/2025"/>
            <filter val="21/11/2024"/>
            <filter val="21/11/2025"/>
            <filter val="21/12/2022"/>
            <filter val="21/12/2023"/>
            <filter val="22/01/2024"/>
            <filter val="22/02/2023"/>
            <filter val="22/02/2024"/>
            <filter val="22/03/2023"/>
            <filter val="22/03/2024"/>
            <filter val="22/06/2023"/>
            <filter val="22/07/2024"/>
            <filter val="22/08/2023"/>
            <filter val="22/09/2023"/>
            <filter val="22/10/2024"/>
            <filter val="22/10/2025"/>
            <filter val="22/11/2022"/>
            <filter val="22/11/2023"/>
            <filter val="22/12/2022"/>
            <filter val="22/12/2023"/>
            <filter val="22/12/2025"/>
            <filter val="23/01/2023"/>
            <filter val="23/01/2024"/>
            <filter val="23/02/2023"/>
            <filter val="23/02/2024"/>
            <filter val="23/03/2023"/>
            <filter val="23/04/2024"/>
            <filter val="23/05/2023"/>
            <filter val="23/05/2025"/>
            <filter val="23/06/2023"/>
            <filter val="23/07/2025"/>
            <filter val="23/09/2024"/>
            <filter val="23/09/2025"/>
            <filter val="23/10/2023"/>
            <filter val="23/11/2022"/>
            <filter val="23/11/2023"/>
            <filter val="23/12/2025"/>
            <filter val="24/01/2023"/>
            <filter val="24/01/2024"/>
            <filter val="24/01/2025"/>
            <filter val="24/02/2023"/>
            <filter val="24/03/2023"/>
            <filter val="24/04/2023"/>
            <filter val="24/04/2025"/>
            <filter val="24/06/2024"/>
            <filter val="24/06/2025"/>
            <filter val="24/07/2023"/>
            <filter val="24/08/2023"/>
            <filter val="24/09/2025"/>
            <filter val="24/10/2023"/>
            <filter val="24/11/2023"/>
            <filter val="24/11/2025"/>
            <filter val="25/01/2023"/>
            <filter val="25/02/2025"/>
            <filter val="25/03/2024"/>
            <filter val="25/03/2025"/>
            <filter val="25/04/2023"/>
            <filter val="25/04/2024"/>
            <filter val="25/04/2025"/>
            <filter val="25/05/2023"/>
            <filter val="25/06/2024"/>
            <filter val="25/07/2023"/>
            <filter val="25/07/2024"/>
            <filter val="25/08/2023"/>
            <filter val="25/08/2025"/>
            <filter val="25/09/2024"/>
            <filter val="25/09/2025"/>
            <filter val="25/11/2023"/>
            <filter val="26/01/2023"/>
            <filter val="26/02/2024"/>
            <filter val="26/03/2024"/>
            <filter val="26/03/2025"/>
            <filter val="26/04/2023"/>
            <filter val="26/04/2024"/>
            <filter val="26/06/2023"/>
            <filter val="26/06/2024"/>
            <filter val="26/07/2023"/>
            <filter val="26/09/2025"/>
            <filter val="26/10/2023"/>
            <filter val="26/12/2022"/>
            <filter val="26/12/2024"/>
            <filter val="27/01/2023"/>
            <filter val="27/02/2024"/>
            <filter val="27/03/2023"/>
            <filter val="27/03/2025"/>
            <filter val="27/05/2024"/>
            <filter val="27/06/2023"/>
            <filter val="27/06/2024"/>
            <filter val="27/06/2025"/>
            <filter val="27/07/2023"/>
            <filter val="27/08/2025"/>
            <filter val="27/09/2023"/>
            <filter val="27/09/2024"/>
            <filter val="27/10/2023"/>
            <filter val="27/10/2025"/>
            <filter val="27/11/2023"/>
            <filter val="27/11/2024"/>
            <filter val="28/01/2025"/>
            <filter val="28/02/2023"/>
            <filter val="28/02/2024"/>
            <filter val="28/02/2025"/>
            <filter val="28/03/2023"/>
            <filter val="28/05/2024"/>
            <filter val="28/06/2023"/>
            <filter val="28/07/2023"/>
            <filter val="28/08/2023"/>
            <filter val="28/09/2023"/>
            <filter val="28/11/2022"/>
            <filter val="29/01/2023"/>
            <filter val="29/03/2023"/>
            <filter val="29/05/2023"/>
            <filter val="29/05/2024"/>
            <filter val="29/05/2025"/>
            <filter val="29/06/2023"/>
            <filter val="29/08/2025"/>
            <filter val="29/09/2023"/>
            <filter val="29/11/2022"/>
            <filter val="29/11/2023"/>
            <filter val="29/11/2024"/>
            <filter val="29/12/2022"/>
            <filter val="29/12/2025"/>
            <filter val="30/01/2023"/>
            <filter val="30/01/2024"/>
            <filter val="30/03/2023"/>
            <filter val="30/04/2024"/>
            <filter val="30/04/2025"/>
            <filter val="30/05/2023"/>
            <filter val="30/05/2025"/>
            <filter val="30/06/2023"/>
            <filter val="30/07/2024"/>
            <filter val="30/08/2023"/>
            <filter val="30/09/2024"/>
            <filter val="30/10/2023"/>
            <filter val="30/10/2025"/>
            <filter val="30/11/2022"/>
            <filter val="30/11/2023"/>
            <filter val="31/01/2023"/>
            <filter val="31/01/2024"/>
            <filter val="31/01/2025"/>
            <filter val="31/03/2023"/>
            <filter val="31/05/2023"/>
            <filter val="31/07/2024"/>
            <filter val="31/07/2025"/>
            <filter val="31/10/2023"/>
            <filter val="31/10/2025"/>
          </filters>
        </filterColumn>
      </autoFilter>
    </customSheetView>
    <customSheetView guid="{B1825302-A70B-43EF-8B49-193DD91BCFC3}" filter="1" showAutoFilter="1">
      <pageMargins left="0" right="0" top="0" bottom="0" header="0" footer="0"/>
      <autoFilter ref="A1:AQ1088" xr:uid="{3387FD89-5FBF-40AD-A7A0-234108E611DE}">
        <filterColumn colId="6">
          <filters blank="1">
            <filter val="Gabriel"/>
            <filter val="Marcus"/>
            <filter val="Operador"/>
          </filters>
        </filterColumn>
        <filterColumn colId="7">
          <filters blank="1">
            <filter val="Ativo"/>
          </filters>
        </filterColumn>
      </autoFilter>
    </customSheetView>
    <customSheetView guid="{AC2A9D44-625D-4777-81CF-B348B418D6A2}" filter="1" showAutoFilter="1">
      <pageMargins left="0" right="0" top="0" bottom="0" header="0" footer="0"/>
      <autoFilter ref="D2:AN1093" xr:uid="{32AB7C1A-9286-4534-A54F-0B70E327E00C}"/>
    </customSheetView>
    <customSheetView guid="{4D7C0ACA-4002-4014-B735-851D9875261D}" filter="1" showAutoFilter="1">
      <pageMargins left="0" right="0" top="0" bottom="0" header="0" footer="0"/>
      <autoFilter ref="B2:AO1088" xr:uid="{D55A2EC1-9E54-433A-B88F-54E0D0485A8C}">
        <filterColumn colId="15">
          <filters>
            <filter val="10% D+0 (07/04/2025)"/>
            <filter val="10% D+0 (08/11/2024)"/>
            <filter val="100K D+0 (09/05/2025)"/>
            <filter val="100k D+0 (21/08/2025)"/>
            <filter val="100K D+0 (29/01/2025)"/>
            <filter val="100k D+0 Manter Fundo BTG Pactual LOGCP FII (11/07/2024)"/>
            <filter val="10K D+0 / Manter o CRA BTG (29/04/2024)"/>
            <filter val="110k D+0 (09/10/2025)"/>
            <filter val="120k D+0 (150k total) (14/11/2025)."/>
            <filter val="15K D+0 (16/09/2024)"/>
            <filter val="15k D+0 (22/09/2025)"/>
            <filter val="19k D+0 (15/12/2025)"/>
            <filter val="1MM D+0 (18/08/2025)"/>
            <filter val="20% D+0 (04/09/2025)"/>
            <filter val="20% D+0 e aplicações no máx. 12/2026 (23/07/2025)"/>
            <filter val="20% do PL D+0 (08/01/2026)"/>
            <filter val="200K D+0 (17/07/2025)"/>
            <filter val="200K D+0 (29/04/2025)"/>
            <filter val="200K D+0/ 7,5% de EQT (09/08/2024)"/>
            <filter val="20k D+0 (18/12/2025)"/>
            <filter val="22k D+0 (04/11/2025)"/>
            <filter val="250k D+0 (16/10/2025)"/>
            <filter val="25K D+0 (16/05/2024)"/>
            <filter val="30% D+0 (02/08/2024)"/>
            <filter val="300K D+0 (27/09/2024)"/>
            <filter val="30k D+0 (03/07/2025)"/>
            <filter val="30K D+0 (14/01/2025)"/>
            <filter val="30K D+0 (20/03/2025)"/>
            <filter val="30k D+0 (23/07/2025)"/>
            <filter val="30K D+0 (25/02/2025)"/>
            <filter val="30k D+0 (29/09/2025)"/>
            <filter val="34k D+0 (12/08/2025)"/>
            <filter val="35K D+0 (retiradas mensais) (22/04/2025)"/>
            <filter val="35K Fundo RF Ativo (21/05/2024)"/>
            <filter val="40% D+0 (11/06/2025)"/>
            <filter val="400k D+0 (09/12/2025)"/>
            <filter val="400K D+0 (25/11/2024)"/>
            <filter val="40K até D+1 (17/10/2024)"/>
            <filter val="40k D+0 (18/08/2025)"/>
            <filter val="40K D+0 (19/11/2024)"/>
            <filter val="50% D+0 (23/07/2025)"/>
            <filter val="50% do valor líquido aplicar em ativos de no max 1 ano (06/06/2024)"/>
            <filter val="50K D+0 (06/06/2024)"/>
            <filter val="50K D+0 (07/11/2024)"/>
            <filter val="50K D+0 (08/11/2024)"/>
            <filter val="50k D+0 (11/07/2025)"/>
            <filter val="50K D+0 (12/02/2025)"/>
            <filter val="50K D+0 (13/09/2024)"/>
            <filter val="50K D+0 (14/01/2025)"/>
            <filter val="50K D+0 (17/06/2024)"/>
            <filter val="50k D+0 (23/12/2025)"/>
            <filter val="50K D+0 (26/08/2025)"/>
            <filter val="50k D+0 (27/08/2025)"/>
            <filter val="50K D+0 (30/05/2025)"/>
            <filter val="50K D+0 (30/09/2024)"/>
            <filter val="50K D+1 (19/08/2024)"/>
            <filter val="50K Fundo RF Ativo (29/05/2024)"/>
            <filter val="55K D+0 (14/08/2024)"/>
            <filter val="60% D+0 (17/12/2025)"/>
            <filter val="600k D+0 (05/01/2025)"/>
            <filter val="60K D+0 (29/11/2024)"/>
            <filter val="72K D+0 (18/08/2025)"/>
            <filter val="75K D+0 (10/06/2025)"/>
            <filter val="7K D+0 (28/08/2024)"/>
            <filter val="800K D+0/ Máx. 10% RV (13/03/2025)"/>
            <filter val="80K D+0 (08/08/2024)"/>
            <filter val="80K D+0 (13/06/2024)"/>
            <filter val="80K D+0 (15/04/2025)"/>
            <filter val="80k D+0 (20/08/2025)"/>
            <filter val="Aplicação máx. 12/2027 (23/07/2025)  /  130k D+0 (22/09/2025)"/>
            <filter val="Carteira com fluxo de vencimentos personalizado, consultar F.A. (31/07/2024)"/>
            <filter val="Carteira Monitoramento Especial para Fundos (SPMG FII criado pelo cliente)"/>
            <filter val="Carteira Monitoramento Especial para Fundos (SPMG FII criado pelo cliente) (04/10/2024)"/>
            <filter val="Carteira Monitoramento Especial para Fundos (SPMG FII criado pelo cliente) (14/03/2025)"/>
            <filter val="Carteira Monitoramento Especial para Fundos (SPMG FII criado pelo cliente) (17/03/2025)"/>
            <filter val="Carteira Monitoramento Especial para Fundos (SPMG FII criado pelo cliente) / Valor todo em Liquidez"/>
            <filter val="Carteira Monitoramento Especial para Fundos (SPMG II FII criado pelo cliente)"/>
            <filter val="Carteira Monitoramento Especial para Fundos (SPMG II FII criado pelo cliente) (09/10/2024)"/>
            <filter val="Carteira Monitoramento Especial para Fundos (SPMG II FII criado pelo cliente) (14/10/2024)"/>
            <filter val="Carteira Monitoramento Especial para Fundos (SPMG II FII criado pelo cliente) (20/03/2025)"/>
            <filter val="colocar em cópia dos e-mails: luiz_ajb@toyopar.com.br"/>
            <filter val="Investimentos seguem a Sharia, Lei islamica. Investimentos Halal. ETF de Referência, ISWD."/>
            <filter val="Manter a alocação da carteira Cripto/ Manter os investimentos dos ativos: HASH11 ; BITH11 ; QDFL11. (13/05/2024)"/>
            <filter val="Manter as Ações BBAS3, SBFG3 e AMER3. (10/07/2025)"/>
            <filter val="Manter BTHF11 (21/02/2025)"/>
            <filter val="Manter CRA BTG/ 30% D+0 (22/10/2025)"/>
            <filter val="Manter Fundo Amor Axe FIM, Manter JURO11 (29/04/2025)"/>
            <filter val="Manter fundo Mapfre e aproximadamente 140k D+0 (23/10/2025)"/>
            <filter val="Manter JURO11 (25/04/2024)"/>
            <filter val="Manter Recurso D+0 (03/11/2025)"/>
            <filter val="Manter Recurso em Liquidez (23/10/2025)"/>
            <filter val="Manter Saldo em D+0 até FEV/2026 (05/11/2025)"/>
            <filter val="Max 20% RV (28/01/2025)"/>
            <filter val="Não comprar mais RV (07/01/2025)"/>
            <filter val="Não comprar papeis do varejo e agro (06/03/2025)"/>
            <filter val="Não operar carteira (29/04/2025)"/>
            <filter val="Não vender ações do Itaú. (Qnt: 70.000), (25/07/2025)"/>
            <filter val="Prazo máximo 1 ano (23/01/2025)"/>
            <filter val="Prazo máximo 6 Meses (17/02/2025)"/>
            <filter val="Preferência por ativos GR, RF que paga cupons e FIIs. Cliente Resgata Mensalmente (06/01/2026)"/>
            <filter val="Sem CrPr e sem RF Ativo (08/11/2024)"/>
            <filter val="Sem renda variável (07/01/2025)"/>
            <filter val="Sem renda variável (11/12/2024)"/>
            <filter val="Sem renda variável (16/05/2024)"/>
            <filter val="Sem renda variável (29/11/2024)"/>
            <filter val="Somente BTC"/>
            <filter val="Todo o recurso D+0 + Tranferir o valor de R$ 37.200 para a conta , 005046919 conforme liquidez e oportunidades. 16/06/2025"/>
            <filter val="Todo Recurso D+0 até 02/2026"/>
            <filter val="Todo recurso D+0 até FEV/2026 (21/11/2025)"/>
            <filter val="Vencimento máximo inicial: 6 meses. (17/06/2024)"/>
            <filter val="Vencimentos D+0 (02/12/2024)"/>
            <filter val="Vencimentos D+0 (08/08/2024)"/>
            <filter val="Vencimentos D+0 (24/09/2025)"/>
            <filter val="Vencimentos D+0 (29/05/2025)"/>
            <filter val="Vencimentos D+0 (30/10/2024)"/>
            <filter val="Vencimentos D+0 (3012/2024)"/>
            <filter val="Vencimentos em D+0 (20/10/2025)"/>
            <filter val="Vencimentos em D+0 (23/07/2025)"/>
          </filters>
        </filterColumn>
      </autoFilter>
    </customSheetView>
    <customSheetView guid="{A0B546EB-9509-40DA-A60B-298EBFE4E59D}" filter="1" showAutoFilter="1">
      <pageMargins left="0" right="0" top="0" bottom="0" header="0" footer="0"/>
      <autoFilter ref="A1:AV1084" xr:uid="{12A4C22C-1153-4912-A823-30B91308EECB}">
        <filterColumn colId="8">
          <filters>
            <filter val="Resgate Total"/>
            <filter val="STVM Saída"/>
            <filter val="Troca de Assessoria"/>
          </filters>
        </filterColumn>
      </autoFilter>
    </customSheetView>
    <customSheetView guid="{BA18543D-75F5-4396-A6BE-06A25F435576}" filter="1" showAutoFilter="1">
      <pageMargins left="0" right="0" top="0" bottom="0" header="0" footer="0"/>
      <autoFilter ref="M2:M1093" xr:uid="{4D4E3E99-9256-40E2-98BF-717A7A4FC34F}">
        <filterColumn colId="0">
          <filters>
            <filter val="CON/ COADM"/>
            <filter val="CON/ GR"/>
            <filter val="CON/ PREV CON"/>
            <filter val="CON/ PREV MOD"/>
            <filter val="DIV/ COADM"/>
            <filter val="EQT/ COADM"/>
            <filter val="INC CP"/>
            <filter val="INC CP/ COADM"/>
            <filter val="INC/ COADM"/>
            <filter val="INC/ PREV CON"/>
            <filter val="INC/ PREV MOD"/>
            <filter val="MOD/ COADM"/>
            <filter val="MOD/ GR"/>
            <filter val="MOD/ PREV ARR"/>
            <filter val="MOD/ PREV MOD"/>
            <filter val="MOD/ PREV MOD/ COADM"/>
            <filter val="MONT/ COADM"/>
            <filter val="MULT PRIV"/>
            <filter val="MULT PRIV/ CO ADM"/>
            <filter val="PREV"/>
            <filter val="PREV ARR"/>
            <filter val="PREV CON"/>
            <filter val="PREV MOD"/>
            <filter val="STOCK"/>
          </filters>
        </filterColumn>
      </autoFilter>
    </customSheetView>
    <customSheetView guid="{A99246DD-EFB6-438F-9F56-C45BAF1CE7A6}" filter="1" showAutoFilter="1">
      <pageMargins left="0" right="0" top="0" bottom="0" header="0" footer="0"/>
      <autoFilter ref="A1:AU1084" xr:uid="{0F056B1B-FA27-48D9-B19C-04FBBEC36C46}">
        <filterColumn colId="17">
          <filters>
            <filter val="A conta 008411505 foi encerrada a pedido dos clientes, que desejaram alterar o titular. Como solicitado, a conta 008458289 foi aberta."/>
            <filter val="Aguardando resposta do FA / Troca de Assessoria de Thiago Canbrava para Matheus Vilar"/>
            <filter val="Alteração dde carteira finalizada (09/09/2025)"/>
            <filter val="Alteração de carteira finalizada (01/03/2024)/ STVM Interna de saída para a conta 005161568"/>
            <filter val="Alteração de carteira finalizada (02/04/2024)"/>
            <filter val="Alteração de carteira finalizada (02/10/2024)"/>
            <filter val="Alteração de carteira finalizada (03/10/2024) / Diatrao unilateral"/>
            <filter val="Alteração de carteira finalizada (04/11/2024)"/>
            <filter val="Alteração de carteira finalizada (04/11/2025)"/>
            <filter val="Alteração de carteira finalizada (05/03/2024)"/>
            <filter val="Alteração de carteira finalizada (06/02/2025)"/>
            <filter val="Alteração de carteira finalizada (06/05/2025)"/>
            <filter val="Alteração de carteira finalizada (06/06/2025)"/>
            <filter val="Alteração de carteira finalizada (08/12/2025)"/>
            <filter val="Alteração de carteira finalizada (09/08/2024)"/>
            <filter val="Alteração de carteira finalizada (09/12/2024)"/>
            <filter val="Alteração de carteira finalizada (10/02/2025)"/>
            <filter val="Alteração de carteira finalizada (12/08/2025)"/>
            <filter val="Alteração de carteira finalizada (12/11/2025)"/>
            <filter val="Alteração de carteira finalizada (13/02/2025)"/>
            <filter val="Alteração de carteira finalizada (13/05/2024)"/>
            <filter val="Alteração de carteira finalizada (13/05/2025)"/>
            <filter val="Alteração de carteira finalizada (14/04/2025)"/>
            <filter val="Alteração de carteira finalizada (14/11/2025)"/>
            <filter val="Alteração de carteira finalizada (15/03/2024)"/>
            <filter val="Alteração de Carteira finalizada (15/09/2025)"/>
            <filter val="Alteração de carteira finalizada (17/06/2024)"/>
            <filter val="Alteração de carteira finalizada (17/07/2025)"/>
            <filter val="Alteração de carteira finalizada (17/11/2025)"/>
            <filter val="Alteração de carteira finalizada (17/12/2024)"/>
            <filter val="Alteração de carteira finalizada (20/01//2025)"/>
            <filter val="Alteração de carteira finalizada (20/01/2025)"/>
            <filter val="Alteração de carteira finalizada (21/10/2024)"/>
            <filter val="Alteração de carteira finalizada (22/07/2024)"/>
            <filter val="Alteração de carteira finalizada (25/09/2025)"/>
            <filter val="Alteração de carteira finalizada (26/11/2024)"/>
            <filter val="Alteração de carteira finalizada (27/03/2024)"/>
            <filter val="Alteração de carteira finalizada (27/06/2024)"/>
            <filter val="Alteração de carteira finalizada. (25/09/2025)"/>
            <filter val="Alterado a conta de N° 003836362 (sem saldo) / Alteração de carteira finalizada (18/04/2024)"/>
            <filter val="Cliente retornou a base com novo contrato (29/08/2025)"/>
            <filter val="Cliente retornou para a base dia 10/10/2024"/>
            <filter val="Cliente retornou para a base dia 21/10/2024 sob nova carteira"/>
            <filter val="Cliente saiu da base (18/09/2024)"/>
            <filter val="Cliente saiu da base dia 22/10/2024 retornou sob nova carteira dia 19/11/2024 / Alteração de carteira finalizada (30/01/2025)"/>
            <filter val="Cliente solicitou distrato"/>
            <filter val="Cliente solicitou distrato (19/08/2024)"/>
            <filter val="Cliente solicitou distrato (20/06/2024)"/>
            <filter val="Cliente solicitou distrato 23/05/2024"/>
            <filter val="Cliente solicitou distrato dia 25/04/2023"/>
            <filter val="Cliente solicitou o distrato (08/08/2024)"/>
            <filter val="Cliente solicitou troca de assessoria"/>
            <filter val="Cliente solicitou troca de assessoria (08/08/2024)"/>
            <filter val="Cliente solicitou troca de assessoria (17/07/2024)"/>
            <filter val="Cliente solicitou troca de assessoria (30/07/2024)"/>
            <filter val="Cliente solicitou troca de assessortia (16/07/2024)"/>
            <filter val="Cliente sumiu da base"/>
            <filter val="Cliente sumiu da base (06/05/2024)"/>
            <filter val="Cliente sumiu da base 05/03/2024"/>
            <filter val="Cliente vai resgatar sozinho/ Troca de Assessoria de Thiago Canbrava para Matheus Vilar"/>
            <filter val="Conta à ser encerrada, aguardando recebimentos de dividendo para 2025"/>
            <filter val="Conta criada sem necessidade (17/06/2024)"/>
            <filter val="Conta será encerrada"/>
            <filter val="Distrati unilateral"/>
            <filter val="Distrato solicitado dia 20/06/2024"/>
            <filter val="Distrato unilatera"/>
            <filter val="Distrato Unilateral"/>
            <filter val="Distrato unilateral."/>
            <filter val="Em processo de STVM"/>
            <filter val="Não apagar observação: Troca de assessor 01/12/2023 - Antigo: Conquest - Juliana Abreu"/>
            <filter val="PL acima de R$ 2.000.000,00, de forma que se o cliente resgatar a taxa retorne automático para 1,2%a.a., sem necessidade de novo contrato. STVM interna finalizada (05/06/2024)"/>
            <filter val="Primeira conta 004794805 viculada por erro do FA."/>
            <filter val="Solicitou resgate total dia 08/03/2024 / Distrato unilateral"/>
            <filter val="STVM de entrada da Guide finalizada (01/09/2023)"/>
            <filter val="STVM de entrada da Guide finalizada (02/08/2023)"/>
            <filter val="STVM de entrada da Guide finalizada (02/10/2023)"/>
            <filter val="STVM de entrada da Guide finalizada (02/10/2023) / Alteração de carteira finalizada (15/09/2023)"/>
            <filter val="STVM de entrada da Guide finalizada (03/01/2024)"/>
            <filter val="STVM de entrada da Guide finalizada (03/09/2023)"/>
            <filter val="STVM de entrada da Guide finalizada (04/09/2023)"/>
            <filter val="STVM de entrada da Guide finalizada (05/09/2023)"/>
            <filter val="STVM de entrada da Guide finalizada (06/11/2023) / Alteração de carteira finalizada (05/08/2024)"/>
            <filter val="STVM de entrada da Guide finalizada (06/12/2023) / Alteração de carteira finalizada (22/12/2023)"/>
            <filter val="STVM de entrada da Guide finalizada (08/09/2023)"/>
            <filter val="STVM de entrada da Guide finalizada (09/10/2023) / Alteração de carteira finalizada (21/01/2025)"/>
            <filter val="STVM de entrada da Guide finalizada (10/01/2024) / Alteração de carteira finalizada (20/01/2025)"/>
            <filter val="STVM de entrada da Guide finalizada (10/09/2023)"/>
            <filter val="STVM de entrada da Guide finalizada (10/10/2023)"/>
            <filter val="STVM de entrada da Guide finalizada (13/07/2023) / Alteração de carteira finalizada (21/01/2025)"/>
            <filter val="STVM de entrada da Guide finalizada (13/09/2023) / Alteração de carteira finalizada (01/03/2024)"/>
            <filter val="STVM de entrada da Guide finalizada (13/09/2023) / Alteração de carteira finalizada (22/12/2023)"/>
            <filter val="STVM de entrada da Guide finalizada (13/11/2023) Alteração de carteira finalizada (26/11/2024)"/>
            <filter val="STVM de entrada da Guide finalizada (15/12/2023)"/>
            <filter val="STVM de entrada da Guide finalizada (19/12/2023)"/>
            <filter val="STVM de entrada da Guide finalizada (21/09/2023)"/>
            <filter val="STVM de entrada da Guide finalizada (27/12/2023) / Portabilidade de fundo a ser finalizada"/>
            <filter val="STVM de entrada da Guide finalizada (28/09/2023)"/>
            <filter val="STVM de entrada da Guide finalizada (30/08/2023)"/>
            <filter val="STVM de entrada da Guide finalizada (30/10/2023) / Alteração de carteira finalizada (14/06/2024)"/>
            <filter val="STVM de entrada da Órama finalizada (11/01/2024)"/>
            <filter val="STVM de entrada finalizada (28/05/2024)"/>
            <filter val="STVM de saída para XP finalizada (04/09/2023)"/>
            <filter val="STVM de saída para XP finalizada (11/01/2024)"/>
            <filter val="STVM de saída para XP finalizada (22/02/2024)"/>
            <filter val="STVM de saída para XP finalizada (29/08/2023)"/>
            <filter val="STVM de saída para XP finalizada (31/01/2024)"/>
            <filter val="STVM de saída para XP iniciada (13/05/2024)"/>
            <filter val="STVM de saída para XP iniciada (25/06/2024) Cliente sumiu da base"/>
            <filter val="STVM Interna de entrada da conta 004254210"/>
            <filter val="STVM Interna finalizada (01/07/2024)"/>
            <filter val="STVM interna finalizada (08/01/2024) / Conta será encerrada após valor em trânsito cair"/>
            <filter val="STVM interna finalizada (12/03/2024)"/>
            <filter val="STVM interna finalizada (18/07/2024)"/>
            <filter val="STVM interna finalizada (19/03/2024) Cliente solicitou distrato 19/07/2024"/>
            <filter val="STVM interna finalizada (19/07/2024)"/>
            <filter val="STVM interna finalizada (25/01/2024)"/>
            <filter val="STVM interna finalizada (27/02/2024)"/>
            <filter val="STVM interna finalizada (27/02/2024) / Alteração de carteira Finalizada (11/03/2024)"/>
            <filter val="STVM interna finalizada (28/09/2023)"/>
            <filter val="Tirar da base (06/06/2024)"/>
            <filter val="Troca de Assessoria de Thiago Canabrava para Matheus Vilar"/>
            <filter val="Troca de Assessoria de Thiago Canbrava para Guilherme dos Santos"/>
            <filter val="Troca de Assessoria de Thiago Canbrava para Guilherme dos Santos / Resgate total da carteira (04/04/2024)"/>
            <filter val="Troca de Assessoria de Thiago Canbrava para Matheus Vilar"/>
          </filters>
        </filterColumn>
      </autoFilter>
    </customSheetView>
    <customSheetView guid="{93FFEBAE-581D-40DB-8965-BE5241E39C63}" filter="1" showAutoFilter="1">
      <pageMargins left="0" right="0" top="0" bottom="0" header="0" footer="0"/>
      <autoFilter ref="B2:Q1088" xr:uid="{E224F7DE-562E-4F59-83B3-49437A25D28B}">
        <filterColumn colId="13">
          <filters blank="1">
            <filter val="IBOVESPA"/>
            <filter val="IFIX"/>
            <filter val="IPCA + 7%"/>
            <filter val="S&amp;P 500"/>
            <filter val="SMLL"/>
          </filters>
        </filterColumn>
      </autoFilter>
    </customSheetView>
    <customSheetView guid="{190E4C1F-122C-47B6-9AB6-5AD0DE5AE794}" filter="1" showAutoFilter="1">
      <pageMargins left="0" right="0" top="0" bottom="0" header="0" footer="0"/>
      <autoFilter ref="A1:BM1088" xr:uid="{C82101F6-DE77-4F5A-BE8B-002D0C8D2E79}"/>
    </customSheetView>
    <customSheetView guid="{BE2B38C5-3A4C-41A6-B1CE-C5BD1A554CE1}" filter="1" showAutoFilter="1">
      <pageMargins left="0" right="0" top="0" bottom="0" header="0" footer="0"/>
      <autoFilter ref="B2:AN1088" xr:uid="{A7736FF6-C017-4863-BB76-CE9A0A74BFDC}"/>
    </customSheetView>
    <customSheetView guid="{C211F3C5-E62E-499E-8F63-245DA1931F27}" filter="1" showAutoFilter="1">
      <pageMargins left="0" right="0" top="0" bottom="0" header="0" footer="0"/>
      <autoFilter ref="F2:F1093" xr:uid="{45B9B59C-2E81-4E39-85AE-C0E7D638D083}"/>
    </customSheetView>
    <customSheetView guid="{A45E3B99-1ACB-4EBC-B2F2-64674F11650A}" filter="1" showAutoFilter="1">
      <pageMargins left="0" right="0" top="0" bottom="0" header="0" footer="0"/>
      <autoFilter ref="A1:AQ1088" xr:uid="{FA65175E-0D82-43A1-A212-71B8A93DC005}">
        <filterColumn colId="6">
          <filters blank="1">
            <filter val="Gabriel"/>
            <filter val="Marcus"/>
          </filters>
        </filterColumn>
        <filterColumn colId="7">
          <filters blank="1">
            <filter val="Ativo"/>
            <filter val="Pode Operar"/>
            <filter val="Status"/>
          </filters>
        </filterColumn>
        <filterColumn colId="8">
          <filters>
            <filter val="------"/>
            <filter val="Monitoramento"/>
            <filter val="Resgate Total"/>
            <filter val="Situação"/>
            <filter val="STVM Saída"/>
            <filter val="Troca de Assessoria"/>
          </filters>
        </filterColumn>
        <filterColumn colId="12">
          <filters blank="1">
            <filter val="ARR"/>
            <filter val="BDR"/>
            <filter val="Carteira"/>
            <filter val="CON"/>
            <filter val="CON/ COADM"/>
            <filter val="CON/ GR"/>
            <filter val="CON/ PREV CON"/>
            <filter val="CON/ PREV MOD"/>
            <filter val="CORP"/>
            <filter val="DIV"/>
            <filter val="DIV/ COADM"/>
            <filter val="EQT/ COADM"/>
            <filter val="FUND"/>
            <filter val="INC CP"/>
            <filter val="INC CP/ COADM"/>
            <filter val="INC/ COADM"/>
            <filter val="INC/ PREV CON"/>
            <filter val="INC/ PREV MOD"/>
            <filter val="MOD"/>
            <filter val="MOD/ COADM"/>
            <filter val="MOD/ GR"/>
            <filter val="MOD/ PREV ARR"/>
            <filter val="MOD/ PREV MOD/ COADM"/>
            <filter val="MONT/ COADM"/>
            <filter val="MULT PRIV"/>
            <filter val="MULT PRIV/ CO ADM"/>
            <filter val="PREV ARR"/>
            <filter val="PREV CON"/>
            <filter val="PREV MOD"/>
            <filter val="SMLL"/>
            <filter val="STOCK"/>
          </filters>
        </filterColumn>
      </autoFilter>
    </customSheetView>
    <customSheetView guid="{B687DF64-BC4A-4A5E-86C9-AD317BE257F3}" filter="1" showAutoFilter="1">
      <pageMargins left="0" right="0" top="0" bottom="0" header="0" footer="0"/>
      <autoFilter ref="A1:AW1084" xr:uid="{90756FCC-01CD-4BD9-BEA6-E4DBAECB5FF1}">
        <filterColumn colId="8">
          <filters>
            <filter val="Bloqueado"/>
            <filter val="Resgate Total"/>
            <filter val="Troca de Assessoria"/>
          </filters>
        </filterColumn>
      </autoFilter>
    </customSheetView>
    <customSheetView guid="{BF6FEDB4-E2FA-48B7-9DA6-BC7F490B0477}" filter="1" showAutoFilter="1">
      <pageMargins left="0" right="0" top="0" bottom="0" header="0" footer="0"/>
      <autoFilter ref="A1:AW1084" xr:uid="{BF96A72E-AF55-4025-BAD2-02E4C15B183E}"/>
    </customSheetView>
    <customSheetView guid="{4CBC865C-9949-4E80-A3AA-F2F06539A76B}" filter="1" showAutoFilter="1">
      <pageMargins left="0" right="0" top="0" bottom="0" header="0" footer="0"/>
      <autoFilter ref="D2:F1093" xr:uid="{2A61523A-2FC9-4FCE-BE42-1BB411592E05}"/>
    </customSheetView>
    <customSheetView guid="{7B1ED787-A94E-4CE6-A02D-6B7249291FB8}" filter="1" showAutoFilter="1">
      <pageMargins left="0" right="0" top="0" bottom="0" header="0" footer="0"/>
      <autoFilter ref="A1:AW1088" xr:uid="{BB60712D-69C9-4403-A196-04EDB4A99643}">
        <filterColumn colId="7">
          <filters blank="1">
            <filter val="Ativo"/>
          </filters>
        </filterColumn>
      </autoFilter>
    </customSheetView>
    <customSheetView guid="{7F00D025-E5E3-42AA-BA25-4210D64EDAFB}" filter="1" showAutoFilter="1">
      <pageMargins left="0" right="0" top="0" bottom="0" header="0" footer="0"/>
      <autoFilter ref="B2:AO1088" xr:uid="{CD46C399-FB45-4373-8406-AAFB3B32259C}">
        <filterColumn colId="15">
          <filters>
            <filter val="10% D+0 (07/04/2025)"/>
            <filter val="10% D+0 (08/11/2024)"/>
            <filter val="100K D+0 (09/05/2025)"/>
            <filter val="100k D+0 (21/08/2025)"/>
            <filter val="100K D+0 (29/01/2025)"/>
            <filter val="100k D+0 Manter Fundo BTG Pactual LOGCP FII (11/07/2024)"/>
            <filter val="10K D+0 / Manter o CRA BTG (29/04/2024)"/>
            <filter val="110k D+0 (09/10/2025)"/>
            <filter val="120k D+0 (150k total) (14/11/2025)."/>
            <filter val="15K D+0 (16/09/2024)"/>
            <filter val="15k D+0 (22/09/2025)"/>
            <filter val="19k D+0 (15/12/2025)"/>
            <filter val="1MM D+0 (18/08/2025)"/>
            <filter val="20% D+0 (04/09/2025)"/>
            <filter val="20% D+0 e aplicações no máx. 12/2026 (23/07/2025)"/>
            <filter val="20% do PL D+0 (08/01/2026)"/>
            <filter val="200K D+0 (17/07/2025)"/>
            <filter val="200K D+0 (29/04/2025)"/>
            <filter val="200K D+0/ 7,5% de EQT (09/08/2024)"/>
            <filter val="20k D+0 (18/12/2025)"/>
            <filter val="22k D+0 (04/11/2025)"/>
            <filter val="250k D+0 (16/10/2025)"/>
            <filter val="25K D+0 (16/05/2024)"/>
            <filter val="30% D+0 (02/08/2024)"/>
            <filter val="300K D+0 (27/09/2024)"/>
            <filter val="30k D+0 (03/07/2025)"/>
            <filter val="30K D+0 (14/01/2025)"/>
            <filter val="30K D+0 (20/03/2025)"/>
            <filter val="30k D+0 (23/07/2025)"/>
            <filter val="30K D+0 (25/02/2025)"/>
            <filter val="30k D+0 (29/09/2025)"/>
            <filter val="34k D+0 (12/08/2025)"/>
            <filter val="35K D+0 (retiradas mensais) (22/04/2025)"/>
            <filter val="35K Fundo RF Ativo (21/05/2024)"/>
            <filter val="40% D+0 (11/06/2025)"/>
            <filter val="400k D+0 (09/12/2025)"/>
            <filter val="400K D+0 (25/11/2024)"/>
            <filter val="40K até D+1 (17/10/2024)"/>
            <filter val="40k D+0 (18/08/2025)"/>
            <filter val="40K D+0 (19/11/2024)"/>
            <filter val="50% D+0 (23/07/2025)"/>
            <filter val="50% do valor líquido aplicar em ativos de no max 1 ano (06/06/2024)"/>
            <filter val="50K D+0 (06/06/2024)"/>
            <filter val="50K D+0 (07/11/2024)"/>
            <filter val="50K D+0 (08/11/2024)"/>
            <filter val="50k D+0 (11/07/2025)"/>
            <filter val="50K D+0 (12/02/2025)"/>
            <filter val="50K D+0 (13/09/2024)"/>
            <filter val="50K D+0 (14/01/2025)"/>
            <filter val="50K D+0 (17/06/2024)"/>
            <filter val="50k D+0 (23/12/2025)"/>
            <filter val="50K D+0 (26/08/2025)"/>
            <filter val="50k D+0 (27/08/2025)"/>
            <filter val="50K D+0 (30/05/2025)"/>
            <filter val="50K D+0 (30/09/2024)"/>
            <filter val="50K D+1 (19/08/2024)"/>
            <filter val="50K Fundo RF Ativo (29/05/2024)"/>
            <filter val="55K D+0 (14/08/2024)"/>
            <filter val="60% D+0 (17/12/2025)"/>
            <filter val="600k D+0 (05/01/2025)"/>
            <filter val="60K D+0 (29/11/2024)"/>
            <filter val="72K D+0 (18/08/2025)"/>
            <filter val="75K D+0 (10/06/2025)"/>
            <filter val="7K D+0 (28/08/2024)"/>
            <filter val="800K D+0/ Máx. 10% RV (13/03/2025)"/>
            <filter val="80K D+0 (08/08/2024)"/>
            <filter val="80K D+0 (13/06/2024)"/>
            <filter val="80K D+0 (15/04/2025)"/>
            <filter val="80k D+0 (20/08/2025)"/>
            <filter val="Aplicação máx. 12/2027 (23/07/2025)  /  130k D+0 (22/09/2025)"/>
            <filter val="Carteira com fluxo de vencimentos personalizado, consultar F.A. (31/07/2024)"/>
            <filter val="Carteira Monitoramento Especial para Fundos (SPMG FII criado pelo cliente)"/>
            <filter val="Carteira Monitoramento Especial para Fundos (SPMG FII criado pelo cliente) (04/10/2024)"/>
            <filter val="Carteira Monitoramento Especial para Fundos (SPMG FII criado pelo cliente) (14/03/2025)"/>
            <filter val="Carteira Monitoramento Especial para Fundos (SPMG FII criado pelo cliente) (17/03/2025)"/>
            <filter val="Carteira Monitoramento Especial para Fundos (SPMG FII criado pelo cliente) / Valor todo em Liquidez"/>
            <filter val="Carteira Monitoramento Especial para Fundos (SPMG II FII criado pelo cliente)"/>
            <filter val="Carteira Monitoramento Especial para Fundos (SPMG II FII criado pelo cliente) (09/10/2024)"/>
            <filter val="Carteira Monitoramento Especial para Fundos (SPMG II FII criado pelo cliente) (14/10/2024)"/>
            <filter val="Carteira Monitoramento Especial para Fundos (SPMG II FII criado pelo cliente) (20/03/2025)"/>
            <filter val="colocar em cópia dos e-mails: luiz_ajb@toyopar.com.br"/>
            <filter val="Investimentos seguem a Sharia, Lei islamica. Investimentos Halal. ETF de Referência, ISWD."/>
            <filter val="Manter a alocação da carteira Cripto/ Manter os investimentos dos ativos: HASH11 ; BITH11 ; QDFL11. (13/05/2024)"/>
            <filter val="Manter as Ações BBAS3, SBFG3 e AMER3. (10/07/2025)"/>
            <filter val="Manter BTHF11 (21/02/2025)"/>
            <filter val="Manter CRA BTG/ 30% D+0 (22/10/2025)"/>
            <filter val="Manter Fundo Amor Axe FIM, Manter JURO11 (29/04/2025)"/>
            <filter val="Manter fundo Mapfre e aproximadamente 140k D+0 (23/10/2025)"/>
            <filter val="Manter JURO11 (25/04/2024)"/>
            <filter val="Manter Recurso D+0 (03/11/2025)"/>
            <filter val="Manter Recurso em Liquidez (23/10/2025)"/>
            <filter val="Manter Saldo em D+0 até FEV/2026 (05/11/2025)"/>
            <filter val="Max 20% RV (28/01/2025)"/>
            <filter val="Não comprar mais RV (07/01/2025)"/>
            <filter val="Não comprar papeis do varejo e agro (06/03/2025)"/>
            <filter val="Não operar carteira (29/04/2025)"/>
            <filter val="Não vender ações do Itaú. (Qnt: 70.000), (25/07/2025)"/>
            <filter val="Prazo máximo 1 ano (23/01/2025)"/>
            <filter val="Prazo máximo 6 Meses (17/02/2025)"/>
            <filter val="Preferência por ativos GR, RF que paga cupons e FIIs. Cliente Resgata Mensalmente (06/01/2026)"/>
            <filter val="Sem CrPr e sem RF Ativo (08/11/2024)"/>
            <filter val="Sem renda variável (07/01/2025)"/>
            <filter val="Sem renda variável (11/12/2024)"/>
            <filter val="Sem renda variável (16/05/2024)"/>
            <filter val="Sem renda variável (29/11/2024)"/>
            <filter val="Somente BTC"/>
            <filter val="Todo o recurso D+0 + Tranferir o valor de R$ 37.200 para a conta , 005046919 conforme liquidez e oportunidades. 16/06/2025"/>
            <filter val="Todo Recurso D+0 até 02/2026"/>
            <filter val="Todo recurso D+0 até FEV/2026 (21/11/2025)"/>
            <filter val="Vencimento máximo inicial: 6 meses. (17/06/2024)"/>
            <filter val="Vencimentos D+0 (02/12/2024)"/>
            <filter val="Vencimentos D+0 (08/08/2024)"/>
            <filter val="Vencimentos D+0 (24/09/2025)"/>
            <filter val="Vencimentos D+0 (29/05/2025)"/>
            <filter val="Vencimentos D+0 (30/10/2024)"/>
            <filter val="Vencimentos D+0 (3012/2024)"/>
            <filter val="Vencimentos em D+0 (20/10/2025)"/>
            <filter val="Vencimentos em D+0 (23/07/2025)"/>
          </filters>
        </filterColumn>
      </autoFilter>
    </customSheetView>
    <customSheetView guid="{47BB50BF-5891-4898-9F00-C079F37784D8}" filter="1" showAutoFilter="1">
      <pageMargins left="0" right="0" top="0" bottom="0" header="0" footer="0"/>
      <autoFilter ref="A1:AU1084" xr:uid="{5C9E9F9D-B343-4153-BD33-6F6BA515CBC9}"/>
    </customSheetView>
    <customSheetView guid="{627C91B2-712F-4DFB-B495-28BCEA46E4E2}" filter="1" showAutoFilter="1">
      <pageMargins left="0" right="0" top="0" bottom="0" header="0" footer="0"/>
      <autoFilter ref="A1:AU1084" xr:uid="{F93AF6AB-87D9-4D9C-B7EE-80066D175B69}">
        <filterColumn colId="17">
          <filters>
            <filter val="A conta 008411505 foi encerrada a pedido dos clientes, que desejaram alterar o titular. Como solicitado, a conta 008458289 foi aberta."/>
            <filter val="Aguardando resposta do FA / Troca de Assessoria de Thiago Canbrava para Matheus Vilar"/>
            <filter val="Alteração dde carteira finalizada (09/09/2025)"/>
            <filter val="Alteração de carteira finalizada (01/03/2024)/ STVM Interna de saída para a conta 005161568"/>
            <filter val="Alteração de carteira finalizada (02/04/2024)"/>
            <filter val="Alteração de carteira finalizada (02/10/2024)"/>
            <filter val="Alteração de carteira finalizada (03/10/2023)"/>
            <filter val="Alteração de carteira finalizada (03/10/2024) / Diatrao unilateral"/>
            <filter val="Alteração de carteira finalizada (04/11/2024)"/>
            <filter val="Alteração de carteira finalizada (04/11/2025)"/>
            <filter val="Alteração de carteira finalizada (05/02/2024)"/>
            <filter val="Alteração de carteira finalizada (05/03/2024)"/>
            <filter val="Alteração de carteira finalizada (06/02/2025)"/>
            <filter val="Alteração de carteira finalizada (06/05/2025)"/>
            <filter val="Alteração de carteira finalizada (06/06/2025)"/>
            <filter val="Alteração de carteira finalizada (06/10/2023)"/>
            <filter val="Alteração de carteira finalizada (07/12/2023)"/>
            <filter val="Alteração de carteira finalizada (08/12/2025)"/>
            <filter val="Alteração de carteira finalizada (09/08/2024)"/>
            <filter val="Alteração de carteira finalizada (09/11/2023)"/>
            <filter val="Alteração de carteira finalizada (09/12/2024)"/>
            <filter val="Alteração de carteira finalizada (10/02/2025)"/>
            <filter val="Alteração de carteira finalizada (12/08/2025)"/>
            <filter val="Alteração de carteira finalizada (12/11/2025)"/>
            <filter val="Alteração de carteira finalizada (13/02/2025)"/>
            <filter val="Alteração de carteira finalizada (13/05/2024)"/>
            <filter val="Alteração de carteira finalizada (13/05/2025)"/>
            <filter val="Alteração de carteira finalizada (13/11/2023)"/>
            <filter val="Alteração de carteira finalizada (14/04/2025)"/>
            <filter val="Alteração de carteira finalizada (14/07/2023)"/>
            <filter val="Alteração de carteira finalizada (14/11/2025)"/>
            <filter val="Alteração de carteira finalizada (15/02/2024)"/>
            <filter val="Alteração de carteira finalizada (15/03/2024)"/>
            <filter val="Alteração de Carteira finalizada (15/09/2025)"/>
            <filter val="Alteração de carteira finalizada (17/01/2024)"/>
            <filter val="Alteração de carteira finalizada (17/06/2024)"/>
            <filter val="Alteração de carteira finalizada (17/07/2025)"/>
            <filter val="Alteração de carteira finalizada (17/11/2025)"/>
            <filter val="Alteração de carteira finalizada (17/12/2024)"/>
            <filter val="Alteração de carteira finalizada (20/01//2025)"/>
            <filter val="Alteração de carteira finalizada (20/01/2025)"/>
            <filter val="Alteração de carteira finalizada (21/10/2024)"/>
            <filter val="Alteração de carteira finalizada (22/07/2024)"/>
            <filter val="Alteração de carteira finalizada (23/10/2023)"/>
            <filter val="Alteração de carteira finalizada (24/01/2024)"/>
            <filter val="Alteração de carteira finalizada (24/07/2023)"/>
            <filter val="Alteração de carteira finalizada (25/09/2025)"/>
            <filter val="Alteração de carteira finalizada (26/02/2024)"/>
            <filter val="Alteração de carteira finalizada (26/11/2024)"/>
            <filter val="Alteração de carteira finalizada (27/03/2024)"/>
            <filter val="Alteração de carteira finalizada (27/06/2024)"/>
            <filter val="Alteração de carteira finalizada (27/07/2023)"/>
            <filter val="Alteração de carteira finalizada (27/11/2023)"/>
            <filter val="Alteração de carteira finalizada (29/01/2024)"/>
            <filter val="Alteração de carteira finalizada. (25/09/2025)"/>
            <filter val="Alterado a conta de N° 003836362 (sem saldo) / Alteração de carteira finalizada (18/04/2024)"/>
            <filter val="Aporte acontecerá em breve"/>
            <filter val="Carteira Conservadora 80/20 - PL acima de R$ 2.000.000,00, de forma que se o cliente resgatar a taxa retorne automático para 1,2%a.a., sem necessidade de novo contrato."/>
            <filter val="Cliente desistiu de migrar recurso aguardando FA sobre migração"/>
            <filter val="Cliente deve voltar em 2024"/>
            <filter val="Cliente faleceu"/>
            <filter val="Cliente retornou a base com novo contrato (29/08/2025)"/>
            <filter val="Cliente retornou para a base dia 10/10/2024"/>
            <filter val="Cliente retornou para a base dia 21/10/2024 sob nova carteira"/>
            <filter val="Cliente saiu da base"/>
            <filter val="Cliente saiu da base (18/09/2024)"/>
            <filter val="Cliente saiu da base dia 22/10/2024 retornou sob nova carteira dia 19/11/2024 / Alteração de carteira finalizada (30/01/2025)"/>
            <filter val="Cliente sofreu tentativa de fraude - qualquer alteração em seu cadastro ou movimentação na conta entrar em contato com o FA/Cliente para confirmação."/>
            <filter val="Cliente solicitou distrato"/>
            <filter val="Cliente solicitou distrato (19/08/2024)"/>
            <filter val="Cliente solicitou distrato (20/06/2024)"/>
            <filter val="Cliente solicitou distrato 23/05/2024"/>
            <filter val="Cliente solicitou distrato dia 25/04/2023"/>
            <filter val="Cliente solicitou o distrato (04/09/2023)"/>
            <filter val="Cliente solicitou o distrato (08/08/2024)"/>
            <filter val="Cliente solicitou o distrato dia 30/08/2023"/>
            <filter val="Cliente solicitou troca de assessoria"/>
            <filter val="Cliente solicitou troca de assessoria (08/08/2024)"/>
            <filter val="Cliente solicitou troca de assessoria (17/07/2024)"/>
            <filter val="Cliente solicitou troca de assessoria (30/07/2024)"/>
            <filter val="Cliente solicitou troca de assessortia (16/07/2024)"/>
            <filter val="Cliente sumiu da base"/>
            <filter val="Cliente sumiu da base (06/05/2024)"/>
            <filter val="Cliente sumiu da base 05/03/2024"/>
            <filter val="Cliente vai resgatar sozinho/ Troca de Assessoria de Thiago Canbrava para Matheus Vilar"/>
            <filter val="Conta à ser encerrada, aguardando recebimentos de dividendo para 2025"/>
            <filter val="Conta criada sem necessidade (17/06/2024)"/>
            <filter val="Conta da filha do cliente Pedro Guilherme Ramos Goya"/>
            <filter val="Conta será encerrada"/>
            <filter val="Distrati unilateral"/>
            <filter val="Distrato solicitado dia 20/06/2024"/>
            <filter val="Distrato unilatera"/>
            <filter val="Distrato Unilateral"/>
            <filter val="Distrato unilateral."/>
            <filter val="Em processo de STVM"/>
            <filter val="Esperando os rendimentos que vecem em 10/24 para transferir o saldo para a outra conta."/>
            <filter val="Está em processo de portabilidade dos recursos do safra para o Bluemetrix."/>
            <filter val="Está em processo de transferência dos recursos"/>
            <filter val="Fez o resgate para compra de imóvel, em breve deve voltar a fazer aportes."/>
            <filter val="Incluir contas bancárias enviadas no e-mail &quot;Cadastro de conta de Origem&quot;"/>
            <filter val="Manter conta ativa para possivél retorno do cliente"/>
            <filter val="Monitoramento  p/ envio de ativos da conta principal que estão fora da estrategia"/>
            <filter val="Não apagar observação: Troca de assessor 01/12/2023 - Antigo: Conquest - Juliana Abreu"/>
            <filter val="Observações Backoffice"/>
            <filter val="PL acima de R$ 2.000.000,00, de forma que se o cliente resgatar a taxa retorne automático para 1,2%a.a., sem necessidade de novo contrato. STVM interna finalizada (05/06/2024)"/>
            <filter val="Possível aporte 2024"/>
            <filter val="Possivel retorno futuro"/>
            <filter val="Possivel retorno futuro."/>
            <filter val="Possui duas contas, breve de aportar recursos nesta"/>
            <filter val="Pretende fazer aportes futuros"/>
            <filter val="Primeira conta 004794805 viculada por erro do FA."/>
            <filter val="Sem pagamento de taxa para assessores"/>
            <filter val="Solicitou resgate total dia 08/03/2024 / Distrato unilateral"/>
            <filter val="STVM de entrada da Guide finalizada (01/09/2023)"/>
            <filter val="STVM de entrada da Guide finalizada (02/08/2023)"/>
            <filter val="STVM de entrada da Guide finalizada (02/10/2023)"/>
            <filter val="STVM de entrada da Guide finalizada (02/10/2023) / Alteração de carteira finalizada (15/09/2023)"/>
            <filter val="STVM de entrada da Guide finalizada (03/01/2024)"/>
            <filter val="STVM de entrada da Guide finalizada (03/09/2023)"/>
            <filter val="STVM de entrada da Guide finalizada (04/09/2023)"/>
            <filter val="STVM de entrada da Guide finalizada (05/09/2023)"/>
            <filter val="STVM de entrada da Guide finalizada (06/11/2023) / Alteração de carteira finalizada (05/08/2024)"/>
            <filter val="STVM de entrada da Guide finalizada (06/12/2023) / Alteração de carteira finalizada (22/12/2023)"/>
            <filter val="STVM de entrada da Guide finalizada (08/09/2023)"/>
            <filter val="STVM de entrada da Guide finalizada (09/10/2023) / Alteração de carteira finalizada (21/01/2025)"/>
            <filter val="STVM de entrada da Guide finalizada (10/01/2024) / Alteração de carteira finalizada (20/01/2025)"/>
            <filter val="STVM de entrada da Guide finalizada (10/09/2023)"/>
            <filter val="STVM de entrada da Guide finalizada (10/10/2023)"/>
            <filter val="STVM de entrada da Guide finalizada (13/07/2023) / Alteração de carteira finalizada (21/01/2025)"/>
            <filter val="STVM de entrada da Guide finalizada (13/09/2023) / Alteração de carteira finalizada (01/03/2024)"/>
            <filter val="STVM de entrada da Guide finalizada (13/09/2023) / Alteração de carteira finalizada (22/12/2023)"/>
            <filter val="STVM de entrada da Guide finalizada (13/11/2023) Alteração de carteira finalizada (26/11/2024)"/>
            <filter val="STVM de entrada da Guide finalizada (15/12/2023)"/>
            <filter val="STVM de entrada da Guide finalizada (19/12/2023)"/>
            <filter val="STVM de entrada da Guide finalizada (21/09/2023)"/>
            <filter val="STVM de entrada da Guide finalizada (27/12/2023) / Portabilidade de fundo a ser finalizada"/>
            <filter val="STVM de entrada da Guide finalizada (28/09/2023)"/>
            <filter val="STVM de entrada da Guide finalizada (30/08/2023)"/>
            <filter val="STVM de entrada da Guide finalizada (30/10/2023) / Alteração de carteira finalizada (14/06/2024)"/>
            <filter val="STVM de entrada da Órama finalizada (11/01/2024)"/>
            <filter val="STVM de entrada finalizada (28/05/2024)"/>
            <filter val="STVM de saída para XP finalizada (04/09/2023)"/>
            <filter val="STVM de saída para XP finalizada (11/01/2024)"/>
            <filter val="STVM de saída para XP finalizada (22/02/2024)"/>
            <filter val="STVM de saída para XP finalizada (29/08/2023)"/>
            <filter val="STVM de saída para XP finalizada (31/01/2024)"/>
            <filter val="STVM de saída para XP iniciada (13/05/2024)"/>
            <filter val="STVM de saída para XP iniciada (25/06/2024) Cliente sumiu da base"/>
            <filter val="STVM Interna de entrada da conta 004254210"/>
            <filter val="STVM Interna finalizada (01/07/2024)"/>
            <filter val="STVM interna finalizada (08/01/2024) / Conta será encerrada após valor em trânsito cair"/>
            <filter val="STVM interna finalizada (12/03/2024)"/>
            <filter val="STVM interna finalizada (18/07/2024)"/>
            <filter val="STVM interna finalizada (19/03/2024) Cliente solicitou distrato 19/07/2024"/>
            <filter val="STVM interna finalizada (19/07/2024)"/>
            <filter val="STVM interna finalizada (25/01/2024)"/>
            <filter val="STVM interna finalizada (27/02/2024)"/>
            <filter val="STVM interna finalizada (27/02/2024) / Alteração de carteira Finalizada (11/03/2024)"/>
            <filter val="STVM interna finalizada (28/09/2023)"/>
            <filter val="Taxa de gestão a ser enviada para a Guide devido a erro operacional na XP"/>
            <filter val="Taxa de performance negociada para reduzir 0.2% a cada novo milhão investido, reduzindo até 1.9%"/>
            <filter val="Thiago Canabrava solicitou a alt. do stts da conta para inativo dia 15/01/2024"/>
            <filter val="Tirar da base (06/06/2024)"/>
            <filter val="Troca de Assessoria de Thiago Canabrava para Matheus Vilar"/>
            <filter val="Troca de Assessoria de Thiago Canbrava para Guilherme dos Santos"/>
            <filter val="Troca de Assessoria de Thiago Canbrava para Guilherme dos Santos / Resgate total da carteira (04/04/2024)"/>
            <filter val="Troca de Assessoria de Thiago Canbrava para Matheus Vilar"/>
            <filter val="Troca de carteira para RF Ativo"/>
            <filter val="Trocou de assessor de Rodolfo Gomes para Pedro Paulo em 04/04/2023"/>
            <filter val="Trocou de assessor de Thiago Canabrava para Gabriel Raydan em 03/02/2023"/>
          </filters>
        </filterColumn>
      </autoFilter>
    </customSheetView>
    <customSheetView guid="{F06A8CEB-8F34-47AC-96B0-B61FE8609ACF}" filter="1" showAutoFilter="1">
      <pageMargins left="0" right="0" top="0" bottom="0" header="0" footer="0"/>
      <autoFilter ref="A1:AR1093" xr:uid="{24CF187B-2A3F-4A7F-9B7A-7BC7ADEC08F4}">
        <filterColumn colId="12">
          <filters>
            <filter val="CON/ COADM"/>
            <filter val="CON/ GR"/>
            <filter val="DIV"/>
            <filter val="DIV/ COADM"/>
            <filter val="EQT/ COADM"/>
            <filter val="INC CP"/>
            <filter val="INC CP/ COADM"/>
            <filter val="INC/ COADM"/>
            <filter val="MOD/ COADM"/>
            <filter val="MOD/ GR"/>
            <filter val="MOD/ PREV MOD/ COADM"/>
            <filter val="MONT/ COADM"/>
            <filter val="MULT PRIV"/>
            <filter val="MULT PRIV/ CO ADM"/>
            <filter val="STOCK"/>
          </filters>
        </filterColumn>
      </autoFilter>
    </customSheetView>
    <customSheetView guid="{73A11926-2E6F-4871-B727-3B1A920B8A61}" filter="1" showAutoFilter="1">
      <pageMargins left="0" right="0" top="0" bottom="0" header="0" footer="0"/>
      <autoFilter ref="A1:AR1093" xr:uid="{3DA08BA6-4891-49CB-8E2C-0626CA7EE574}">
        <filterColumn colId="5">
          <filters>
            <filter val="Alexandre Teixeira Campos"/>
            <filter val="Alexandre Xavier"/>
            <filter val="André de Queiroz Coelho"/>
            <filter val="Antonio Volpato"/>
            <filter val="Augusto Sampaio"/>
            <filter val="Bluemetrix"/>
            <filter val="Bruno Henrique"/>
            <filter val="Caroline Facó Ehlers"/>
            <filter val="Daniel Melhado"/>
            <filter val="Douglas Tuira"/>
            <filter val="Eleazar Ferreira Junior"/>
            <filter val="Felipe Cravos"/>
            <filter val="Felipe Miranda"/>
            <filter val="Gabriel Regis"/>
            <filter val="Gabriel Stella"/>
            <filter val="Guilherme dos Santos"/>
            <filter val="João Gabriel Miziara"/>
            <filter val="João Paulo Britto"/>
            <filter val="João Victor de Moura Beze"/>
            <filter val="Joney Alves"/>
            <filter val="Jorge Luiz Braga de Carvalho"/>
            <filter val="Larissa Montes"/>
            <filter val="Leonardo Nascimento Porto"/>
            <filter val="Lucas Ferreira"/>
            <filter val="Lucas Oliveira"/>
            <filter val="Luis Felipe"/>
            <filter val="Marcelo Franciscon"/>
            <filter val="Marcos Serra"/>
            <filter val="Marcus Macedo"/>
            <filter val="Mariana Rocha"/>
            <filter val="Norton Jr"/>
            <filter val="Pamara Rosa"/>
            <filter val="Paula Bonfim"/>
            <filter val="Paula Lemos"/>
            <filter val="Rafael Guedes"/>
            <filter val="Rafaela Souza"/>
            <filter val="Raoni Costa"/>
            <filter val="Thais Helena"/>
            <filter val="thiago Canabrava"/>
            <filter val="Valeria Viana"/>
            <filter val="Victor Hugo Laurentino"/>
            <filter val="Vitor Pedrazzi"/>
          </filters>
        </filterColumn>
      </autoFilter>
    </customSheetView>
    <customSheetView guid="{AFAE9C81-BEC7-4E49-B430-378A11A40202}" filter="1" showAutoFilter="1">
      <pageMargins left="0" right="0" top="0" bottom="0" header="0" footer="0"/>
      <autoFilter ref="A1:AU1084" xr:uid="{A3C81985-D8B5-4D61-AEC7-020785275E50}"/>
    </customSheetView>
    <customSheetView guid="{AEA42E9C-6B35-4C80-9D55-A52D57DB8C78}" filter="1" showAutoFilter="1">
      <pageMargins left="0" right="0" top="0" bottom="0" header="0" footer="0"/>
      <autoFilter ref="A1:AW1084" xr:uid="{0DD318DA-6045-4CDD-B348-8C69728DA847}">
        <filterColumn colId="7">
          <filters>
            <filter val="Pode Operar"/>
          </filters>
        </filterColumn>
      </autoFilter>
    </customSheetView>
    <customSheetView guid="{AD1169A2-F31B-474D-9D8B-B51D22A5564E}" filter="1" showAutoFilter="1">
      <pageMargins left="0" right="0" top="0" bottom="0" header="0" footer="0"/>
      <autoFilter ref="A1:AU1084" xr:uid="{C7394C68-781D-4ABA-AADC-44317F822A3A}">
        <filterColumn colId="24">
          <filters>
            <filter val="Inativo"/>
          </filters>
        </filterColumn>
      </autoFilter>
    </customSheetView>
    <customSheetView guid="{165CC5BD-C6DE-42CC-8EC5-314C1EF5C23C}" filter="1" showAutoFilter="1">
      <pageMargins left="0" right="0" top="0" bottom="0" header="0" footer="0"/>
      <autoFilter ref="A1:AW1088" xr:uid="{5F5D8F37-1476-44A8-B94B-501AD1A7BCFC}">
        <filterColumn colId="5">
          <filters blank="1">
            <filter val="Alexandre Xavier"/>
            <filter val="André de Queiroz Coelho"/>
            <filter val="Antonio Volpato"/>
            <filter val="Bluemetrix"/>
            <filter val="Daniel Melhado"/>
            <filter val="Douglas Tuira"/>
            <filter val="Eleazar Ferreira Junior"/>
            <filter val="Felipe Cravos"/>
            <filter val="Felipe Miranda"/>
            <filter val="Gabriel Regis"/>
            <filter val="Guilherme dos Santos"/>
            <filter val="João Gabriel Miziara"/>
            <filter val="João Paulo Britto"/>
            <filter val="João Victor de Moura Beze"/>
            <filter val="Jorge Luiz Braga de Carvalho"/>
            <filter val="Leonardo Nascimento Porto"/>
            <filter val="Lucas Ferreira"/>
            <filter val="Lucas Oliveira"/>
            <filter val="Luis Felipe"/>
            <filter val="Marcelo Franciscon"/>
            <filter val="Marcos Serra"/>
            <filter val="Marcus Macedo"/>
            <filter val="Mariana Rocha"/>
            <filter val="Norton Jr"/>
            <filter val="Pamara Rosa"/>
            <filter val="Paula Bonfim"/>
            <filter val="Paula Lemos"/>
            <filter val="Rafael Guedes"/>
            <filter val="Rafaela Souza"/>
            <filter val="Raoni Costa"/>
            <filter val="Thais Helena"/>
            <filter val="thiago Canabrava"/>
            <filter val="Valeria Viana"/>
            <filter val="Victor Hugo Laurentino"/>
            <filter val="Vitor Pedrazzi"/>
          </filters>
        </filterColumn>
      </autoFilter>
    </customSheetView>
    <customSheetView guid="{7F512548-DCD4-41A0-81C1-C8D0EAF11021}" filter="1" showAutoFilter="1">
      <pageMargins left="0" right="0" top="0" bottom="0" header="0" footer="0"/>
      <autoFilter ref="E2:F1093" xr:uid="{720C9941-13A2-4209-A46D-18EB0982D94D}"/>
    </customSheetView>
    <customSheetView guid="{88E135A6-EC14-4A9F-8810-3E1BF8B05913}" filter="1" showAutoFilter="1">
      <pageMargins left="0" right="0" top="0" bottom="0" header="0" footer="0"/>
      <autoFilter ref="A1:AW1084" xr:uid="{62279F3D-082C-48D9-8021-0EC950A9F01B}">
        <filterColumn colId="7">
          <filters>
            <filter val="Ativo"/>
            <filter val="Inativo"/>
            <filter val="Pode Operar"/>
            <filter val="Status"/>
          </filters>
        </filterColumn>
        <filterColumn colId="8">
          <filters>
            <filter val="------"/>
            <filter val="Monitoramento"/>
            <filter val="Resgate Total"/>
            <filter val="Sem Saldo"/>
            <filter val="Situação"/>
            <filter val="STVM Saída"/>
            <filter val="Troca de Assessoria"/>
          </filters>
        </filterColumn>
        <filterColumn colId="12">
          <filters>
            <filter val="ARR"/>
            <filter val="BDR"/>
            <filter val="Carteira"/>
            <filter val="CON"/>
            <filter val="CON/ COADM"/>
            <filter val="CON/ GR"/>
            <filter val="CON/ PREV CON"/>
            <filter val="CON/ PREV MOD"/>
            <filter val="CORP"/>
            <filter val="CRIP"/>
            <filter val="DIV"/>
            <filter val="DIV/ COADM"/>
            <filter val="EQT"/>
            <filter val="EQT/ COADM"/>
            <filter val="FII"/>
            <filter val="FUND"/>
            <filter val="INC"/>
            <filter val="INC CP"/>
            <filter val="INC CP/ COADM"/>
            <filter val="INC/ COADM"/>
            <filter val="INC/ PREV CON"/>
            <filter val="INC/ PREV MOD"/>
            <filter val="MOD"/>
            <filter val="MOD/ COADM"/>
            <filter val="MOD/ GR"/>
            <filter val="MOD/ PREV ARR"/>
            <filter val="MOD/ PREV MOD"/>
            <filter val="MOD/ PREV MOD/ COADM"/>
            <filter val="MONT/ COADM"/>
            <filter val="MULT PRIV"/>
            <filter val="MULT PRIV/ CO ADM"/>
            <filter val="PREV"/>
            <filter val="PREV ARR"/>
            <filter val="PREV CON"/>
            <filter val="PREV MOD"/>
            <filter val="SMLL"/>
            <filter val="STOCK"/>
          </filters>
        </filterColumn>
        <filterColumn colId="48">
          <filters>
            <filter val="R$ 0.00"/>
            <filter val="R$ 0.01"/>
            <filter val="R$ 0.09"/>
            <filter val="R$ 0.14"/>
            <filter val="R$ 0.15"/>
            <filter val="R$ 0.16"/>
            <filter val="R$ 0.39"/>
            <filter val="R$ 0.78"/>
            <filter val="R$ 0.89"/>
            <filter val="R$ 1,000,991.59"/>
            <filter val="R$ 1,001.59"/>
            <filter val="R$ 1,009,941.62"/>
            <filter val="R$ 1,042,902.05"/>
            <filter val="R$ 1,047,159.73"/>
            <filter val="R$ 1,053,898.68"/>
            <filter val="R$ 1,063,307.91"/>
            <filter val="R$ 1,064,896.89"/>
            <filter val="R$ 1,066,970.04"/>
            <filter val="R$ 1,069,095.93"/>
            <filter val="R$ 1,077,534.52"/>
            <filter val="R$ 1,119.31"/>
            <filter val="R$ 1,120,231.44"/>
            <filter val="R$ 1,126.35"/>
            <filter val="R$ 1,153,441.88"/>
            <filter val="R$ 1,158,198.34"/>
            <filter val="R$ 1,181,453.01"/>
            <filter val="R$ 1,200,219.25"/>
            <filter val="R$ 1,239,870.15"/>
            <filter val="R$ 1,242,953.36"/>
            <filter val="R$ 1,255,013.76"/>
            <filter val="R$ 1,277,140.44"/>
            <filter val="R$ 1,289,543.74"/>
            <filter val="R$ 1,293,675.25"/>
            <filter val="R$ 1,301.52"/>
            <filter val="R$ 1,303,972.44"/>
            <filter val="R$ 1,312,108.37"/>
            <filter val="R$ 1,346,659.30"/>
            <filter val="R$ 1,365,082.92"/>
            <filter val="R$ 1,384,069.46"/>
            <filter val="R$ 1,426,979.35"/>
            <filter val="R$ 1,428,887.09"/>
            <filter val="R$ 1,431,243.69"/>
            <filter val="R$ 1,444,199.99"/>
            <filter val="R$ 1,459,910.20"/>
            <filter val="R$ 1,464.62"/>
            <filter val="R$ 1,485,219.16"/>
            <filter val="R$ 1,504.25"/>
            <filter val="R$ 1,563,469.43"/>
            <filter val="R$ 1,596,659.71"/>
            <filter val="R$ 1,609,197.92"/>
            <filter val="R$ 1,633,210.16"/>
            <filter val="R$ 1,639,208.17"/>
            <filter val="R$ 1,650,026.08"/>
            <filter val="R$ 1,698,417.81"/>
            <filter val="R$ 1,806,232.88"/>
            <filter val="R$ 1,823,412.12"/>
            <filter val="R$ 1,833,654.69"/>
            <filter val="R$ 1,882,119.94"/>
            <filter val="R$ 1,890,115.85"/>
            <filter val="R$ 1,998,699.75"/>
            <filter val="R$ 1.06"/>
            <filter val="R$ 10,117.07"/>
            <filter val="R$ 10,727.74"/>
            <filter val="R$ 101,205.41"/>
            <filter val="R$ 101,250.66"/>
            <filter val="R$ 101,505.39"/>
            <filter val="R$ 102,329.32"/>
            <filter val="R$ 102,513.19"/>
            <filter val="R$ 102,856.91"/>
            <filter val="R$ 103,054.56"/>
            <filter val="R$ 103,114.97"/>
            <filter val="R$ 103,594.28"/>
            <filter val="R$ 104,300.00"/>
            <filter val="R$ 104,327.22"/>
            <filter val="R$ 104,351.34"/>
            <filter val="R$ 104,501.31"/>
            <filter val="R$ 104,663.11"/>
            <filter val="R$ 104,723.20"/>
            <filter val="R$ 104,868.18"/>
            <filter val="R$ 105,164.21"/>
            <filter val="R$ 107,205.88"/>
            <filter val="R$ 107,989.36"/>
            <filter val="R$ 108,303.40"/>
            <filter val="R$ 109,137.66"/>
            <filter val="R$ 11,431.85"/>
            <filter val="R$ 11,512.46"/>
            <filter val="R$ 111,686.15"/>
            <filter val="R$ 111,940.50"/>
            <filter val="R$ 112,663.48"/>
            <filter val="R$ 114,381.89"/>
            <filter val="R$ 114,402.67"/>
            <filter val="R$ 114,480.81"/>
            <filter val="R$ 115,044.75"/>
            <filter val="R$ 117,049.00"/>
            <filter val="R$ 119,862.32"/>
            <filter val="R$ 119,901.52"/>
            <filter val="R$ 121,658.89"/>
            <filter val="R$ 121,852.18"/>
            <filter val="R$ 124,791.66"/>
            <filter val="R$ 125,398.61"/>
            <filter val="R$ 126,220.89"/>
            <filter val="R$ 129,147.12"/>
            <filter val="R$ 129,147.26"/>
            <filter val="R$ 13,068.91"/>
            <filter val="R$ 13,716.42"/>
            <filter val="R$ 130,282.38"/>
            <filter val="R$ 131,805.24"/>
            <filter val="R$ 132,130.09"/>
            <filter val="R$ 133,503.57"/>
            <filter val="R$ 134,379.96"/>
            <filter val="R$ 134,780.95"/>
            <filter val="R$ 135,941.03"/>
            <filter val="R$ 136,394.09"/>
            <filter val="R$ 137,351.63"/>
            <filter val="R$ 137,435.10"/>
            <filter val="R$ 137,673.40"/>
            <filter val="R$ 137.32"/>
            <filter val="R$ 139,093.47"/>
            <filter val="R$ 139,736.26"/>
            <filter val="R$ 14,230.92"/>
            <filter val="R$ 14,747.84"/>
            <filter val="R$ 14.67"/>
            <filter val="R$ 140,246.64"/>
            <filter val="R$ 140,285.00"/>
            <filter val="R$ 140,287.07"/>
            <filter val="R$ 140,596.37"/>
            <filter val="R$ 140.59"/>
            <filter val="R$ 141,341.87"/>
            <filter val="R$ 141,659.22"/>
            <filter val="R$ 142,733.52"/>
            <filter val="R$ 144,284.80"/>
            <filter val="R$ 144,495.55"/>
            <filter val="R$ 146,841.97"/>
            <filter val="R$ 146.74"/>
            <filter val="R$ 149,376.34"/>
            <filter val="R$ 15,351.73"/>
            <filter val="R$ 15,935.10"/>
            <filter val="R$ 150,464.07"/>
            <filter val="R$ 150,736.95"/>
            <filter val="R$ 152,100.88"/>
            <filter val="R$ 153,435.44"/>
            <filter val="R$ 154,454.13"/>
            <filter val="R$ 154,923.63"/>
            <filter val="R$ 157,321.63"/>
            <filter val="R$ 158,703.75"/>
            <filter val="R$ 158,825.91"/>
            <filter val="R$ 159,902.35"/>
            <filter val="R$ 16,523,890.02"/>
            <filter val="R$ 16,731.64"/>
            <filter val="R$ 16.18"/>
            <filter val="R$ 160,214.99"/>
            <filter val="R$ 160,286.49"/>
            <filter val="R$ 160,710.31"/>
            <filter val="R$ 162,158.77"/>
            <filter val="R$ 162,955.89"/>
            <filter val="R$ 163,478.71"/>
            <filter val="R$ 163,997.52"/>
            <filter val="R$ 164,501.49"/>
            <filter val="R$ 167,672.40"/>
            <filter val="R$ 167,903.82"/>
            <filter val="R$ 168,695.58"/>
            <filter val="R$ 169,309.23"/>
            <filter val="R$ 17,659.52"/>
            <filter val="R$ 170.67"/>
            <filter val="R$ 171,477.40"/>
            <filter val="R$ 171.31"/>
            <filter val="R$ 172,384.33"/>
            <filter val="R$ 174,526.13"/>
            <filter val="R$ 176,404.80"/>
            <filter val="R$ 177,375.23"/>
            <filter val="R$ 179,899.19"/>
            <filter val="R$ 18,586.32"/>
            <filter val="R$ 18.77"/>
            <filter val="R$ 180,938.03"/>
            <filter val="R$ 185,296.17"/>
            <filter val="R$ 187,596.72"/>
            <filter val="R$ 191,029.53"/>
            <filter val="R$ 193,588.35"/>
            <filter val="R$ 193,638.73"/>
            <filter val="R$ 194,411.18"/>
            <filter val="R$ 194,882.55"/>
            <filter val="R$ 196,353.37"/>
            <filter val="R$ 2,007,276.64"/>
            <filter val="R$ 2,050.86"/>
            <filter val="R$ 2,130,656.17"/>
            <filter val="R$ 2,137,864.26"/>
            <filter val="R$ 2,241,552.06"/>
            <filter val="R$ 2,244,094.95"/>
            <filter val="R$ 2,277,301.51"/>
            <filter val="R$ 2,325.06"/>
            <filter val="R$ 2,426,511.51"/>
            <filter val="R$ 2,503.58"/>
            <filter val="R$ 2,546.54"/>
            <filter val="R$ 2,584,018.75"/>
            <filter val="R$ 2,756,883.68"/>
            <filter val="R$ 2,795,806.80"/>
            <filter val="R$ 2,839,628.15"/>
            <filter val="R$ 2,847,042.41"/>
            <filter val="R$ 20,653.07"/>
            <filter val="R$ 20.72"/>
            <filter val="R$ 200,155.63"/>
            <filter val="R$ 203,035.19"/>
            <filter val="R$ 203,143.75"/>
            <filter val="R$ 203,648.03"/>
            <filter val="R$ 204,538.43"/>
            <filter val="R$ 205,686.07"/>
            <filter val="R$ 205,870.37"/>
            <filter val="R$ 206,222.73"/>
            <filter val="R$ 207,011.53"/>
            <filter val="R$ 207,262.24"/>
            <filter val="R$ 209,678.10"/>
            <filter val="R$ 209.26"/>
            <filter val="R$ 21,052.45"/>
            <filter val="R$ 210,854.24"/>
            <filter val="R$ 210,892.59"/>
            <filter val="R$ 214,690.42"/>
            <filter val="R$ 216,644.68"/>
            <filter val="R$ 22,583.51"/>
            <filter val="R$ 220,034.61"/>
            <filter val="R$ 220,877.83"/>
            <filter val="R$ 223,808.12"/>
            <filter val="R$ 225.51"/>
            <filter val="R$ 225.57"/>
            <filter val="R$ 226,091.54"/>
            <filter val="R$ 227,436.61"/>
            <filter val="R$ 229,850.74"/>
            <filter val="R$ 23,577.54"/>
            <filter val="R$ 237,902.88"/>
            <filter val="R$ 238,572.20"/>
            <filter val="R$ 240,282.31"/>
            <filter val="R$ 240,651.02"/>
            <filter val="R$ 241,158.97"/>
            <filter val="R$ 243,986.61"/>
            <filter val="R$ 244,225.82"/>
            <filter val="R$ 245,498.57"/>
            <filter val="R$ 245,889.80"/>
            <filter val="R$ 246,738.52"/>
            <filter val="R$ 247,051.88"/>
            <filter val="R$ 252,228.48"/>
            <filter val="R$ 252,690.67"/>
            <filter val="R$ 254,560.55"/>
            <filter val="R$ 256,018.70"/>
            <filter val="R$ 256,538.48"/>
            <filter val="R$ 26,561.96"/>
            <filter val="R$ 26,596.87"/>
            <filter val="R$ 26,929.96"/>
            <filter val="R$ 262,611.44"/>
            <filter val="R$ 264,749.49"/>
            <filter val="R$ 265,209.88"/>
            <filter val="R$ 265,297.84"/>
            <filter val="R$ 265,516.80"/>
            <filter val="R$ 267,033.97"/>
            <filter val="R$ 267,336.43"/>
            <filter val="R$ 268,734.95"/>
            <filter val="R$ 273,707.75"/>
            <filter val="R$ 276,789.02"/>
            <filter val="R$ 278,391.66"/>
            <filter val="R$ 279,463.95"/>
            <filter val="R$ 28,025.44"/>
            <filter val="R$ 28,193.34"/>
            <filter val="R$ 282,668.50"/>
            <filter val="R$ 283,791.34"/>
            <filter val="R$ 284.91"/>
            <filter val="R$ 286,943.12"/>
            <filter val="R$ 289,037.78"/>
            <filter val="R$ 29,309.64"/>
            <filter val="R$ 294,500.57"/>
            <filter val="R$ 294,925.98"/>
            <filter val="R$ 297,895.15"/>
            <filter val="R$ 3,023,601.99"/>
            <filter val="R$ 3,214,698.19"/>
            <filter val="R$ 3,322.39"/>
            <filter val="R$ 3,361,260.34"/>
            <filter val="R$ 3,431,369.99"/>
            <filter val="R$ 3,755,707.41"/>
            <filter val="R$ 3,819,221.34"/>
            <filter val="R$ 3,839,579.00"/>
            <filter val="R$ 30,257.60"/>
            <filter val="R$ 30,358.37"/>
            <filter val="R$ 30.02"/>
            <filter val="R$ 302,703.59"/>
            <filter val="R$ 306,615.91"/>
            <filter val="R$ 31,005.58"/>
            <filter val="R$ 31,477.15"/>
            <filter val="R$ 313,290.90"/>
            <filter val="R$ 313,646.34"/>
            <filter val="R$ 313,991.54"/>
            <filter val="R$ 316,403.92"/>
            <filter val="R$ 32,287.35"/>
            <filter val="R$ 320,036.63"/>
            <filter val="R$ 323,405.42"/>
            <filter val="R$ 325,439.29"/>
            <filter val="R$ 325,691.07"/>
            <filter val="R$ 327,583.28"/>
            <filter val="R$ 33,853.44"/>
            <filter val="R$ 33,983.76"/>
            <filter val="R$ 33,992.91"/>
            <filter val="R$ 33.05"/>
            <filter val="R$ 330,757.68"/>
            <filter val="R$ 334,298.87"/>
            <filter val="R$ 334,953.40"/>
            <filter val="R$ 336,551.07"/>
            <filter val="R$ 337,962.60"/>
            <filter val="R$ 342,743.89"/>
            <filter val="R$ 345,713.60"/>
            <filter val="R$ 346,764.92"/>
            <filter val="R$ 347,570.86"/>
            <filter val="R$ 348,379.66"/>
            <filter val="R$ 35,274.58"/>
            <filter val="R$ 35,304.36"/>
            <filter val="R$ 35,463.24"/>
            <filter val="R$ 35,820.13"/>
            <filter val="R$ 35.29"/>
            <filter val="R$ 350,725.59"/>
            <filter val="R$ 351,339.11"/>
            <filter val="R$ 352,782.73"/>
            <filter val="R$ 353.00"/>
            <filter val="R$ 356,098.04"/>
            <filter val="R$ 357,875.71"/>
            <filter val="R$ 361,097.71"/>
            <filter val="R$ 364,082.52"/>
            <filter val="R$ 365,697.18"/>
            <filter val="R$ 366,231.42"/>
            <filter val="R$ 368,564.59"/>
            <filter val="R$ 368,641.85"/>
            <filter val="R$ 374,712.09"/>
            <filter val="R$ 376,620.20"/>
            <filter val="R$ 377,147.44"/>
            <filter val="R$ 378,431.57"/>
            <filter val="R$ 388,775.00"/>
            <filter val="R$ 390,387.65"/>
            <filter val="R$ 394,597.36"/>
            <filter val="R$ 396,652.54"/>
            <filter val="R$ 4,039,125.48"/>
            <filter val="R$ 4,295,934.78"/>
            <filter val="R$ 4,312,662.84"/>
            <filter val="R$ 4,397,477.29"/>
            <filter val="R$ 4,460,551.74"/>
            <filter val="R$ 4,485,768.68"/>
            <filter val="R$ 40,194.98"/>
            <filter val="R$ 404,628.32"/>
            <filter val="R$ 407,678.64"/>
            <filter val="R$ 41,435.87"/>
            <filter val="R$ 41,967.58"/>
            <filter val="R$ 42,685.50"/>
            <filter val="R$ 42,896.63"/>
            <filter val="R$ 421,870.60"/>
            <filter val="R$ 425,000.19"/>
            <filter val="R$ 426,797.43"/>
            <filter val="R$ 427,208.00"/>
            <filter val="R$ 427,432.58"/>
            <filter val="R$ 428,542.58"/>
            <filter val="R$ 43,052.43"/>
            <filter val="R$ 43,467.77"/>
            <filter val="R$ 430,801.34"/>
            <filter val="R$ 430,912.15"/>
            <filter val="R$ 435.94"/>
            <filter val="R$ 436,678.49"/>
            <filter val="R$ 438,530.77"/>
            <filter val="R$ 44,497.80"/>
            <filter val="R$ 443,417.86"/>
            <filter val="R$ 450,866.14"/>
            <filter val="R$ 450.54"/>
            <filter val="R$ 456,589.58"/>
            <filter val="R$ 46,392.12"/>
            <filter val="R$ 460,657.48"/>
            <filter val="R$ 461,792.47"/>
            <filter val="R$ 463,317.50"/>
            <filter val="R$ 466,830.27"/>
            <filter val="R$ 473,331.37"/>
            <filter val="R$ 48,297.43"/>
            <filter val="R$ 48,585.14"/>
            <filter val="R$ 48,852.60"/>
            <filter val="R$ 492,167.63"/>
            <filter val="R$ 493,164.06"/>
            <filter val="R$ 494,699.39"/>
            <filter val="R$ 5,028.95"/>
            <filter val="R$ 5,194.78"/>
            <filter val="R$ 5,612.56"/>
            <filter val="R$ 5,744.77"/>
            <filter val="R$ 5,818,801.75"/>
            <filter val="R$ 5.55"/>
            <filter val="R$ 50,061.93"/>
            <filter val="R$ 50,269.97"/>
            <filter val="R$ 50,397.13"/>
            <filter val="R$ 50,930.79"/>
            <filter val="R$ 50.26"/>
            <filter val="R$ 500,890.57"/>
            <filter val="R$ 501,159.88"/>
            <filter val="R$ 504,924.71"/>
            <filter val="R$ 51,013.45"/>
            <filter val="R$ 51,054.53"/>
            <filter val="R$ 510,606.55"/>
            <filter val="R$ 519,788.90"/>
            <filter val="R$ 525,434.07"/>
            <filter val="R$ 525,472.70"/>
            <filter val="R$ 527,081.27"/>
            <filter val="R$ 53,505.91"/>
            <filter val="R$ 53,523.46"/>
            <filter val="R$ 530,776.49"/>
            <filter val="R$ 536,257.18"/>
            <filter val="R$ 54,098.91"/>
            <filter val="R$ 54,451.84"/>
            <filter val="R$ 540,494.52"/>
            <filter val="R$ 541,516.93"/>
            <filter val="R$ 545,892.12"/>
            <filter val="R$ 55,930.45"/>
            <filter val="R$ 550,429.91"/>
            <filter val="R$ 550,621.00"/>
            <filter val="R$ 551.26"/>
            <filter val="R$ 554,805.92"/>
            <filter val="R$ 555,199.17"/>
            <filter val="R$ 56,802.00"/>
            <filter val="R$ 567,918.27"/>
            <filter val="R$ 567.70"/>
            <filter val="R$ 568,342.23"/>
            <filter val="R$ 569,717.36"/>
            <filter val="R$ 57,945.12"/>
            <filter val="R$ 574,327.63"/>
            <filter val="R$ 574,607.37"/>
            <filter val="R$ 577,230.70"/>
            <filter val="R$ 58,076.04"/>
            <filter val="R$ 58,345.64"/>
            <filter val="R$ 58,458.23"/>
            <filter val="R$ 58,668.22"/>
            <filter val="R$ 580.01"/>
            <filter val="R$ 581,827.86"/>
            <filter val="R$ 582,727.07"/>
            <filter val="R$ 586,787.50"/>
            <filter val="R$ 59,694.45"/>
            <filter val="R$ 594,327.36"/>
            <filter val="R$ 6,000.00"/>
            <filter val="R$ 6,155.03"/>
            <filter val="R$ 6,273,001.62"/>
            <filter val="R$ 6,745.71"/>
            <filter val="R$ 6,859.37"/>
            <filter val="R$ 603,404.57"/>
            <filter val="R$ 607,761.38"/>
            <filter val="R$ 608,996.41"/>
            <filter val="R$ 62,837.01"/>
            <filter val="R$ 622,694.76"/>
            <filter val="R$ 623,702.07"/>
            <filter val="R$ 625,486.55"/>
            <filter val="R$ 626,479.97"/>
            <filter val="R$ 626,625.64"/>
            <filter val="R$ 63,760.24"/>
            <filter val="R$ 633,953.26"/>
            <filter val="R$ 640,051.07"/>
            <filter val="R$ 648,589.35"/>
            <filter val="R$ 65,158.14"/>
            <filter val="R$ 655,293.54"/>
            <filter val="R$ 655,720.22"/>
            <filter val="R$ 656,283.35"/>
            <filter val="R$ 66,386.28"/>
            <filter val="R$ 66,405.76"/>
            <filter val="R$ 663,216.71"/>
            <filter val="R$ 663,847.98"/>
            <filter val="R$ 668,407.40"/>
            <filter val="R$ 67,105.66"/>
            <filter val="R$ 676,174.01"/>
            <filter val="R$ 68,035.38"/>
            <filter val="R$ 68,171.38"/>
            <filter val="R$ 68,755.69"/>
            <filter val="R$ 68.39"/>
            <filter val="R$ 680,459.13"/>
            <filter val="R$ 686,867.99"/>
            <filter val="R$ 688,196.81"/>
            <filter val="R$ 69,000.88"/>
            <filter val="R$ 69,098.44"/>
            <filter val="R$ 697,736.76"/>
            <filter val="R$ 7,188.30"/>
            <filter val="R$ 7,292,274.01"/>
            <filter val="R$ 7,323.91"/>
            <filter val="R$ 7,600.49"/>
            <filter val="R$ 703,252.34"/>
            <filter val="R$ 71,720.31"/>
            <filter val="R$ 718,812.51"/>
            <filter val="R$ 73,158.95"/>
            <filter val="R$ 73,840.23"/>
            <filter val="R$ 73.59"/>
            <filter val="R$ 731,594.67"/>
            <filter val="R$ 74,163.19"/>
            <filter val="R$ 74,212.90"/>
            <filter val="R$ 74,734.14"/>
            <filter val="R$ 75,125.82"/>
            <filter val="R$ 759,514.93"/>
            <filter val="R$ 759.00"/>
            <filter val="R$ 76,475.19"/>
            <filter val="R$ 765,575.63"/>
            <filter val="R$ 77,206.92"/>
            <filter val="R$ 77,351.94"/>
            <filter val="R$ 77,652.46"/>
            <filter val="R$ 773,226.21"/>
            <filter val="R$ 778,613.49"/>
            <filter val="R$ 79,278.76"/>
            <filter val="R$ 79,591.77"/>
            <filter val="R$ 8,080,494.59"/>
            <filter val="R$ 801,302.32"/>
            <filter val="R$ 802,110.67"/>
            <filter val="R$ 803,507.43"/>
            <filter val="R$ 807,149.98"/>
            <filter val="R$ 81,039.79"/>
            <filter val="R$ 812,486.91"/>
            <filter val="R$ 815,684.51"/>
            <filter val="R$ 818,622.85"/>
            <filter val="R$ 828,451.96"/>
            <filter val="R$ 829,370.48"/>
            <filter val="R$ 83,186.65"/>
            <filter val="R$ 830,733.73"/>
            <filter val="R$ 836,610.72"/>
            <filter val="R$ 837,618.20"/>
            <filter val="R$ 85,768.99"/>
            <filter val="R$ 850,022.20"/>
            <filter val="R$ 859,210.00"/>
            <filter val="R$ 86,482.09"/>
            <filter val="R$ 86.38"/>
            <filter val="R$ 862,950.86"/>
            <filter val="R$ 863,638.46"/>
            <filter val="R$ 868,861.72"/>
            <filter val="R$ 870,146.90"/>
            <filter val="R$ 874,087.61"/>
            <filter val="R$ 880,475.50"/>
            <filter val="R$ 889,186.44"/>
            <filter val="R$ 89,216.53"/>
            <filter val="R$ 89,381.90"/>
            <filter val="R$ 89,547.54"/>
            <filter val="R$ 892,261.10"/>
            <filter val="R$ 898,278.39"/>
            <filter val="R$ 9,079.50"/>
            <filter val="R$ 9.74"/>
            <filter val="R$ 904,444.35"/>
            <filter val="R$ 929,335.64"/>
            <filter val="R$ 94,987.15"/>
            <filter val="R$ 948,513.33"/>
            <filter val="R$ 955,552.47"/>
            <filter val="R$ 96,166.27"/>
            <filter val="R$ 96,234.46"/>
            <filter val="R$ 977,995.99"/>
            <filter val="R$ 978,638.13"/>
            <filter val="R$ 98,754.33"/>
            <filter val="R$ 98,937.03"/>
            <filter val="R$ 983,365.96"/>
            <filter val="R$ 990,177.55"/>
            <filter val="R$ 992,536.72"/>
            <filter val="R$ 996,713.38"/>
          </filters>
        </filterColumn>
      </autoFilter>
    </customSheetView>
    <customSheetView guid="{F7FE2BE4-900A-43F6-8C94-35005727D36A}" filter="1" showAutoFilter="1">
      <pageMargins left="0" right="0" top="0" bottom="0" header="0" footer="0"/>
      <autoFilter ref="K2:K1093" xr:uid="{BC122CD9-D3EF-44C3-99AB-90C6AAF73E16}">
        <filterColumn colId="0">
          <filters>
            <filter val="01/02/2023"/>
            <filter val="01/02/2024"/>
            <filter val="01/04/2024"/>
            <filter val="01/04/2025"/>
            <filter val="01/07/2024"/>
            <filter val="01/07/2025"/>
            <filter val="01/08/2023"/>
            <filter val="01/08/2025"/>
            <filter val="01/09/2023"/>
            <filter val="01/10/2024"/>
            <filter val="01/12/2022"/>
            <filter val="01/12/2023"/>
            <filter val="01/12/2025"/>
            <filter val="02/01/2023"/>
            <filter val="02/01/2024"/>
            <filter val="02/01/2025"/>
            <filter val="02/02/2023"/>
            <filter val="02/03/2023"/>
            <filter val="02/05/2023"/>
            <filter val="02/05/2024"/>
            <filter val="02/06/2025"/>
            <filter val="02/07/2024"/>
            <filter val="02/08/2023"/>
            <filter val="02/08/2024"/>
            <filter val="02/09/2025"/>
            <filter val="02/10/2023"/>
            <filter val="03/01/2023"/>
            <filter val="03/02/2023"/>
            <filter val="03/02/2025"/>
            <filter val="03/03/2023"/>
            <filter val="03/04/2024"/>
            <filter val="03/04/2025"/>
            <filter val="03/05/2023"/>
            <filter val="03/05/2024"/>
            <filter val="03/06/2024"/>
            <filter val="03/06/2025"/>
            <filter val="03/07/2024"/>
            <filter val="03/07/2025"/>
            <filter val="03/08/2023"/>
            <filter val="03/10/2023"/>
            <filter val="03/10/2024"/>
            <filter val="03/11/2023"/>
            <filter val="03/11/2025"/>
            <filter val="04/02/2025"/>
            <filter val="04/03/2024"/>
            <filter val="04/04/2023"/>
            <filter val="04/04/2024"/>
            <filter val="04/06/2024"/>
            <filter val="04/06/2025"/>
            <filter val="04/08/2023"/>
            <filter val="04/09/2023"/>
            <filter val="04/09/2024"/>
            <filter val="04/09/2025"/>
            <filter val="04/10/2023"/>
            <filter val="04/11/2024"/>
            <filter val="04/12/2023"/>
            <filter val="04/12/2024"/>
            <filter val="04/12/2025"/>
            <filter val="05/01/2023"/>
            <filter val="05/01/2024"/>
            <filter val="05/01/2026"/>
            <filter val="05/02/2024"/>
            <filter val="05/02/2025"/>
            <filter val="05/03/2024"/>
            <filter val="05/04/2023"/>
            <filter val="05/04/2024"/>
            <filter val="05/05/2025"/>
            <filter val="05/06/2024"/>
            <filter val="05/09/2023"/>
            <filter val="05/10/2023"/>
            <filter val="05/11/2025"/>
            <filter val="05/12/2023"/>
            <filter val="06/01/2023"/>
            <filter val="06/01/2026"/>
            <filter val="06/02/2024"/>
            <filter val="06/02/2025"/>
            <filter val="06/03/2023"/>
            <filter val="06/03/2024"/>
            <filter val="06/04/2023"/>
            <filter val="06/05/2024"/>
            <filter val="06/06/2024"/>
            <filter val="06/06/2025"/>
            <filter val="06/09/2023"/>
            <filter val="06/11/2023"/>
            <filter val="06/11/2024"/>
            <filter val="06/12/2023"/>
            <filter val="07/02/2023"/>
            <filter val="07/02/2025"/>
            <filter val="07/04/2025"/>
            <filter val="07/05/2024"/>
            <filter val="07/05/2025"/>
            <filter val="07/06/2024"/>
            <filter val="07/07/2025"/>
            <filter val="07/08/2023"/>
            <filter val="07/10/2024"/>
            <filter val="07/11/2024"/>
            <filter val="07/11/2025"/>
            <filter val="07/12/2023"/>
            <filter val="08/01/2025"/>
            <filter val="08/01/2026"/>
            <filter val="08/02/2023"/>
            <filter val="08/02/2024"/>
            <filter val="08/03/2023"/>
            <filter val="08/03/2024"/>
            <filter val="08/04/2024"/>
            <filter val="08/04/2025"/>
            <filter val="08/05/2025"/>
            <filter val="08/07/2025"/>
            <filter val="08/09/2023"/>
            <filter val="08/10/2024"/>
            <filter val="08/10/2025"/>
            <filter val="08/11/2023"/>
            <filter val="08/11/2024"/>
            <filter val="08/12/2022"/>
            <filter val="08/12/2023"/>
            <filter val="09/01/2023"/>
            <filter val="09/01/2025"/>
            <filter val="09/02/2023"/>
            <filter val="09/02/2024"/>
            <filter val="09/04/2024"/>
            <filter val="09/04/2025"/>
            <filter val="09/05/2024"/>
            <filter val="09/08/2024"/>
            <filter val="09/09/2024"/>
            <filter val="09/09/2025"/>
            <filter val="09/10/2023"/>
            <filter val="09/10/2024"/>
            <filter val="09/11/2022"/>
            <filter val="10/01/2023"/>
            <filter val="10/01/2024"/>
            <filter val="10/02/2025"/>
            <filter val="10/03/2023"/>
            <filter val="10/03/2025"/>
            <filter val="10/04/2024"/>
            <filter val="10/04/2025"/>
            <filter val="10/05/2024"/>
            <filter val="10/06/2024"/>
            <filter val="10/07/2024"/>
            <filter val="10/07/2025"/>
            <filter val="10/08/2023"/>
            <filter val="10/09/2024"/>
            <filter val="10/09/2025"/>
            <filter val="10/10/2023"/>
            <filter val="10/10/2024"/>
            <filter val="10/10/2025"/>
            <filter val="10/11/2023"/>
            <filter val="10/12/2024"/>
            <filter val="10/12/2025"/>
            <filter val="11/02/2025"/>
            <filter val="11/03/2023"/>
            <filter val="11/03/2024"/>
            <filter val="11/04/2024"/>
            <filter val="11/06/2024"/>
            <filter val="11/06/2025"/>
            <filter val="11/07/2023"/>
            <filter val="11/08/2023"/>
            <filter val="11/08/2025"/>
            <filter val="11/09/2023"/>
            <filter val="11/09/2024"/>
            <filter val="11/10/2023"/>
            <filter val="11/10/2024"/>
            <filter val="11/11/2024"/>
            <filter val="11/12/2023"/>
            <filter val="11/12/2024"/>
            <filter val="11/12/2025"/>
            <filter val="12/01/2023"/>
            <filter val="12/02/2025"/>
            <filter val="12/03/2024"/>
            <filter val="12/03/2025"/>
            <filter val="12/04/2023"/>
            <filter val="12/04/2024"/>
            <filter val="12/05/2023"/>
            <filter val="12/06/2024"/>
            <filter val="12/08/2024"/>
            <filter val="12/09/2024"/>
            <filter val="12/12/2024"/>
            <filter val="12/12/2025"/>
            <filter val="13/01/2025"/>
            <filter val="13/01/2026"/>
            <filter val="13/02/2023"/>
            <filter val="13/02/2025"/>
            <filter val="13/03/2024"/>
            <filter val="13/03/2025"/>
            <filter val="13/04/2023"/>
            <filter val="13/05/2025"/>
            <filter val="13/06/2024"/>
            <filter val="13/07/2023"/>
            <filter val="13/09/2023"/>
            <filter val="13/09/2024"/>
            <filter val="13/10/2023"/>
            <filter val="13/11/2025"/>
            <filter val="13/12/2024"/>
            <filter val="14/02/2023"/>
            <filter val="14/03/2023"/>
            <filter val="14/03/2024"/>
            <filter val="14/03/2025"/>
            <filter val="14/04/2023"/>
            <filter val="14/05/2024"/>
            <filter val="14/06/2024"/>
            <filter val="14/07/2025"/>
            <filter val="14/08/2024"/>
            <filter val="14/09/2023"/>
            <filter val="14/10/2024"/>
            <filter val="14/11/2023"/>
            <filter val="14/11/2024"/>
            <filter val="15/01/2024"/>
            <filter val="15/01/2025"/>
            <filter val="15/02/2022"/>
            <filter val="15/02/2024"/>
            <filter val="15/03/2023"/>
            <filter val="15/05/2023"/>
            <filter val="15/05/2024"/>
            <filter val="15/06/2023"/>
            <filter val="15/07/2024"/>
            <filter val="15/08/2023"/>
            <filter val="15/08/2024"/>
            <filter val="15/09/2023"/>
            <filter val="15/09/2025"/>
            <filter val="15/10/2024"/>
            <filter val="15/10/2025"/>
            <filter val="16/01/2025"/>
            <filter val="16/02/2023"/>
            <filter val="16/02/2024"/>
            <filter val="16/03/2023"/>
            <filter val="16/04/2024"/>
            <filter val="16/05/2023"/>
            <filter val="16/06/2023"/>
            <filter val="16/06/2025"/>
            <filter val="16/07/2025"/>
            <filter val="16/08/2024"/>
            <filter val="16/09/2024"/>
            <filter val="16/09/2025"/>
            <filter val="16/11/2023"/>
            <filter val="16/12/2024"/>
            <filter val="16/12/2025"/>
            <filter val="17/01/2023"/>
            <filter val="17/01/2024"/>
            <filter val="17/02/2025"/>
            <filter val="17/03/2023"/>
            <filter val="17/03/2025"/>
            <filter val="17/04/2023"/>
            <filter val="17/04/2025"/>
            <filter val="17/06/2024"/>
            <filter val="17/06/2025"/>
            <filter val="17/07/2024"/>
            <filter val="17/09/2024"/>
            <filter val="17/09/2025"/>
            <filter val="17/10/2024"/>
            <filter val="17/11/2023"/>
            <filter val="18/01/2023"/>
            <filter val="18/01/2024"/>
            <filter val="18/02/2025"/>
            <filter val="18/03/2024"/>
            <filter val="18/04/2023"/>
            <filter val="18/06/2024"/>
            <filter val="18/06/2025"/>
            <filter val="18/08/2023"/>
            <filter val="18/09/2023"/>
            <filter val="18/09/2025"/>
            <filter val="18/10/2023"/>
            <filter val="18/11/2024"/>
            <filter val="18/12/2023"/>
            <filter val="18/12/2024"/>
            <filter val="18/12/2025"/>
            <filter val="19/01/2023"/>
            <filter val="19/02/2024"/>
            <filter val="19/03/2024"/>
            <filter val="19/04/2023"/>
            <filter val="19/04/2024"/>
            <filter val="19/06/2024"/>
            <filter val="19/08/2024"/>
            <filter val="19/09/2023"/>
            <filter val="19/10/2023"/>
            <filter val="19/11/2024"/>
            <filter val="19/12/2023"/>
            <filter val="19/12/2024"/>
            <filter val="19/12/2025"/>
            <filter val="20/01/2023"/>
            <filter val="20/01/2025"/>
            <filter val="20/02/2023"/>
            <filter val="20/02/2025"/>
            <filter val="20/03/2023"/>
            <filter val="20/03/2024"/>
            <filter val="20/03/2025"/>
            <filter val="20/04/2023"/>
            <filter val="20/05/2024"/>
            <filter val="20/06/2024"/>
            <filter val="20/06/2025"/>
            <filter val="20/08/2023"/>
            <filter val="20/09/2023"/>
            <filter val="20/10/2023"/>
            <filter val="20/10/2025"/>
            <filter val="20/11/2023"/>
            <filter val="20/12/2023"/>
            <filter val="20/12/2024"/>
            <filter val="21/02/2024"/>
            <filter val="21/02/2025"/>
            <filter val="21/03/2023"/>
            <filter val="21/05/2025"/>
            <filter val="21/06/2024"/>
            <filter val="21/08/2023"/>
            <filter val="21/08/2025"/>
            <filter val="21/09/2023"/>
            <filter val="21/10/2024"/>
            <filter val="21/10/2025"/>
            <filter val="21/11/2024"/>
            <filter val="21/11/2025"/>
            <filter val="21/12/2023"/>
            <filter val="22/01/2024"/>
            <filter val="22/02/2023"/>
            <filter val="22/02/2024"/>
            <filter val="22/03/2023"/>
            <filter val="22/03/2024"/>
            <filter val="22/07/2024"/>
            <filter val="22/08/2023"/>
            <filter val="22/09/2023"/>
            <filter val="22/10/2024"/>
            <filter val="22/10/2025"/>
            <filter val="22/11/2023"/>
            <filter val="22/12/2023"/>
            <filter val="22/12/2025"/>
            <filter val="23/01/2023"/>
            <filter val="23/01/2024"/>
            <filter val="23/02/2024"/>
            <filter val="23/04/2024"/>
            <filter val="23/05/2023"/>
            <filter val="23/05/2025"/>
            <filter val="23/07/2025"/>
            <filter val="23/09/2024"/>
            <filter val="23/09/2025"/>
            <filter val="23/10/2023"/>
            <filter val="23/11/2023"/>
            <filter val="23/12/2025"/>
            <filter val="24/01/2023"/>
            <filter val="24/01/2024"/>
            <filter val="24/01/2025"/>
            <filter val="24/02/2023"/>
            <filter val="24/03/2023"/>
            <filter val="24/04/2023"/>
            <filter val="24/04/2025"/>
            <filter val="24/06/2024"/>
            <filter val="24/06/2025"/>
            <filter val="24/07/2023"/>
            <filter val="24/08/2023"/>
            <filter val="24/09/2025"/>
            <filter val="24/10/2023"/>
            <filter val="24/11/2023"/>
            <filter val="24/11/2025"/>
            <filter val="25/01/2023"/>
            <filter val="25/02/2025"/>
            <filter val="25/03/2024"/>
            <filter val="25/03/2025"/>
            <filter val="25/04/2023"/>
            <filter val="25/04/2024"/>
            <filter val="25/04/2025"/>
            <filter val="25/05/2023"/>
            <filter val="25/06/2024"/>
            <filter val="25/07/2024"/>
            <filter val="25/08/2023"/>
            <filter val="25/08/2025"/>
            <filter val="25/09/2024"/>
            <filter val="25/09/2025"/>
            <filter val="25/11/2023"/>
            <filter val="26/02/2024"/>
            <filter val="26/03/2024"/>
            <filter val="26/03/2025"/>
            <filter val="26/04/2023"/>
            <filter val="26/04/2024"/>
            <filter val="26/06/2024"/>
            <filter val="26/09/2025"/>
            <filter val="26/10/2023"/>
            <filter val="26/12/2024"/>
            <filter val="27/01/2023"/>
            <filter val="27/02/2024"/>
            <filter val="27/03/2025"/>
            <filter val="27/05/2024"/>
            <filter val="27/06/2024"/>
            <filter val="27/06/2025"/>
            <filter val="27/08/2025"/>
            <filter val="27/09/2023"/>
            <filter val="27/09/2024"/>
            <filter val="27/10/2023"/>
            <filter val="27/10/2025"/>
            <filter val="27/11/2023"/>
            <filter val="27/11/2024"/>
            <filter val="28/01/2025"/>
            <filter val="28/02/2023"/>
            <filter val="28/02/2024"/>
            <filter val="28/02/2025"/>
            <filter val="28/03/2023"/>
            <filter val="28/05/2024"/>
            <filter val="28/08/2023"/>
            <filter val="28/09/2023"/>
            <filter val="29/01/2023"/>
            <filter val="29/03/2023"/>
            <filter val="29/05/2024"/>
            <filter val="29/05/2025"/>
            <filter val="29/08/2025"/>
            <filter val="29/09/2023"/>
            <filter val="29/11/2023"/>
            <filter val="29/11/2024"/>
            <filter val="29/12/2025"/>
            <filter val="30/01/2023"/>
            <filter val="30/01/2024"/>
            <filter val="30/03/2023"/>
            <filter val="30/04/2024"/>
            <filter val="30/04/2025"/>
            <filter val="30/05/2023"/>
            <filter val="30/05/2025"/>
            <filter val="30/06/2023"/>
            <filter val="30/07/2024"/>
            <filter val="30/08/2023"/>
            <filter val="30/09/2024"/>
            <filter val="30/10/2023"/>
            <filter val="30/10/2025"/>
            <filter val="30/11/2023"/>
            <filter val="31/01/2023"/>
            <filter val="31/01/2024"/>
            <filter val="31/01/2025"/>
            <filter val="31/03/2023"/>
            <filter val="31/05/2023"/>
            <filter val="31/07/2024"/>
            <filter val="31/07/2025"/>
            <filter val="31/10/2023"/>
            <filter val="31/10/2025"/>
          </filters>
        </filterColumn>
      </autoFilter>
    </customSheetView>
    <customSheetView guid="{3E739D3D-4612-4A7D-B065-193217A121C9}" filter="1" showAutoFilter="1">
      <pageMargins left="0" right="0" top="0" bottom="0" header="0" footer="0"/>
      <autoFilter ref="A2:AW1084" xr:uid="{DD9C5261-B582-4B86-992B-238226F3888F}">
        <filterColumn colId="7">
          <filters>
            <filter val="Ativo"/>
            <filter val="Encerrado"/>
            <filter val="Pode Operar"/>
          </filters>
        </filterColumn>
        <filterColumn colId="12">
          <filters>
            <filter val="CON/ COADM"/>
            <filter val="DIV/ COADM"/>
            <filter val="EQT/ COADM"/>
            <filter val="INC"/>
            <filter val="INC CP"/>
            <filter val="INC CP/ COADM"/>
            <filter val="INC/ COADM"/>
            <filter val="MOD/ COADM"/>
            <filter val="MOD/ PREV MOD/ COADM"/>
            <filter val="MONT/ COADM"/>
            <filter val="MULT PRIV"/>
            <filter val="MULT PRIV/ CO ADM"/>
            <filter val="STOCK"/>
          </filters>
        </filterColumn>
        <filterColumn colId="48">
          <filters>
            <filter val="R$ 0.00"/>
            <filter val="R$ 0.01"/>
            <filter val="R$ 0.09"/>
            <filter val="R$ 0.14"/>
            <filter val="R$ 0.15"/>
            <filter val="R$ 0.16"/>
            <filter val="R$ 0.39"/>
            <filter val="R$ 0.78"/>
            <filter val="R$ 0.89"/>
            <filter val="R$ 1,000,991.59"/>
            <filter val="R$ 1,001.59"/>
            <filter val="R$ 1,009,941.62"/>
            <filter val="R$ 1,042,902.05"/>
            <filter val="R$ 1,047,159.73"/>
            <filter val="R$ 1,053,898.68"/>
            <filter val="R$ 1,063,307.91"/>
            <filter val="R$ 1,064,896.89"/>
            <filter val="R$ 1,066,970.04"/>
            <filter val="R$ 1,069,095.93"/>
            <filter val="R$ 1,077,534.52"/>
            <filter val="R$ 1,119.31"/>
            <filter val="R$ 1,120,231.44"/>
            <filter val="R$ 1,126.35"/>
            <filter val="R$ 1,153,441.88"/>
            <filter val="R$ 1,158,198.34"/>
            <filter val="R$ 1,181,453.01"/>
            <filter val="R$ 1,200,219.25"/>
            <filter val="R$ 1,239,870.15"/>
            <filter val="R$ 1,242,953.36"/>
            <filter val="R$ 1,255,013.76"/>
            <filter val="R$ 1,277,140.44"/>
            <filter val="R$ 1,289,543.74"/>
            <filter val="R$ 1,293,675.25"/>
            <filter val="R$ 1,301.52"/>
            <filter val="R$ 1,303,972.44"/>
            <filter val="R$ 1,312,108.37"/>
            <filter val="R$ 1,346,659.30"/>
            <filter val="R$ 1,365,082.92"/>
            <filter val="R$ 1,384,069.46"/>
            <filter val="R$ 1,426,979.35"/>
            <filter val="R$ 1,428,887.09"/>
            <filter val="R$ 1,431,243.69"/>
            <filter val="R$ 1,444,199.99"/>
            <filter val="R$ 1,459,910.20"/>
            <filter val="R$ 1,464.62"/>
            <filter val="R$ 1,485,219.16"/>
            <filter val="R$ 1,504.25"/>
            <filter val="R$ 1,563,469.43"/>
            <filter val="R$ 1,596,659.71"/>
            <filter val="R$ 1,609,197.92"/>
            <filter val="R$ 1,633,210.16"/>
            <filter val="R$ 1,639,208.17"/>
            <filter val="R$ 1,650,026.08"/>
            <filter val="R$ 1,698,417.81"/>
            <filter val="R$ 1,806,232.88"/>
            <filter val="R$ 1,823,412.12"/>
            <filter val="R$ 1,833,654.69"/>
            <filter val="R$ 1,882,119.94"/>
            <filter val="R$ 1,890,115.85"/>
            <filter val="R$ 1,998,699.75"/>
            <filter val="R$ 1.06"/>
            <filter val="R$ 10,117.07"/>
            <filter val="R$ 10,727.74"/>
            <filter val="R$ 101,205.41"/>
            <filter val="R$ 101,250.66"/>
            <filter val="R$ 101,505.39"/>
            <filter val="R$ 102,329.32"/>
            <filter val="R$ 102,513.19"/>
            <filter val="R$ 102,856.91"/>
            <filter val="R$ 103,054.56"/>
            <filter val="R$ 103,114.97"/>
            <filter val="R$ 103,594.28"/>
            <filter val="R$ 104,300.00"/>
            <filter val="R$ 104,327.22"/>
            <filter val="R$ 104,351.34"/>
            <filter val="R$ 104,501.31"/>
            <filter val="R$ 104,663.11"/>
            <filter val="R$ 104,723.20"/>
            <filter val="R$ 104,868.18"/>
            <filter val="R$ 105,164.21"/>
            <filter val="R$ 107,205.88"/>
            <filter val="R$ 107,989.36"/>
            <filter val="R$ 108,303.40"/>
            <filter val="R$ 109,137.66"/>
            <filter val="R$ 11,431.85"/>
            <filter val="R$ 11,512.46"/>
            <filter val="R$ 111,686.15"/>
            <filter val="R$ 111,940.50"/>
            <filter val="R$ 112,663.48"/>
            <filter val="R$ 114,381.89"/>
            <filter val="R$ 114,402.67"/>
            <filter val="R$ 114,480.81"/>
            <filter val="R$ 115,044.75"/>
            <filter val="R$ 117,049.00"/>
            <filter val="R$ 119,862.32"/>
            <filter val="R$ 119,901.52"/>
            <filter val="R$ 121,658.89"/>
            <filter val="R$ 121,852.18"/>
            <filter val="R$ 124,791.66"/>
            <filter val="R$ 125,398.61"/>
            <filter val="R$ 126,220.89"/>
            <filter val="R$ 129,147.12"/>
            <filter val="R$ 129,147.26"/>
            <filter val="R$ 13,068.91"/>
            <filter val="R$ 13,716.42"/>
            <filter val="R$ 130,282.38"/>
            <filter val="R$ 131,805.24"/>
            <filter val="R$ 132,130.09"/>
            <filter val="R$ 133,503.57"/>
            <filter val="R$ 134,379.96"/>
            <filter val="R$ 134,780.95"/>
            <filter val="R$ 135,941.03"/>
            <filter val="R$ 136,394.09"/>
            <filter val="R$ 137,351.63"/>
            <filter val="R$ 137,435.10"/>
            <filter val="R$ 137,673.40"/>
            <filter val="R$ 137.32"/>
            <filter val="R$ 139,093.47"/>
            <filter val="R$ 139,736.26"/>
            <filter val="R$ 14,230.92"/>
            <filter val="R$ 14,747.84"/>
            <filter val="R$ 14.67"/>
            <filter val="R$ 140,246.64"/>
            <filter val="R$ 140,285.00"/>
            <filter val="R$ 140,287.07"/>
            <filter val="R$ 140,596.37"/>
            <filter val="R$ 140.59"/>
            <filter val="R$ 141,341.87"/>
            <filter val="R$ 141,659.22"/>
            <filter val="R$ 142,733.52"/>
            <filter val="R$ 144,284.80"/>
            <filter val="R$ 144,495.55"/>
            <filter val="R$ 146,841.97"/>
            <filter val="R$ 146.74"/>
            <filter val="R$ 149,376.34"/>
            <filter val="R$ 15,351.73"/>
            <filter val="R$ 15,935.10"/>
            <filter val="R$ 150,464.07"/>
            <filter val="R$ 150,736.95"/>
            <filter val="R$ 152,100.88"/>
            <filter val="R$ 153,435.44"/>
            <filter val="R$ 154,454.13"/>
            <filter val="R$ 154,923.63"/>
            <filter val="R$ 157,321.63"/>
            <filter val="R$ 158,703.75"/>
            <filter val="R$ 158,825.91"/>
            <filter val="R$ 159,902.35"/>
            <filter val="R$ 16,523,890.02"/>
            <filter val="R$ 16,731.64"/>
            <filter val="R$ 16.18"/>
            <filter val="R$ 160,214.99"/>
            <filter val="R$ 160,286.49"/>
            <filter val="R$ 160,710.31"/>
            <filter val="R$ 162,158.77"/>
            <filter val="R$ 162,955.89"/>
            <filter val="R$ 163,478.71"/>
            <filter val="R$ 163,997.52"/>
            <filter val="R$ 164,501.49"/>
            <filter val="R$ 167,672.40"/>
            <filter val="R$ 167,903.82"/>
            <filter val="R$ 168,695.58"/>
            <filter val="R$ 169,309.23"/>
            <filter val="R$ 17,659.52"/>
            <filter val="R$ 170.67"/>
            <filter val="R$ 171,477.40"/>
            <filter val="R$ 171.31"/>
            <filter val="R$ 172,384.33"/>
            <filter val="R$ 174,526.13"/>
            <filter val="R$ 176,404.80"/>
            <filter val="R$ 177,375.23"/>
            <filter val="R$ 179,899.19"/>
            <filter val="R$ 18,586.32"/>
            <filter val="R$ 18.77"/>
            <filter val="R$ 180,938.03"/>
            <filter val="R$ 185,296.17"/>
            <filter val="R$ 187,596.72"/>
            <filter val="R$ 191,029.53"/>
            <filter val="R$ 193,588.35"/>
            <filter val="R$ 193,638.73"/>
            <filter val="R$ 194,411.18"/>
            <filter val="R$ 194,882.55"/>
            <filter val="R$ 196,353.37"/>
            <filter val="R$ 2,007,276.64"/>
            <filter val="R$ 2,050.86"/>
            <filter val="R$ 2,130,656.17"/>
            <filter val="R$ 2,137,864.26"/>
            <filter val="R$ 2,241,552.06"/>
            <filter val="R$ 2,244,094.95"/>
            <filter val="R$ 2,277,301.51"/>
            <filter val="R$ 2,325.06"/>
            <filter val="R$ 2,426,511.51"/>
            <filter val="R$ 2,503.58"/>
            <filter val="R$ 2,546.54"/>
            <filter val="R$ 2,584,018.75"/>
            <filter val="R$ 2,756,883.68"/>
            <filter val="R$ 2,795,806.80"/>
            <filter val="R$ 2,839,628.15"/>
            <filter val="R$ 2,847,042.41"/>
            <filter val="R$ 20,653.07"/>
            <filter val="R$ 20.72"/>
            <filter val="R$ 200,155.63"/>
            <filter val="R$ 203,035.19"/>
            <filter val="R$ 203,143.75"/>
            <filter val="R$ 203,648.03"/>
            <filter val="R$ 204,538.43"/>
            <filter val="R$ 205,686.07"/>
            <filter val="R$ 205,870.37"/>
            <filter val="R$ 206,222.73"/>
            <filter val="R$ 207,011.53"/>
            <filter val="R$ 207,262.24"/>
            <filter val="R$ 209,678.10"/>
            <filter val="R$ 209.26"/>
            <filter val="R$ 21,052.45"/>
            <filter val="R$ 210,854.24"/>
            <filter val="R$ 210,892.59"/>
            <filter val="R$ 214,690.42"/>
            <filter val="R$ 216,644.68"/>
            <filter val="R$ 22,583.51"/>
            <filter val="R$ 220,034.61"/>
            <filter val="R$ 220,877.83"/>
            <filter val="R$ 223,808.12"/>
            <filter val="R$ 225.51"/>
            <filter val="R$ 225.57"/>
            <filter val="R$ 226,091.54"/>
            <filter val="R$ 227,436.61"/>
            <filter val="R$ 229,850.74"/>
            <filter val="R$ 23,577.54"/>
            <filter val="R$ 237,902.88"/>
            <filter val="R$ 238,572.20"/>
            <filter val="R$ 240,282.31"/>
            <filter val="R$ 240,651.02"/>
            <filter val="R$ 241,158.97"/>
            <filter val="R$ 243,986.61"/>
            <filter val="R$ 244,225.82"/>
            <filter val="R$ 245,498.57"/>
            <filter val="R$ 245,889.80"/>
            <filter val="R$ 246,738.52"/>
            <filter val="R$ 247,051.88"/>
            <filter val="R$ 252,228.48"/>
            <filter val="R$ 252,690.67"/>
            <filter val="R$ 254,560.55"/>
            <filter val="R$ 256,018.70"/>
            <filter val="R$ 256,538.48"/>
            <filter val="R$ 26,561.96"/>
            <filter val="R$ 26,596.87"/>
            <filter val="R$ 26,929.96"/>
            <filter val="R$ 262,611.44"/>
            <filter val="R$ 264,749.49"/>
            <filter val="R$ 265,209.88"/>
            <filter val="R$ 265,297.84"/>
            <filter val="R$ 265,516.80"/>
            <filter val="R$ 267,033.97"/>
            <filter val="R$ 267,336.43"/>
            <filter val="R$ 268,734.95"/>
            <filter val="R$ 273,707.75"/>
            <filter val="R$ 276,789.02"/>
            <filter val="R$ 278,391.66"/>
            <filter val="R$ 279,463.95"/>
            <filter val="R$ 28,025.44"/>
            <filter val="R$ 28,193.34"/>
            <filter val="R$ 282,668.50"/>
            <filter val="R$ 283,791.34"/>
            <filter val="R$ 284.91"/>
            <filter val="R$ 286,943.12"/>
            <filter val="R$ 289,037.78"/>
            <filter val="R$ 29,309.64"/>
            <filter val="R$ 294,500.57"/>
            <filter val="R$ 294,925.98"/>
            <filter val="R$ 297,895.15"/>
            <filter val="R$ 3,023,601.99"/>
            <filter val="R$ 3,214,698.19"/>
            <filter val="R$ 3,322.39"/>
            <filter val="R$ 3,361,260.34"/>
            <filter val="R$ 3,431,369.99"/>
            <filter val="R$ 3,755,707.41"/>
            <filter val="R$ 3,819,221.34"/>
            <filter val="R$ 3,839,579.00"/>
            <filter val="R$ 30,257.60"/>
            <filter val="R$ 30,358.37"/>
            <filter val="R$ 30.02"/>
            <filter val="R$ 302,703.59"/>
            <filter val="R$ 306,615.91"/>
            <filter val="R$ 31,005.58"/>
            <filter val="R$ 31,477.15"/>
            <filter val="R$ 313,290.90"/>
            <filter val="R$ 313,646.34"/>
            <filter val="R$ 313,991.54"/>
            <filter val="R$ 316,403.92"/>
            <filter val="R$ 32,287.35"/>
            <filter val="R$ 320,036.63"/>
            <filter val="R$ 323,405.42"/>
            <filter val="R$ 325,439.29"/>
            <filter val="R$ 325,691.07"/>
            <filter val="R$ 327,583.28"/>
            <filter val="R$ 33,853.44"/>
            <filter val="R$ 33,983.76"/>
            <filter val="R$ 33,992.91"/>
            <filter val="R$ 33.05"/>
            <filter val="R$ 330,757.68"/>
            <filter val="R$ 334,298.87"/>
            <filter val="R$ 334,953.40"/>
            <filter val="R$ 336,551.07"/>
            <filter val="R$ 337,962.60"/>
            <filter val="R$ 342,743.89"/>
            <filter val="R$ 345,713.60"/>
            <filter val="R$ 346,764.92"/>
            <filter val="R$ 347,570.86"/>
            <filter val="R$ 348,379.66"/>
            <filter val="R$ 35,274.58"/>
            <filter val="R$ 35,304.36"/>
            <filter val="R$ 35,463.24"/>
            <filter val="R$ 35,820.13"/>
            <filter val="R$ 35.29"/>
            <filter val="R$ 350,725.59"/>
            <filter val="R$ 351,339.11"/>
            <filter val="R$ 352,782.73"/>
            <filter val="R$ 353.00"/>
            <filter val="R$ 356,098.04"/>
            <filter val="R$ 357,875.71"/>
            <filter val="R$ 361,097.71"/>
            <filter val="R$ 364,082.52"/>
            <filter val="R$ 365,697.18"/>
            <filter val="R$ 366,231.42"/>
            <filter val="R$ 368,564.59"/>
            <filter val="R$ 368,641.85"/>
            <filter val="R$ 374,712.09"/>
            <filter val="R$ 376,620.20"/>
            <filter val="R$ 377,147.44"/>
            <filter val="R$ 378,431.57"/>
            <filter val="R$ 388,775.00"/>
            <filter val="R$ 390,387.65"/>
            <filter val="R$ 394,597.36"/>
            <filter val="R$ 396,652.54"/>
            <filter val="R$ 4,039,125.48"/>
            <filter val="R$ 4,295,934.78"/>
            <filter val="R$ 4,312,662.84"/>
            <filter val="R$ 4,397,477.29"/>
            <filter val="R$ 4,460,551.74"/>
            <filter val="R$ 4,485,768.68"/>
            <filter val="R$ 40,194.98"/>
            <filter val="R$ 404,628.32"/>
            <filter val="R$ 407,678.64"/>
            <filter val="R$ 41,435.87"/>
            <filter val="R$ 41,967.58"/>
            <filter val="R$ 42,685.50"/>
            <filter val="R$ 42,896.63"/>
            <filter val="R$ 421,870.60"/>
            <filter val="R$ 425,000.19"/>
            <filter val="R$ 426,797.43"/>
            <filter val="R$ 427,208.00"/>
            <filter val="R$ 427,432.58"/>
            <filter val="R$ 428,542.58"/>
            <filter val="R$ 43,052.43"/>
            <filter val="R$ 43,467.77"/>
            <filter val="R$ 430,801.34"/>
            <filter val="R$ 430,912.15"/>
            <filter val="R$ 435.94"/>
            <filter val="R$ 436,678.49"/>
            <filter val="R$ 438,530.77"/>
            <filter val="R$ 44,497.80"/>
            <filter val="R$ 443,417.86"/>
            <filter val="R$ 450,866.14"/>
            <filter val="R$ 450.54"/>
            <filter val="R$ 456,589.58"/>
            <filter val="R$ 46,392.12"/>
            <filter val="R$ 460,657.48"/>
            <filter val="R$ 461,792.47"/>
            <filter val="R$ 463,317.50"/>
            <filter val="R$ 466,830.27"/>
            <filter val="R$ 473,331.37"/>
            <filter val="R$ 48,297.43"/>
            <filter val="R$ 48,585.14"/>
            <filter val="R$ 48,852.60"/>
            <filter val="R$ 492,167.63"/>
            <filter val="R$ 493,164.06"/>
            <filter val="R$ 494,699.39"/>
            <filter val="R$ 5,028.95"/>
            <filter val="R$ 5,194.78"/>
            <filter val="R$ 5,612.56"/>
            <filter val="R$ 5,744.77"/>
            <filter val="R$ 5,818,801.75"/>
            <filter val="R$ 5.55"/>
            <filter val="R$ 50,061.93"/>
            <filter val="R$ 50,269.97"/>
            <filter val="R$ 50,397.13"/>
            <filter val="R$ 50,930.79"/>
            <filter val="R$ 50.26"/>
            <filter val="R$ 500,890.57"/>
            <filter val="R$ 501,159.88"/>
            <filter val="R$ 504,924.71"/>
            <filter val="R$ 51,013.45"/>
            <filter val="R$ 51,054.53"/>
            <filter val="R$ 510,606.55"/>
            <filter val="R$ 519,788.90"/>
            <filter val="R$ 525,434.07"/>
            <filter val="R$ 525,472.70"/>
            <filter val="R$ 527,081.27"/>
            <filter val="R$ 53,505.91"/>
            <filter val="R$ 53,523.46"/>
            <filter val="R$ 530,776.49"/>
            <filter val="R$ 536,257.18"/>
            <filter val="R$ 54,098.91"/>
            <filter val="R$ 54,451.84"/>
            <filter val="R$ 540,494.52"/>
            <filter val="R$ 541,516.93"/>
            <filter val="R$ 545,892.12"/>
            <filter val="R$ 55,930.45"/>
            <filter val="R$ 550,429.91"/>
            <filter val="R$ 550,621.00"/>
            <filter val="R$ 551.26"/>
            <filter val="R$ 554,805.92"/>
            <filter val="R$ 555,199.17"/>
            <filter val="R$ 56,802.00"/>
            <filter val="R$ 567,918.27"/>
            <filter val="R$ 567.70"/>
            <filter val="R$ 568,342.23"/>
            <filter val="R$ 569,717.36"/>
            <filter val="R$ 57,945.12"/>
            <filter val="R$ 574,327.63"/>
            <filter val="R$ 574,607.37"/>
            <filter val="R$ 577,230.70"/>
            <filter val="R$ 58,076.04"/>
            <filter val="R$ 58,345.64"/>
            <filter val="R$ 58,458.23"/>
            <filter val="R$ 58,668.22"/>
            <filter val="R$ 580.01"/>
            <filter val="R$ 581,827.86"/>
            <filter val="R$ 582,727.07"/>
            <filter val="R$ 586,787.50"/>
            <filter val="R$ 59,694.45"/>
            <filter val="R$ 594,327.36"/>
            <filter val="R$ 6,000.00"/>
            <filter val="R$ 6,155.03"/>
            <filter val="R$ 6,273,001.62"/>
            <filter val="R$ 6,745.71"/>
            <filter val="R$ 6,859.37"/>
            <filter val="R$ 603,404.57"/>
            <filter val="R$ 607,761.38"/>
            <filter val="R$ 608,996.41"/>
            <filter val="R$ 62,837.01"/>
            <filter val="R$ 622,694.76"/>
            <filter val="R$ 623,702.07"/>
            <filter val="R$ 625,486.55"/>
            <filter val="R$ 626,479.97"/>
            <filter val="R$ 626,625.64"/>
            <filter val="R$ 63,760.24"/>
            <filter val="R$ 633,953.26"/>
            <filter val="R$ 640,051.07"/>
            <filter val="R$ 648,589.35"/>
            <filter val="R$ 65,158.14"/>
            <filter val="R$ 655,293.54"/>
            <filter val="R$ 655,720.22"/>
            <filter val="R$ 656,283.35"/>
            <filter val="R$ 66,386.28"/>
            <filter val="R$ 66,405.76"/>
            <filter val="R$ 663,216.71"/>
            <filter val="R$ 663,847.98"/>
            <filter val="R$ 668,407.40"/>
            <filter val="R$ 67,105.66"/>
            <filter val="R$ 676,174.01"/>
            <filter val="R$ 68,035.38"/>
            <filter val="R$ 68,171.38"/>
            <filter val="R$ 68,755.69"/>
            <filter val="R$ 68.39"/>
            <filter val="R$ 680,459.13"/>
            <filter val="R$ 686,867.99"/>
            <filter val="R$ 688,196.81"/>
            <filter val="R$ 69,000.88"/>
            <filter val="R$ 69,098.44"/>
            <filter val="R$ 697,736.76"/>
            <filter val="R$ 7,188.30"/>
            <filter val="R$ 7,292,274.01"/>
            <filter val="R$ 7,323.91"/>
            <filter val="R$ 7,600.49"/>
            <filter val="R$ 703,252.34"/>
            <filter val="R$ 71,720.31"/>
            <filter val="R$ 718,812.51"/>
            <filter val="R$ 73,158.95"/>
            <filter val="R$ 73,840.23"/>
            <filter val="R$ 73.59"/>
            <filter val="R$ 731,594.67"/>
            <filter val="R$ 74,163.19"/>
            <filter val="R$ 74,212.90"/>
            <filter val="R$ 74,734.14"/>
            <filter val="R$ 75,125.82"/>
            <filter val="R$ 759,514.93"/>
            <filter val="R$ 759.00"/>
            <filter val="R$ 76,475.19"/>
            <filter val="R$ 765,575.63"/>
            <filter val="R$ 77,206.92"/>
            <filter val="R$ 77,351.94"/>
            <filter val="R$ 77,652.46"/>
            <filter val="R$ 773,226.21"/>
            <filter val="R$ 778,613.49"/>
            <filter val="R$ 79,278.76"/>
            <filter val="R$ 79,591.77"/>
            <filter val="R$ 8,080,494.59"/>
            <filter val="R$ 801,302.32"/>
            <filter val="R$ 802,110.67"/>
            <filter val="R$ 803,507.43"/>
            <filter val="R$ 807,149.98"/>
            <filter val="R$ 81,039.79"/>
            <filter val="R$ 812,486.91"/>
            <filter val="R$ 815,684.51"/>
            <filter val="R$ 818,622.85"/>
            <filter val="R$ 828,451.96"/>
            <filter val="R$ 829,370.48"/>
            <filter val="R$ 83,186.65"/>
            <filter val="R$ 830,733.73"/>
            <filter val="R$ 836,610.72"/>
            <filter val="R$ 837,618.20"/>
            <filter val="R$ 85,768.99"/>
            <filter val="R$ 850,022.20"/>
            <filter val="R$ 859,210.00"/>
            <filter val="R$ 86,482.09"/>
            <filter val="R$ 86.38"/>
            <filter val="R$ 862,950.86"/>
            <filter val="R$ 863,638.46"/>
            <filter val="R$ 868,861.72"/>
            <filter val="R$ 870,146.90"/>
            <filter val="R$ 874,087.61"/>
            <filter val="R$ 880,475.50"/>
            <filter val="R$ 889,186.44"/>
            <filter val="R$ 89,216.53"/>
            <filter val="R$ 89,381.90"/>
            <filter val="R$ 89,547.54"/>
            <filter val="R$ 892,261.10"/>
            <filter val="R$ 898,278.39"/>
            <filter val="R$ 9,079.50"/>
            <filter val="R$ 9.74"/>
            <filter val="R$ 904,444.35"/>
            <filter val="R$ 929,335.64"/>
            <filter val="R$ 94,987.15"/>
            <filter val="R$ 948,513.33"/>
            <filter val="R$ 955,552.47"/>
            <filter val="R$ 96,166.27"/>
            <filter val="R$ 96,234.46"/>
            <filter val="R$ 977,995.99"/>
            <filter val="R$ 978,638.13"/>
            <filter val="R$ 98,754.33"/>
            <filter val="R$ 98,937.03"/>
            <filter val="R$ 983,365.96"/>
            <filter val="R$ 990,177.55"/>
            <filter val="R$ 992,536.72"/>
            <filter val="R$ 996,713.38"/>
          </filters>
        </filterColumn>
      </autoFilter>
    </customSheetView>
    <customSheetView guid="{1D2CBD60-F563-4C95-AD64-98422B83043F}" filter="1" showAutoFilter="1">
      <pageMargins left="0" right="0" top="0" bottom="0" header="0" footer="0"/>
      <autoFilter ref="A1:AQ1088" xr:uid="{647AF4BB-5690-45A3-8D20-4B7AC3574969}">
        <filterColumn colId="6">
          <filters>
            <filter val="Marcus"/>
            <filter val="Gabriel"/>
          </filters>
        </filterColumn>
        <filterColumn colId="12">
          <filters blank="1">
            <filter val="Carteira"/>
            <filter val="CON/ COADM"/>
            <filter val="CON/ GR"/>
            <filter val="DIV"/>
            <filter val="DIV/ COADM"/>
            <filter val="EQT/ COADM"/>
            <filter val="FII"/>
            <filter val="FUND"/>
            <filter val="INC CP"/>
            <filter val="INC CP/ COADM"/>
            <filter val="INC/ COADM"/>
            <filter val="MOD/ COADM"/>
            <filter val="MOD/ GR"/>
            <filter val="MOD/ PREV MOD/ COADM"/>
            <filter val="MONT"/>
            <filter val="MONT/ COADM"/>
            <filter val="MULT PRIV"/>
            <filter val="MULT PRIV/ CO ADM"/>
            <filter val="PREV ARR"/>
            <filter val="SMLL"/>
            <filter val="STOCK"/>
          </filters>
        </filterColumn>
      </autoFilter>
    </customSheetView>
    <customSheetView guid="{09D69132-6565-4C75-B6C1-799CDAE8D0C1}" filter="1" showAutoFilter="1">
      <pageMargins left="0" right="0" top="0" bottom="0" header="0" footer="0"/>
      <autoFilter ref="A1:AR1084" xr:uid="{382E5774-640E-4B61-A590-B99B70FCE853}"/>
    </customSheetView>
    <customSheetView guid="{423FEFF5-1271-4E5E-909E-F26C45E4687E}" filter="1" showAutoFilter="1">
      <pageMargins left="0" right="0" top="0" bottom="0" header="0" footer="0"/>
      <autoFilter ref="A1:AR1093" xr:uid="{F72DEFAE-4A8D-49CE-8326-AF5AC05EEC15}">
        <filterColumn colId="7">
          <filters>
            <filter val="Ativo"/>
          </filters>
        </filterColumn>
        <filterColumn colId="12">
          <filters blank="1">
            <filter val="Carteira"/>
            <filter val="CON/ COADM"/>
            <filter val="CON/ GR"/>
            <filter val="DIV/ COADM"/>
            <filter val="EQT/ COADM"/>
            <filter val="FUND"/>
            <filter val="INC CP"/>
            <filter val="INC CP/ COADM"/>
            <filter val="INC/ COADM"/>
            <filter val="MOD/ COADM"/>
            <filter val="MOD/ GR"/>
            <filter val="MOD/ PREV MOD/ COADM"/>
            <filter val="MONT"/>
            <filter val="MONT/ COADM"/>
            <filter val="MULT PRIV"/>
            <filter val="MULT PRIV/ CO ADM"/>
            <filter val="STOCK"/>
          </filters>
        </filterColumn>
      </autoFilter>
    </customSheetView>
    <customSheetView guid="{F7A696CE-1C08-47AC-97AB-04922766D35D}" filter="1" showAutoFilter="1">
      <pageMargins left="0" right="0" top="0" bottom="0" header="0" footer="0"/>
      <autoFilter ref="AG2:AG1093" xr:uid="{F85C645F-B715-43AB-9E2E-51F2DF5B9062}"/>
    </customSheetView>
    <customSheetView guid="{48BEEF85-2E21-4F6B-AD21-18C6672F750C}" filter="1" showAutoFilter="1">
      <pageMargins left="0" right="0" top="0" bottom="0" header="0" footer="0"/>
      <autoFilter ref="A1:AR1093" xr:uid="{E7C0B983-B195-4640-8AE3-F7E39775B203}"/>
    </customSheetView>
    <customSheetView guid="{C1014A19-3732-468D-8008-9FAAA22884BA}" filter="1" showAutoFilter="1">
      <pageMargins left="0" right="0" top="0" bottom="0" header="0" footer="0"/>
      <autoFilter ref="A1:AU1084" xr:uid="{A1F070CD-2ABA-43BF-B446-496C4070339D}">
        <filterColumn colId="17">
          <filters>
            <filter val="A conta 008411505 foi encerrada a pedido dos clientes, que desejaram alterar o titular. Como solicitado, a conta 008458289 foi aberta."/>
            <filter val="Aguardando resposta do FA / Troca de Assessoria de Thiago Canbrava para Matheus Vilar"/>
            <filter val="Alteração dde carteira finalizada (09/09/2025)"/>
            <filter val="Alteração de carteira finalizada (01/03/2024)/ STVM Interna de saída para a conta 005161568"/>
            <filter val="Alteração de carteira finalizada (02/04/2024)"/>
            <filter val="Alteração de carteira finalizada (02/10/2024)"/>
            <filter val="Alteração de carteira finalizada (03/10/2023)"/>
            <filter val="Alteração de carteira finalizada (03/10/2024) / Diatrao unilateral"/>
            <filter val="Alteração de carteira finalizada (04/11/2024)"/>
            <filter val="Alteração de carteira finalizada (04/11/2025)"/>
            <filter val="Alteração de carteira finalizada (05/02/2024)"/>
            <filter val="Alteração de carteira finalizada (05/03/2024)"/>
            <filter val="Alteração de carteira finalizada (06/02/2025)"/>
            <filter val="Alteração de carteira finalizada (06/05/2025)"/>
            <filter val="Alteração de carteira finalizada (06/06/2025)"/>
            <filter val="Alteração de carteira finalizada (06/10/2023)"/>
            <filter val="Alteração de carteira finalizada (07/12/2023)"/>
            <filter val="Alteração de carteira finalizada (08/12/2025)"/>
            <filter val="Alteração de carteira finalizada (09/08/2024)"/>
            <filter val="Alteração de carteira finalizada (09/11/2023)"/>
            <filter val="Alteração de carteira finalizada (09/12/2024)"/>
            <filter val="Alteração de carteira finalizada (10/02/2025)"/>
            <filter val="Alteração de carteira finalizada (12/08/2025)"/>
            <filter val="Alteração de carteira finalizada (12/11/2025)"/>
            <filter val="Alteração de carteira finalizada (13/02/2025)"/>
            <filter val="Alteração de carteira finalizada (13/05/2024)"/>
            <filter val="Alteração de carteira finalizada (13/05/2025)"/>
            <filter val="Alteração de carteira finalizada (13/11/2023)"/>
            <filter val="Alteração de carteira finalizada (14/04/2025)"/>
            <filter val="Alteração de carteira finalizada (14/07/2023)"/>
            <filter val="Alteração de carteira finalizada (14/11/2025)"/>
            <filter val="Alteração de carteira finalizada (15/02/2024)"/>
            <filter val="Alteração de carteira finalizada (15/03/2024)"/>
            <filter val="Alteração de Carteira finalizada (15/09/2025)"/>
            <filter val="Alteração de carteira finalizada (17/01/2024)"/>
            <filter val="Alteração de carteira finalizada (17/06/2024)"/>
            <filter val="Alteração de carteira finalizada (17/07/2025)"/>
            <filter val="Alteração de carteira finalizada (17/11/2025)"/>
            <filter val="Alteração de carteira finalizada (17/12/2024)"/>
            <filter val="Alteração de carteira finalizada (20/01//2025)"/>
            <filter val="Alteração de carteira finalizada (20/01/2025)"/>
            <filter val="Alteração de carteira finalizada (21/10/2024)"/>
            <filter val="Alteração de carteira finalizada (22/07/2024)"/>
            <filter val="Alteração de carteira finalizada (23/10/2023)"/>
            <filter val="Alteração de carteira finalizada (24/01/2024)"/>
            <filter val="Alteração de carteira finalizada (24/07/2023)"/>
            <filter val="Alteração de carteira finalizada (25/09/2025)"/>
            <filter val="Alteração de carteira finalizada (26/02/2024)"/>
            <filter val="Alteração de carteira finalizada (26/11/2024)"/>
            <filter val="Alteração de carteira finalizada (27/03/2024)"/>
            <filter val="Alteração de carteira finalizada (27/06/2024)"/>
            <filter val="Alteração de carteira finalizada (27/07/2023)"/>
            <filter val="Alteração de carteira finalizada (27/11/2023)"/>
            <filter val="Alteração de carteira finalizada (29/01/2024)"/>
            <filter val="Alteração de carteira finalizada. (25/09/2025)"/>
            <filter val="Alterado a conta de N° 003836362 (sem saldo) / Alteração de carteira finalizada (18/04/2024)"/>
            <filter val="Aporte acontecerá em breve"/>
            <filter val="Carteira Conservadora 80/20 - PL acima de R$ 2.000.000,00, de forma que se o cliente resgatar a taxa retorne automático para 1,2%a.a., sem necessidade de novo contrato."/>
            <filter val="Cliente desistiu de migrar recurso aguardando FA sobre migração"/>
            <filter val="Cliente deve voltar em 2024"/>
            <filter val="Cliente faleceu"/>
            <filter val="Cliente retornou a base com novo contrato (29/08/2025)"/>
            <filter val="Cliente retornou para a base dia 10/10/2024"/>
            <filter val="Cliente retornou para a base dia 21/10/2024 sob nova carteira"/>
            <filter val="Cliente saiu da base"/>
            <filter val="Cliente saiu da base (18/09/2024)"/>
            <filter val="Cliente saiu da base dia 22/10/2024 retornou sob nova carteira dia 19/11/2024 / Alteração de carteira finalizada (30/01/2025)"/>
            <filter val="Cliente sofreu tentativa de fraude - qualquer alteração em seu cadastro ou movimentação na conta entrar em contato com o FA/Cliente para confirmação."/>
            <filter val="Cliente solicitou distrato"/>
            <filter val="Cliente solicitou distrato (19/08/2024)"/>
            <filter val="Cliente solicitou distrato (20/06/2024)"/>
            <filter val="Cliente solicitou distrato 23/05/2024"/>
            <filter val="Cliente solicitou distrato dia 25/04/2023"/>
            <filter val="Cliente solicitou o distrato (04/09/2023)"/>
            <filter val="Cliente solicitou o distrato (08/08/2024)"/>
            <filter val="Cliente solicitou o distrato dia 30/08/2023"/>
            <filter val="Cliente solicitou troca de assessoria"/>
            <filter val="Cliente solicitou troca de assessoria (08/08/2024)"/>
            <filter val="Cliente solicitou troca de assessoria (17/07/2024)"/>
            <filter val="Cliente solicitou troca de assessoria (30/07/2024)"/>
            <filter val="Cliente solicitou troca de assessortia (16/07/2024)"/>
            <filter val="Cliente sumiu da base"/>
            <filter val="Cliente sumiu da base (06/05/2024)"/>
            <filter val="Cliente sumiu da base 05/03/2024"/>
            <filter val="Cliente vai resgatar sozinho/ Troca de Assessoria de Thiago Canbrava para Matheus Vilar"/>
            <filter val="Conta à ser encerrada, aguardando recebimentos de dividendo para 2025"/>
            <filter val="Conta criada sem necessidade (17/06/2024)"/>
            <filter val="Conta da filha do cliente Pedro Guilherme Ramos Goya"/>
            <filter val="Conta será encerrada"/>
            <filter val="Distrati unilateral"/>
            <filter val="Distrato solicitado dia 20/06/2024"/>
            <filter val="Distrato unilatera"/>
            <filter val="Distrato Unilateral"/>
            <filter val="Distrato unilateral."/>
            <filter val="Em processo de STVM"/>
            <filter val="Esperando os rendimentos que vecem em 10/24 para transferir o saldo para a outra conta."/>
            <filter val="Está em processo de portabilidade dos recursos do safra para o Bluemetrix."/>
            <filter val="Está em processo de transferência dos recursos"/>
            <filter val="Fez o resgate para compra de imóvel, em breve deve voltar a fazer aportes."/>
            <filter val="Incluir contas bancárias enviadas no e-mail &quot;Cadastro de conta de Origem&quot;"/>
            <filter val="Manter conta ativa para possivél retorno do cliente"/>
            <filter val="Monitoramento  p/ envio de ativos da conta principal que estão fora da estrategia"/>
            <filter val="Não apagar observação: Troca de assessor 01/12/2023 - Antigo: Conquest - Juliana Abreu"/>
            <filter val="Observações Backoffice"/>
            <filter val="PL acima de R$ 2.000.000,00, de forma que se o cliente resgatar a taxa retorne automático para 1,2%a.a., sem necessidade de novo contrato. STVM interna finalizada (05/06/2024)"/>
            <filter val="Possível aporte 2024"/>
            <filter val="Possivel retorno futuro"/>
            <filter val="Possivel retorno futuro."/>
            <filter val="Possui duas contas, breve de aportar recursos nesta"/>
            <filter val="Pretende fazer aportes futuros"/>
            <filter val="Primeira conta 004794805 viculada por erro do FA."/>
            <filter val="Sem pagamento de taxa para assessores"/>
            <filter val="Solicitou resgate total dia 08/03/2024 / Distrato unilateral"/>
            <filter val="STVM de entrada da Guide finalizada (01/09/2023)"/>
            <filter val="STVM de entrada da Guide finalizada (02/08/2023)"/>
            <filter val="STVM de entrada da Guide finalizada (02/10/2023)"/>
            <filter val="STVM de entrada da Guide finalizada (02/10/2023) / Alteração de carteira finalizada (15/09/2023)"/>
            <filter val="STVM de entrada da Guide finalizada (03/01/2024)"/>
            <filter val="STVM de entrada da Guide finalizada (03/09/2023)"/>
            <filter val="STVM de entrada da Guide finalizada (04/09/2023)"/>
            <filter val="STVM de entrada da Guide finalizada (05/09/2023)"/>
            <filter val="STVM de entrada da Guide finalizada (06/11/2023) / Alteração de carteira finalizada (05/08/2024)"/>
            <filter val="STVM de entrada da Guide finalizada (06/12/2023) / Alteração de carteira finalizada (22/12/2023)"/>
            <filter val="STVM de entrada da Guide finalizada (08/09/2023)"/>
            <filter val="STVM de entrada da Guide finalizada (09/10/2023) / Alteração de carteira finalizada (21/01/2025)"/>
            <filter val="STVM de entrada da Guide finalizada (10/01/2024) / Alteração de carteira finalizada (20/01/2025)"/>
            <filter val="STVM de entrada da Guide finalizada (10/09/2023)"/>
            <filter val="STVM de entrada da Guide finalizada (10/10/2023)"/>
            <filter val="STVM de entrada da Guide finalizada (13/07/2023) / Alteração de carteira finalizada (21/01/2025)"/>
            <filter val="STVM de entrada da Guide finalizada (13/09/2023) / Alteração de carteira finalizada (01/03/2024)"/>
            <filter val="STVM de entrada da Guide finalizada (13/09/2023) / Alteração de carteira finalizada (22/12/2023)"/>
            <filter val="STVM de entrada da Guide finalizada (13/11/2023) Alteração de carteira finalizada (26/11/2024)"/>
            <filter val="STVM de entrada da Guide finalizada (15/12/2023)"/>
            <filter val="STVM de entrada da Guide finalizada (19/12/2023)"/>
            <filter val="STVM de entrada da Guide finalizada (21/09/2023)"/>
            <filter val="STVM de entrada da Guide finalizada (27/12/2023) / Portabilidade de fundo a ser finalizada"/>
            <filter val="STVM de entrada da Guide finalizada (28/09/2023)"/>
            <filter val="STVM de entrada da Guide finalizada (30/08/2023)"/>
            <filter val="STVM de entrada da Guide finalizada (30/10/2023) / Alteração de carteira finalizada (14/06/2024)"/>
            <filter val="STVM de entrada da Órama finalizada (11/01/2024)"/>
            <filter val="STVM de entrada finalizada (28/05/2024)"/>
            <filter val="STVM de saída para XP finalizada (04/09/2023)"/>
            <filter val="STVM de saída para XP finalizada (11/01/2024)"/>
            <filter val="STVM de saída para XP finalizada (22/02/2024)"/>
            <filter val="STVM de saída para XP finalizada (29/08/2023)"/>
            <filter val="STVM de saída para XP finalizada (31/01/2024)"/>
            <filter val="STVM de saída para XP iniciada (13/05/2024)"/>
            <filter val="STVM de saída para XP iniciada (25/06/2024) Cliente sumiu da base"/>
            <filter val="STVM Interna de entrada da conta 004254210"/>
            <filter val="STVM Interna finalizada (01/07/2024)"/>
            <filter val="STVM interna finalizada (08/01/2024) / Conta será encerrada após valor em trânsito cair"/>
            <filter val="STVM interna finalizada (12/03/2024)"/>
            <filter val="STVM interna finalizada (18/07/2024)"/>
            <filter val="STVM interna finalizada (19/03/2024) Cliente solicitou distrato 19/07/2024"/>
            <filter val="STVM interna finalizada (19/07/2024)"/>
            <filter val="STVM interna finalizada (25/01/2024)"/>
            <filter val="STVM interna finalizada (27/02/2024)"/>
            <filter val="STVM interna finalizada (27/02/2024) / Alteração de carteira Finalizada (11/03/2024)"/>
            <filter val="STVM interna finalizada (28/09/2023)"/>
            <filter val="Taxa de gestão a ser enviada para a Guide devido a erro operacional na XP"/>
            <filter val="Taxa de performance negociada para reduzir 0.2% a cada novo milhão investido, reduzindo até 1.9%"/>
            <filter val="Thiago Canabrava solicitou a alt. do stts da conta para inativo dia 15/01/2024"/>
            <filter val="Tirar da base (06/06/2024)"/>
            <filter val="Troca de Assessoria de Thiago Canabrava para Matheus Vilar"/>
            <filter val="Troca de Assessoria de Thiago Canbrava para Guilherme dos Santos"/>
            <filter val="Troca de Assessoria de Thiago Canbrava para Guilherme dos Santos / Resgate total da carteira (04/04/2024)"/>
            <filter val="Troca de Assessoria de Thiago Canbrava para Matheus Vilar"/>
            <filter val="Troca de carteira para RF Ativo"/>
            <filter val="Trocou de assessor de Rodolfo Gomes para Pedro Paulo em 04/04/2023"/>
            <filter val="Trocou de assessor de Thiago Canabrava para Gabriel Raydan em 03/02/2023"/>
          </filters>
        </filterColumn>
      </autoFilter>
    </customSheetView>
    <customSheetView guid="{14F2BC0A-D0DC-4C31-B463-CFE61D5BFA16}" filter="1" showAutoFilter="1">
      <pageMargins left="0" right="0" top="0" bottom="0" header="0" footer="0"/>
      <autoFilter ref="K2:L1093" xr:uid="{3F4064EF-FD51-4300-8F29-C883F94A1F27}">
        <filterColumn colId="0">
          <filters>
            <filter val="01/02/2023"/>
            <filter val="01/02/2024"/>
            <filter val="01/04/2024"/>
            <filter val="01/04/2025"/>
            <filter val="01/07/2024"/>
            <filter val="01/07/2025"/>
            <filter val="01/08/2023"/>
            <filter val="01/08/2025"/>
            <filter val="01/09/2023"/>
            <filter val="01/10/2024"/>
            <filter val="01/12/2022"/>
            <filter val="01/12/2023"/>
            <filter val="01/12/2025"/>
            <filter val="02/01/2023"/>
            <filter val="02/01/2024"/>
            <filter val="02/01/2025"/>
            <filter val="02/02/2023"/>
            <filter val="02/03/2023"/>
            <filter val="02/05/2023"/>
            <filter val="02/05/2024"/>
            <filter val="02/06/2025"/>
            <filter val="02/07/2024"/>
            <filter val="02/08/2023"/>
            <filter val="02/08/2024"/>
            <filter val="02/09/2025"/>
            <filter val="02/10/2023"/>
            <filter val="03/01/2023"/>
            <filter val="03/02/2023"/>
            <filter val="03/02/2025"/>
            <filter val="03/03/2023"/>
            <filter val="03/04/2024"/>
            <filter val="03/04/2025"/>
            <filter val="03/05/2023"/>
            <filter val="03/05/2024"/>
            <filter val="03/06/2024"/>
            <filter val="03/06/2025"/>
            <filter val="03/07/2024"/>
            <filter val="03/07/2025"/>
            <filter val="03/08/2023"/>
            <filter val="03/10/2023"/>
            <filter val="03/10/2024"/>
            <filter val="03/11/2023"/>
            <filter val="03/11/2025"/>
            <filter val="04/02/2025"/>
            <filter val="04/03/2024"/>
            <filter val="04/04/2023"/>
            <filter val="04/04/2024"/>
            <filter val="04/06/2024"/>
            <filter val="04/06/2025"/>
            <filter val="04/07/2023"/>
            <filter val="04/08/2023"/>
            <filter val="04/09/2023"/>
            <filter val="04/09/2024"/>
            <filter val="04/09/2025"/>
            <filter val="04/10/2023"/>
            <filter val="04/11/2024"/>
            <filter val="04/12/2023"/>
            <filter val="04/12/2024"/>
            <filter val="04/12/2025"/>
            <filter val="05/01/2023"/>
            <filter val="05/01/2024"/>
            <filter val="05/01/2026"/>
            <filter val="05/02/2024"/>
            <filter val="05/02/2025"/>
            <filter val="05/03/2024"/>
            <filter val="05/04/2023"/>
            <filter val="05/04/2024"/>
            <filter val="05/05/2023"/>
            <filter val="05/05/2025"/>
            <filter val="05/06/2023"/>
            <filter val="05/06/2024"/>
            <filter val="05/09/2023"/>
            <filter val="05/10/2023"/>
            <filter val="05/11/2025"/>
            <filter val="05/12/2023"/>
            <filter val="06/01/2023"/>
            <filter val="06/01/2026"/>
            <filter val="06/02/2024"/>
            <filter val="06/02/2025"/>
            <filter val="06/03/2023"/>
            <filter val="06/03/2024"/>
            <filter val="06/04/2023"/>
            <filter val="06/05/2024"/>
            <filter val="06/06/2023"/>
            <filter val="06/06/2024"/>
            <filter val="06/06/2025"/>
            <filter val="06/07/2023"/>
            <filter val="06/09/2023"/>
            <filter val="06/11/2023"/>
            <filter val="06/11/2024"/>
            <filter val="06/12/2023"/>
            <filter val="07/02/2023"/>
            <filter val="07/02/2025"/>
            <filter val="07/04/2025"/>
            <filter val="07/05/2024"/>
            <filter val="07/05/2025"/>
            <filter val="07/06/2024"/>
            <filter val="07/07/2025"/>
            <filter val="07/08/2023"/>
            <filter val="07/10/2024"/>
            <filter val="07/11/2024"/>
            <filter val="07/11/2025"/>
            <filter val="07/12/2023"/>
            <filter val="08/01/2025"/>
            <filter val="08/01/2026"/>
            <filter val="08/02/2023"/>
            <filter val="08/02/2024"/>
            <filter val="08/03/2023"/>
            <filter val="08/03/2024"/>
            <filter val="08/04/2024"/>
            <filter val="08/04/2025"/>
            <filter val="08/05/2025"/>
            <filter val="08/07/2025"/>
            <filter val="08/09/2023"/>
            <filter val="08/10/2024"/>
            <filter val="08/10/2025"/>
            <filter val="08/11/2023"/>
            <filter val="08/11/2024"/>
            <filter val="08/12/2022"/>
            <filter val="08/12/2023"/>
            <filter val="09/01/2023"/>
            <filter val="09/01/2025"/>
            <filter val="09/02/2023"/>
            <filter val="09/02/2024"/>
            <filter val="09/04/2024"/>
            <filter val="09/04/2025"/>
            <filter val="09/05/2024"/>
            <filter val="09/06/2023"/>
            <filter val="09/08/2024"/>
            <filter val="09/09/2024"/>
            <filter val="09/09/2025"/>
            <filter val="09/10/2023"/>
            <filter val="09/10/2024"/>
            <filter val="09/11/2022"/>
            <filter val="10/01/2023"/>
            <filter val="10/01/2024"/>
            <filter val="10/02/2025"/>
            <filter val="10/03/2023"/>
            <filter val="10/03/2025"/>
            <filter val="10/04/2023"/>
            <filter val="10/04/2024"/>
            <filter val="10/04/2025"/>
            <filter val="10/05/2023"/>
            <filter val="10/05/2024"/>
            <filter val="10/06/2024"/>
            <filter val="10/07/2023"/>
            <filter val="10/07/2024"/>
            <filter val="10/07/2025"/>
            <filter val="10/08/2023"/>
            <filter val="10/09/2024"/>
            <filter val="10/09/2025"/>
            <filter val="10/10/2023"/>
            <filter val="10/10/2024"/>
            <filter val="10/10/2025"/>
            <filter val="10/11/2023"/>
            <filter val="10/12/2024"/>
            <filter val="10/12/2025"/>
            <filter val="11/02/2025"/>
            <filter val="11/03/2023"/>
            <filter val="11/03/2024"/>
            <filter val="11/04/2023"/>
            <filter val="11/04/2024"/>
            <filter val="11/06/2024"/>
            <filter val="11/06/2025"/>
            <filter val="11/07/2023"/>
            <filter val="11/08/2023"/>
            <filter val="11/08/2025"/>
            <filter val="11/09/2023"/>
            <filter val="11/09/2024"/>
            <filter val="11/10/2023"/>
            <filter val="11/10/2024"/>
            <filter val="11/11/2024"/>
            <filter val="11/12/2023"/>
            <filter val="11/12/2024"/>
            <filter val="11/12/2025"/>
            <filter val="12/01/2023"/>
            <filter val="12/02/2025"/>
            <filter val="12/03/2024"/>
            <filter val="12/03/2025"/>
            <filter val="12/04/2023"/>
            <filter val="12/04/2024"/>
            <filter val="12/05/2023"/>
            <filter val="12/06/2023"/>
            <filter val="12/06/2024"/>
            <filter val="12/08/2024"/>
            <filter val="12/09/2024"/>
            <filter val="12/12/2024"/>
            <filter val="12/12/2025"/>
            <filter val="13/01/2025"/>
            <filter val="13/01/2026"/>
            <filter val="13/02/2023"/>
            <filter val="13/02/2025"/>
            <filter val="13/03/2024"/>
            <filter val="13/03/2025"/>
            <filter val="13/04/2023"/>
            <filter val="13/05/2025"/>
            <filter val="13/06/2023"/>
            <filter val="13/06/2024"/>
            <filter val="13/07/2023"/>
            <filter val="13/09/2023"/>
            <filter val="13/09/2024"/>
            <filter val="13/10/2023"/>
            <filter val="13/11/2025"/>
            <filter val="13/12/2024"/>
            <filter val="14/02/2023"/>
            <filter val="14/03/2023"/>
            <filter val="14/03/2024"/>
            <filter val="14/03/2025"/>
            <filter val="14/04/2023"/>
            <filter val="14/05/2024"/>
            <filter val="14/06/2023"/>
            <filter val="14/06/2024"/>
            <filter val="14/07/2023"/>
            <filter val="14/07/2025"/>
            <filter val="14/08/2024"/>
            <filter val="14/09/2023"/>
            <filter val="14/10/2024"/>
            <filter val="14/11/2023"/>
            <filter val="14/11/2024"/>
            <filter val="15/01/2024"/>
            <filter val="15/01/2025"/>
            <filter val="15/02/2022"/>
            <filter val="15/02/2024"/>
            <filter val="15/03/2023"/>
            <filter val="15/05/2023"/>
            <filter val="15/05/2024"/>
            <filter val="15/06/2023"/>
            <filter val="15/07/2024"/>
            <filter val="15/08/2023"/>
            <filter val="15/08/2024"/>
            <filter val="15/09/2023"/>
            <filter val="15/09/2025"/>
            <filter val="15/10/2024"/>
            <filter val="15/10/2025"/>
            <filter val="16/01/2025"/>
            <filter val="16/02/2023"/>
            <filter val="16/02/2024"/>
            <filter val="16/03/2023"/>
            <filter val="16/04/2024"/>
            <filter val="16/05/2023"/>
            <filter val="16/06/2023"/>
            <filter val="16/06/2025"/>
            <filter val="16/07/2025"/>
            <filter val="16/08/2024"/>
            <filter val="16/09/2024"/>
            <filter val="16/09/2025"/>
            <filter val="16/11/2023"/>
            <filter val="16/12/2024"/>
            <filter val="16/12/2025"/>
            <filter val="17/01/2023"/>
            <filter val="17/01/2024"/>
            <filter val="17/02/2025"/>
            <filter val="17/03/2023"/>
            <filter val="17/03/2025"/>
            <filter val="17/04/2023"/>
            <filter val="17/04/2025"/>
            <filter val="17/05/2023"/>
            <filter val="17/06/2024"/>
            <filter val="17/06/2025"/>
            <filter val="17/07/2023"/>
            <filter val="17/07/2024"/>
            <filter val="17/08/2023"/>
            <filter val="17/09/2024"/>
            <filter val="17/09/2025"/>
            <filter val="17/10/2024"/>
            <filter val="17/11/2023"/>
            <filter val="18/01/2023"/>
            <filter val="18/01/2024"/>
            <filter val="18/02/2025"/>
            <filter val="18/03/2024"/>
            <filter val="18/04/2023"/>
            <filter val="18/05/2023"/>
            <filter val="18/06/2024"/>
            <filter val="18/06/2025"/>
            <filter val="18/07/2023"/>
            <filter val="18/08/2023"/>
            <filter val="18/09/2023"/>
            <filter val="18/09/2025"/>
            <filter val="18/10/2023"/>
            <filter val="18/11/2024"/>
            <filter val="18/12/2022"/>
            <filter val="18/12/2023"/>
            <filter val="18/12/2024"/>
            <filter val="18/12/2025"/>
            <filter val="19/01/2023"/>
            <filter val="19/02/2024"/>
            <filter val="19/03/2024"/>
            <filter val="19/04/2023"/>
            <filter val="19/04/2024"/>
            <filter val="19/05/2023"/>
            <filter val="19/06/2023"/>
            <filter val="19/06/2024"/>
            <filter val="19/07/2023"/>
            <filter val="19/08/2024"/>
            <filter val="19/09/2023"/>
            <filter val="19/10/2023"/>
            <filter val="19/11/2024"/>
            <filter val="19/12/2023"/>
            <filter val="19/12/2024"/>
            <filter val="19/12/2025"/>
            <filter val="20/01/2023"/>
            <filter val="20/01/2025"/>
            <filter val="20/02/2023"/>
            <filter val="20/02/2025"/>
            <filter val="20/03/2023"/>
            <filter val="20/03/2024"/>
            <filter val="20/03/2025"/>
            <filter val="20/04/2023"/>
            <filter val="20/05/2024"/>
            <filter val="20/06/2023"/>
            <filter val="20/06/2024"/>
            <filter val="20/06/2025"/>
            <filter val="20/07/2023"/>
            <filter val="20/08/2023"/>
            <filter val="20/09/2023"/>
            <filter val="20/10/2023"/>
            <filter val="20/10/2025"/>
            <filter val="20/11/2023"/>
            <filter val="20/12/2023"/>
            <filter val="20/12/2024"/>
            <filter val="21/02/2024"/>
            <filter val="21/02/2025"/>
            <filter val="21/03/2023"/>
            <filter val="21/05/2025"/>
            <filter val="21/06/2023"/>
            <filter val="21/06/2024"/>
            <filter val="21/07/2023"/>
            <filter val="21/08/2023"/>
            <filter val="21/08/2025"/>
            <filter val="21/09/2023"/>
            <filter val="21/10/2024"/>
            <filter val="21/10/2025"/>
            <filter val="21/11/2024"/>
            <filter val="21/11/2025"/>
            <filter val="21/12/2023"/>
            <filter val="22/01/2024"/>
            <filter val="22/02/2023"/>
            <filter val="22/02/2024"/>
            <filter val="22/03/2023"/>
            <filter val="22/03/2024"/>
            <filter val="22/05/2023"/>
            <filter val="22/06/2023"/>
            <filter val="22/07/2024"/>
            <filter val="22/08/2023"/>
            <filter val="22/09/2023"/>
            <filter val="22/10/2024"/>
            <filter val="22/10/2025"/>
            <filter val="22/11/2023"/>
            <filter val="22/12/2023"/>
            <filter val="22/12/2025"/>
            <filter val="23/01/2023"/>
            <filter val="23/01/2024"/>
            <filter val="23/02/2024"/>
            <filter val="23/04/2024"/>
            <filter val="23/05/2023"/>
            <filter val="23/05/2025"/>
            <filter val="23/06/2023"/>
            <filter val="23/07/2025"/>
            <filter val="23/09/2024"/>
            <filter val="23/09/2025"/>
            <filter val="23/10/2023"/>
            <filter val="23/11/2023"/>
            <filter val="23/12/2025"/>
            <filter val="24/01/2023"/>
            <filter val="24/01/2024"/>
            <filter val="24/01/2025"/>
            <filter val="24/02/2023"/>
            <filter val="24/03/2023"/>
            <filter val="24/04/2023"/>
            <filter val="24/04/2025"/>
            <filter val="24/05/2023"/>
            <filter val="24/06/2024"/>
            <filter val="24/06/2025"/>
            <filter val="24/07/2023"/>
            <filter val="24/08/2023"/>
            <filter val="24/09/2025"/>
            <filter val="24/10/2023"/>
            <filter val="24/11/2023"/>
            <filter val="24/11/2025"/>
            <filter val="25/01/2023"/>
            <filter val="25/02/2025"/>
            <filter val="25/03/2024"/>
            <filter val="25/03/2025"/>
            <filter val="25/04/2023"/>
            <filter val="25/04/2024"/>
            <filter val="25/04/2025"/>
            <filter val="25/05/2023"/>
            <filter val="25/06/2024"/>
            <filter val="25/07/2023"/>
            <filter val="25/07/2024"/>
            <filter val="25/08/2023"/>
            <filter val="25/08/2025"/>
            <filter val="25/09/2024"/>
            <filter val="25/09/2025"/>
            <filter val="25/11/2023"/>
            <filter val="26/02/2024"/>
            <filter val="26/03/2024"/>
            <filter val="26/03/2025"/>
            <filter val="26/04/2023"/>
            <filter val="26/04/2024"/>
            <filter val="26/06/2023"/>
            <filter val="26/06/2024"/>
            <filter val="26/07/2023"/>
            <filter val="26/09/2025"/>
            <filter val="26/10/2023"/>
            <filter val="26/12/2024"/>
            <filter val="27/01/2023"/>
            <filter val="27/02/2024"/>
            <filter val="27/03/2025"/>
            <filter val="27/04/2023"/>
            <filter val="27/05/2024"/>
            <filter val="27/06/2023"/>
            <filter val="27/06/2024"/>
            <filter val="27/06/2025"/>
            <filter val="27/07/2023"/>
            <filter val="27/08/2025"/>
            <filter val="27/09/2023"/>
            <filter val="27/09/2024"/>
            <filter val="27/10/2023"/>
            <filter val="27/10/2025"/>
            <filter val="27/11/2023"/>
            <filter val="27/11/2024"/>
            <filter val="28/01/2025"/>
            <filter val="28/02/2023"/>
            <filter val="28/02/2024"/>
            <filter val="28/02/2025"/>
            <filter val="28/03/2023"/>
            <filter val="28/05/2024"/>
            <filter val="28/06/2023"/>
            <filter val="28/07/2023"/>
            <filter val="28/08/2023"/>
            <filter val="28/09/2023"/>
            <filter val="29/01/2023"/>
            <filter val="29/03/2023"/>
            <filter val="29/05/2023"/>
            <filter val="29/05/2024"/>
            <filter val="29/05/2025"/>
            <filter val="29/06/2023"/>
            <filter val="29/08/2025"/>
            <filter val="29/09/2023"/>
            <filter val="29/11/2023"/>
            <filter val="29/11/2024"/>
            <filter val="29/12/2025"/>
            <filter val="30/01/2023"/>
            <filter val="30/01/2024"/>
            <filter val="30/03/2023"/>
            <filter val="30/04/2024"/>
            <filter val="30/04/2025"/>
            <filter val="30/05/2023"/>
            <filter val="30/05/2025"/>
            <filter val="30/06/2023"/>
            <filter val="30/07/2024"/>
            <filter val="30/08/2023"/>
            <filter val="30/09/2024"/>
            <filter val="30/10/2023"/>
            <filter val="30/10/2025"/>
            <filter val="30/11/2023"/>
            <filter val="31/01/2023"/>
            <filter val="31/01/2024"/>
            <filter val="31/01/2025"/>
            <filter val="31/03/2023"/>
            <filter val="31/05/2023"/>
            <filter val="31/07/2024"/>
            <filter val="31/07/2025"/>
            <filter val="31/10/2023"/>
            <filter val="31/10/2025"/>
          </filters>
        </filterColumn>
      </autoFilter>
    </customSheetView>
    <customSheetView guid="{2E5ACC8C-CE46-4BA3-BF00-8C87FFA2314F}" filter="1" showAutoFilter="1">
      <pageMargins left="0" right="0" top="0" bottom="0" header="0" footer="0"/>
      <autoFilter ref="B2:AO1088" xr:uid="{B3480C6A-D734-450D-920B-29841A251BA4}"/>
    </customSheetView>
    <customSheetView guid="{DB05EF65-D7B5-4DD6-8F09-01BC4E20BF15}" filter="1" showAutoFilter="1">
      <pageMargins left="0" right="0" top="0" bottom="0" header="0" footer="0"/>
      <autoFilter ref="A2:AU1084" xr:uid="{1E277914-284B-4DAB-BF0A-CA2EF882E436}">
        <filterColumn colId="24">
          <filters>
            <filter val="Ativo"/>
          </filters>
        </filterColumn>
        <filterColumn colId="46">
          <filters>
            <filter val="R$ 0.00"/>
            <filter val="R$ 0.01"/>
            <filter val="R$ 0.05"/>
            <filter val="R$ 1,001,615.77"/>
            <filter val="R$ 1,001.72"/>
            <filter val="R$ 1,032,148.19"/>
            <filter val="R$ 1,037,210.17"/>
            <filter val="R$ 1,050,466.33"/>
            <filter val="R$ 1,052,286.48"/>
            <filter val="R$ 1,060,144.59"/>
            <filter val="R$ 1,063,698.27"/>
            <filter val="R$ 1,074,749.39"/>
            <filter val="R$ 1,092.88"/>
            <filter val="R$ 1,098,794.75"/>
            <filter val="R$ 1,107.56"/>
            <filter val="R$ 1,135,918.50"/>
            <filter val="R$ 1,150,550.24"/>
            <filter val="R$ 1,162,335.55"/>
            <filter val="R$ 1,184,469.50"/>
            <filter val="R$ 1,221,032.60"/>
            <filter val="R$ 1,223,884.13"/>
            <filter val="R$ 1,237,407.43"/>
            <filter val="R$ 1,255,754.27"/>
            <filter val="R$ 1,268,448.41"/>
            <filter val="R$ 1,272,725.39"/>
            <filter val="R$ 1,280,757.50"/>
            <filter val="R$ 1,284,055.75"/>
            <filter val="R$ 1,285,051.88"/>
            <filter val="R$ 1,336,013.41"/>
            <filter val="R$ 1,366,302.01"/>
            <filter val="R$ 1,369,971.36"/>
            <filter val="R$ 1,404,760.32"/>
            <filter val="R$ 1,437.56"/>
            <filter val="R$ 1,439,806.42"/>
            <filter val="R$ 1,483,501.85"/>
            <filter val="R$ 1,523,641.36"/>
            <filter val="R$ 1,523.78"/>
            <filter val="R$ 1,547,689.79"/>
            <filter val="R$ 1,610,207.10"/>
            <filter val="R$ 1,624,131.61"/>
            <filter val="R$ 1,772,542.69"/>
            <filter val="R$ 1,809,687.32"/>
            <filter val="R$ 1,812.67"/>
            <filter val="R$ 1,823,522.49"/>
            <filter val="R$ 1,828,516.55"/>
            <filter val="R$ 1,848,323.25"/>
            <filter val="R$ 1,864,495.37"/>
            <filter val="R$ 1,954,335.64"/>
            <filter val="R$ 1,962,597.82"/>
            <filter val="R$ 10,162.20"/>
            <filter val="R$ 10,552.25"/>
            <filter val="R$ 100,558.71"/>
            <filter val="R$ 100,730.48"/>
            <filter val="R$ 101,072.51"/>
            <filter val="R$ 101,601.19"/>
            <filter val="R$ 101,839.47"/>
            <filter val="R$ 102,160.26"/>
            <filter val="R$ 102,853.11"/>
            <filter val="R$ 102,899.13"/>
            <filter val="R$ 103,439.60"/>
            <filter val="R$ 106,220.49"/>
            <filter val="R$ 106,244.51"/>
            <filter val="R$ 109,627.24"/>
            <filter val="R$ 109,846.93"/>
            <filter val="R$ 11,345.97"/>
            <filter val="R$ 111,265.43"/>
            <filter val="R$ 111,871.11"/>
            <filter val="R$ 113,123.62"/>
            <filter val="R$ 113,253.94"/>
            <filter val="R$ 113,303.23"/>
            <filter val="R$ 115,227.69"/>
            <filter val="R$ 115,488.71"/>
            <filter val="R$ 117,482.91"/>
            <filter val="R$ 117,585.39"/>
            <filter val="R$ 117,879.39"/>
            <filter val="R$ 118,070.07"/>
            <filter val="R$ 119,101.48"/>
            <filter val="R$ 12,838.67"/>
            <filter val="R$ 12,904.64"/>
            <filter val="R$ 120,209.71"/>
            <filter val="R$ 122,210.89"/>
            <filter val="R$ 122,782.80"/>
            <filter val="R$ 124,891.86"/>
            <filter val="R$ 126,093.77"/>
            <filter val="R$ 126,759.44"/>
            <filter val="R$ 127,079.21"/>
            <filter val="R$ 127,514.13"/>
            <filter val="R$ 127,908.60"/>
            <filter val="R$ 128,227.68"/>
            <filter val="R$ 129,283.53"/>
            <filter val="R$ 129,787.32"/>
            <filter val="R$ 13,511.52"/>
            <filter val="R$ 130,026.38"/>
            <filter val="R$ 133,744.66"/>
            <filter val="R$ 135,840.05"/>
            <filter val="R$ 136,332.37"/>
            <filter val="R$ 137,681.35"/>
            <filter val="R$ 138,269.42"/>
            <filter val="R$ 138,546.58"/>
            <filter val="R$ 138,732.48"/>
            <filter val="R$ 139,785.27"/>
            <filter val="R$ 139,817.22"/>
            <filter val="R$ 14,000.74"/>
            <filter val="R$ 14,162.82"/>
            <filter val="R$ 14,559.84"/>
            <filter val="R$ 14.67"/>
            <filter val="R$ 140,837.20"/>
            <filter val="R$ 144,825.19"/>
            <filter val="R$ 144,970.06"/>
            <filter val="R$ 147,259.55"/>
            <filter val="R$ 147,481.45"/>
            <filter val="R$ 148,221.34"/>
            <filter val="R$ 149,727.91"/>
            <filter val="R$ 152,388.93"/>
            <filter val="R$ 152,764.24"/>
            <filter val="R$ 154,846.61"/>
            <filter val="R$ 156,763.01"/>
            <filter val="R$ 157,121.73"/>
            <filter val="R$ 157,315.28"/>
            <filter val="R$ 158,147.74"/>
            <filter val="R$ 158,148.68"/>
            <filter val="R$ 158,567.98"/>
            <filter val="R$ 16,053.74"/>
            <filter val="R$ 16,116.88"/>
            <filter val="R$ 16,388,186.82"/>
            <filter val="R$ 160,193.34"/>
            <filter val="R$ 160,613.10"/>
            <filter val="R$ 160,872.74"/>
            <filter val="R$ 162,179.09"/>
            <filter val="R$ 164,859.70"/>
            <filter val="R$ 166,145.88"/>
            <filter val="R$ 166,370.90"/>
            <filter val="R$ 167,576.59"/>
            <filter val="R$ 168,275.08"/>
            <filter val="R$ 169,526.39"/>
            <filter val="R$ 17.86"/>
            <filter val="R$ 172,788.35"/>
            <filter val="R$ 174,958.35"/>
            <filter val="R$ 176,745.19"/>
            <filter val="R$ 18.32"/>
            <filter val="R$ 180,851.73"/>
            <filter val="R$ 183,071.83"/>
            <filter val="R$ 183,385.50"/>
            <filter val="R$ 183,966.57"/>
            <filter val="R$ 189,968.42"/>
            <filter val="R$ 19.08"/>
            <filter val="R$ 191,185.99"/>
            <filter val="R$ 191,282.94"/>
            <filter val="R$ 192,079.67"/>
            <filter val="R$ 193,266.25"/>
            <filter val="R$ 195,075.61"/>
            <filter val="R$ 197,933.00"/>
            <filter val="R$ 199,574.03"/>
            <filter val="R$ 2,047,708.22"/>
            <filter val="R$ 2,055,002.86"/>
            <filter val="R$ 2,093,470.31"/>
            <filter val="R$ 2,213,182.04"/>
            <filter val="R$ 2,213,575.45"/>
            <filter val="R$ 2,298,507.66"/>
            <filter val="R$ 2,300.00"/>
            <filter val="R$ 2,380,802.78"/>
            <filter val="R$ 2,548,688.83"/>
            <filter val="R$ 2,714,748.31"/>
            <filter val="R$ 2,800,945.46"/>
            <filter val="R$ 2,818,899.59"/>
            <filter val="R$ 2,954,688.83"/>
            <filter val="R$ 20,328.42"/>
            <filter val="R$ 20,766.33"/>
            <filter val="R$ 200,282.08"/>
            <filter val="R$ 200,476.15"/>
            <filter val="R$ 201,823.01"/>
            <filter val="R$ 203,719.11"/>
            <filter val="R$ 204,753.59"/>
            <filter val="R$ 204,989.23"/>
            <filter val="R$ 206,949.11"/>
            <filter val="R$ 209,411.61"/>
            <filter val="R$ 21.27"/>
            <filter val="R$ 210,172.99"/>
            <filter val="R$ 210,504.58"/>
            <filter val="R$ 213,961.05"/>
            <filter val="R$ 216,335.49"/>
            <filter val="R$ 217,220.42"/>
            <filter val="R$ 218,353.98"/>
            <filter val="R$ 219,765.25"/>
            <filter val="R$ 220.00"/>
            <filter val="R$ 226,107.48"/>
            <filter val="R$ 226,519.07"/>
            <filter val="R$ 226,640.08"/>
            <filter val="R$ 227,458.26"/>
            <filter val="R$ 231,090.55"/>
            <filter val="R$ 233,431.32"/>
            <filter val="R$ 233,883.16"/>
            <filter val="R$ 236,622.47"/>
            <filter val="R$ 236,737.14"/>
            <filter val="R$ 236,867.04"/>
            <filter val="R$ 237,931.99"/>
            <filter val="R$ 240,868.50"/>
            <filter val="R$ 241,480.57"/>
            <filter val="R$ 242,446.82"/>
            <filter val="R$ 243,169.14"/>
            <filter val="R$ 243,901.96"/>
            <filter val="R$ 244,038.43"/>
            <filter val="R$ 246,251.74"/>
            <filter val="R$ 248,220.18"/>
            <filter val="R$ 249,493.29"/>
            <filter val="R$ 252,594.20"/>
            <filter val="R$ 255,201.50"/>
            <filter val="R$ 257,719.65"/>
            <filter val="R$ 26,197.12"/>
            <filter val="R$ 26,930.08"/>
            <filter val="R$ 261,031.09"/>
            <filter val="R$ 261,512.38"/>
            <filter val="R$ 261,540.82"/>
            <filter val="R$ 261,888.86"/>
            <filter val="R$ 262,459.89"/>
            <filter val="R$ 266,200.21"/>
            <filter val="R$ 267,143.19"/>
            <filter val="R$ 27,567.04"/>
            <filter val="R$ 271,647.22"/>
            <filter val="R$ 273,358.25"/>
            <filter val="R$ 273,662.88"/>
            <filter val="R$ 274,443.32"/>
            <filter val="R$ 278,382.04"/>
            <filter val="R$ 28,078.20"/>
            <filter val="R$ 28,424.87"/>
            <filter val="R$ 280.32"/>
            <filter val="R$ 282,605.19"/>
            <filter val="R$ 283,734.05"/>
            <filter val="R$ 284,758.78"/>
            <filter val="R$ 29.77"/>
            <filter val="R$ 291,247.23"/>
            <filter val="R$ 291,506.32"/>
            <filter val="R$ 292,129.58"/>
            <filter val="R$ 294,428.81"/>
            <filter val="R$ 295,032.11"/>
            <filter val="R$ 297,710.46"/>
            <filter val="R$ 3,038,251.64"/>
            <filter val="R$ 3,103,296.77"/>
            <filter val="R$ 3,195,039.22"/>
            <filter val="R$ 3,308,166.77"/>
            <filter val="R$ 3,390,746.18"/>
            <filter val="R$ 3,403,625.52"/>
            <filter val="R$ 3,589,657.17"/>
            <filter val="R$ 3,749,944.01"/>
            <filter val="R$ 3,753,742.36"/>
            <filter val="R$ 3,974,332.28"/>
            <filter val="R$ 30,392.48"/>
            <filter val="R$ 30,875.75"/>
            <filter val="R$ 302,510.10"/>
            <filter val="R$ 303,272.69"/>
            <filter val="R$ 309,060.87"/>
            <filter val="R$ 309,347.39"/>
            <filter val="R$ 309,359.80"/>
            <filter val="R$ 31,807.61"/>
            <filter val="R$ 310,118.80"/>
            <filter val="R$ 310,728.58"/>
            <filter val="R$ 315,303.30"/>
            <filter val="R$ 315,702.29"/>
            <filter val="R$ 319,594.49"/>
            <filter val="R$ 32,543.86"/>
            <filter val="R$ 32,997.86"/>
            <filter val="R$ 320,472.12"/>
            <filter val="R$ 326,108.63"/>
            <filter val="R$ 329,468.33"/>
            <filter val="R$ 33,420.70"/>
            <filter val="R$ 33.05"/>
            <filter val="R$ 331,973.66"/>
            <filter val="R$ 336,143.26"/>
            <filter val="R$ 336,615.92"/>
            <filter val="R$ 336,894.57"/>
            <filter val="R$ 34,671.11"/>
            <filter val="R$ 340,505.92"/>
            <filter val="R$ 341,631.92"/>
            <filter val="R$ 342,970.85"/>
            <filter val="R$ 343,331.92"/>
            <filter val="R$ 346,111.38"/>
            <filter val="R$ 35,204.20"/>
            <filter val="R$ 35,241.03"/>
            <filter val="R$ 35,609.49"/>
            <filter val="R$ 35.34"/>
            <filter val="R$ 350,558.06"/>
            <filter val="R$ 351,750.97"/>
            <filter val="R$ 351,930.36"/>
            <filter val="R$ 353,814.22"/>
            <filter val="R$ 354,585.95"/>
            <filter val="R$ 359,051.22"/>
            <filter val="R$ 36,047.55"/>
            <filter val="R$ 36,465.34"/>
            <filter val="R$ 36,560.68"/>
            <filter val="R$ 360,048.14"/>
            <filter val="R$ 361,575.81"/>
            <filter val="R$ 362,470.15"/>
            <filter val="R$ 362,599.84"/>
            <filter val="R$ 362,690.15"/>
            <filter val="R$ 364,856.23"/>
            <filter val="R$ 366,822.72"/>
            <filter val="R$ 367,439.83"/>
            <filter val="R$ 367,539.74"/>
            <filter val="R$ 367,839.66"/>
            <filter val="R$ 370,412.66"/>
            <filter val="R$ 371,332.54"/>
            <filter val="R$ 371,962.12"/>
            <filter val="R$ 375,998.35"/>
            <filter val="R$ 384,570.08"/>
            <filter val="R$ 386,516.66"/>
            <filter val="R$ 388,515.52"/>
            <filter val="R$ 39,481.53"/>
            <filter val="R$ 4,220,625.06"/>
            <filter val="R$ 4,230,755.17"/>
            <filter val="R$ 4,244,355.20"/>
            <filter val="R$ 4,330,001.94"/>
            <filter val="R$ 4,614,871.75"/>
            <filter val="R$ 4,701.33"/>
            <filter val="R$ 40,063.74"/>
            <filter val="R$ 40,674.87"/>
            <filter val="R$ 402,261.55"/>
            <filter val="R$ 405,700.58"/>
            <filter val="R$ 407,558.70"/>
            <filter val="R$ 409,645.10"/>
            <filter val="R$ 41,287.20"/>
            <filter val="R$ 414,156.46"/>
            <filter val="R$ 415,212.78"/>
            <filter val="R$ 416,908.41"/>
            <filter val="R$ 419,110.92"/>
            <filter val="R$ 419,820.89"/>
            <filter val="R$ 419,873.90"/>
            <filter val="R$ 42,204.33"/>
            <filter val="R$ 42,240.85"/>
            <filter val="R$ 421,571.79"/>
            <filter val="R$ 424,134.40"/>
            <filter val="R$ 424,507.21"/>
            <filter val="R$ 424,872.69"/>
            <filter val="R$ 428,703.97"/>
            <filter val="R$ 429,986.35"/>
            <filter val="R$ 434,688.50"/>
            <filter val="R$ 435.68"/>
            <filter val="R$ 44,982.02"/>
            <filter val="R$ 447,861.32"/>
            <filter val="R$ 448,399.72"/>
            <filter val="R$ 45,834.66"/>
            <filter val="R$ 452,304.01"/>
            <filter val="R$ 457,488.96"/>
            <filter val="R$ 459,171.94"/>
            <filter val="R$ 46,968.64"/>
            <filter val="R$ 467,515.65"/>
            <filter val="R$ 47,231.72"/>
            <filter val="R$ 47,818.23"/>
            <filter val="R$ 47,877.09"/>
            <filter val="R$ 477,677.57"/>
            <filter val="R$ 482,406.36"/>
            <filter val="R$ 487,891.47"/>
            <filter val="R$ 489,036.95"/>
            <filter val="R$ 49,430.06"/>
            <filter val="R$ 49,646.10"/>
            <filter val="R$ 49,747.29"/>
            <filter val="R$ 49,830.07"/>
            <filter val="R$ 495.50"/>
            <filter val="R$ 5,000.00"/>
            <filter val="R$ 5,662.28"/>
            <filter val="R$ 5,797,318.01"/>
            <filter val="R$ 5.55"/>
            <filter val="R$ 50,275.19"/>
            <filter val="R$ 50.26"/>
            <filter val="R$ 504,606.41"/>
            <filter val="R$ 504,882.80"/>
            <filter val="R$ 505,670.98"/>
            <filter val="R$ 513,140.40"/>
            <filter val="R$ 52,137.23"/>
            <filter val="R$ 520,086.43"/>
            <filter val="R$ 53,566.67"/>
            <filter val="R$ 533,438.11"/>
            <filter val="R$ 537,204.05"/>
            <filter val="R$ 539,299.95"/>
            <filter val="R$ 54,435.03"/>
            <filter val="R$ 543,769.68"/>
            <filter val="R$ 55,567.17"/>
            <filter val="R$ 55,777.95"/>
            <filter val="R$ 55,914.48"/>
            <filter val="R$ 550,339.08"/>
            <filter val="R$ 550,935.38"/>
            <filter val="R$ 557,066.15"/>
            <filter val="R$ 559,873.19"/>
            <filter val="R$ 56,173.70"/>
            <filter val="R$ 56,651.28"/>
            <filter val="R$ 56,915.16"/>
            <filter val="R$ 566,283.76"/>
            <filter val="R$ 57,124.59"/>
            <filter val="R$ 572,510.06"/>
            <filter val="R$ 573,373.79"/>
            <filter val="R$ 573,913.17"/>
            <filter val="R$ 578,456.36"/>
            <filter val="R$ 58,666.86"/>
            <filter val="R$ 58,806.46"/>
            <filter val="R$ 584,099.36"/>
            <filter val="R$ 589,795.71"/>
            <filter val="R$ 59,625.17"/>
            <filter val="R$ 59,863.50"/>
            <filter val="R$ 593,675.26"/>
            <filter val="R$ 593,915.89"/>
            <filter val="R$ 599,756.89"/>
            <filter val="R$ 6,198,048.03"/>
            <filter val="R$ 6,759.52"/>
            <filter val="R$ 60,179.48"/>
            <filter val="R$ 605,797.83"/>
            <filter val="R$ 607,050.12"/>
            <filter val="R$ 613,591.21"/>
            <filter val="R$ 616,152.86"/>
            <filter val="R$ 618,511.71"/>
            <filter val="R$ 62,390.42"/>
            <filter val="R$ 62,449.71"/>
            <filter val="R$ 62,568.40"/>
            <filter val="R$ 625,184.81"/>
            <filter val="R$ 633,330.80"/>
            <filter val="R$ 637,688.03"/>
            <filter val="R$ 64,099.99"/>
            <filter val="R$ 64,745.13"/>
            <filter val="R$ 645,332.56"/>
            <filter val="R$ 645,658.40"/>
            <filter val="R$ 648,672.86"/>
            <filter val="R$ 65,122.87"/>
            <filter val="R$ 651,865.15"/>
            <filter val="R$ 657,821.24"/>
            <filter val="R$ 66,948.91"/>
            <filter val="R$ 668,120.67"/>
            <filter val="R$ 67,813.40"/>
            <filter val="R$ 67,865.26"/>
            <filter val="R$ 67,963.36"/>
            <filter val="R$ 670,288.78"/>
            <filter val="R$ 677,840.76"/>
            <filter val="R$ 688,520.55"/>
            <filter val="R$ 69,784.91"/>
            <filter val="R$ 690,693.97"/>
            <filter val="R$ 7,174.63"/>
            <filter val="R$ 7,332,497.84"/>
            <filter val="R$ 705,505.43"/>
            <filter val="R$ 706,805.50"/>
            <filter val="R$ 71,056.31"/>
            <filter val="R$ 713,532.19"/>
            <filter val="R$ 718,767.34"/>
            <filter val="R$ 72,717.95"/>
            <filter val="R$ 724,329.76"/>
            <filter val="R$ 73,095.18"/>
            <filter val="R$ 73,289.24"/>
            <filter val="R$ 73,597.21"/>
            <filter val="R$ 748.49"/>
            <filter val="R$ 75,028.81"/>
            <filter val="R$ 75,391.26"/>
            <filter val="R$ 75,566.95"/>
            <filter val="R$ 75,769.16"/>
            <filter val="R$ 750,481.26"/>
            <filter val="R$ 751,642.51"/>
            <filter val="R$ 765,519.19"/>
            <filter val="R$ 767,063.11"/>
            <filter val="R$ 77,264.27"/>
            <filter val="R$ 777,749.68"/>
            <filter val="R$ 78,321.16"/>
            <filter val="R$ 788,851.10"/>
            <filter val="R$ 79,553.07"/>
            <filter val="R$ 791,149.87"/>
            <filter val="R$ 8,236,926.36"/>
            <filter val="R$ 8,914.99"/>
            <filter val="R$ 80,064.81"/>
            <filter val="R$ 80,159.88"/>
            <filter val="R$ 806,505.87"/>
            <filter val="R$ 806,972.53"/>
            <filter val="R$ 81,896.27"/>
            <filter val="R$ 811,716.97"/>
            <filter val="R$ 817,404.64"/>
            <filter val="R$ 82,402.63"/>
            <filter val="R$ 822,850.80"/>
            <filter val="R$ 823,387.03"/>
            <filter val="R$ 84,112.58"/>
            <filter val="R$ 85,488.26"/>
            <filter val="R$ 850,636.02"/>
            <filter val="R$ 852,917.92"/>
            <filter val="R$ 856,186.29"/>
            <filter val="R$ 86,552.22"/>
            <filter val="R$ 86,866.71"/>
            <filter val="R$ 86.38"/>
            <filter val="R$ 862,753.85"/>
            <filter val="R$ 863,930.09"/>
            <filter val="R$ 867,115.02"/>
            <filter val="R$ 87,237.52"/>
            <filter val="R$ 875,442.71"/>
            <filter val="R$ 88,648.81"/>
            <filter val="R$ 883,088.38"/>
            <filter val="R$ 885,576.29"/>
            <filter val="R$ 895,831.28"/>
            <filter val="R$ 9,279.92"/>
            <filter val="R$ 9.73"/>
            <filter val="R$ 90,200.82"/>
            <filter val="R$ 91,388.44"/>
            <filter val="R$ 93,530.33"/>
            <filter val="R$ 93,577.49"/>
            <filter val="R$ 93,604.02"/>
            <filter val="R$ 935,959.23"/>
            <filter val="R$ 938,170.02"/>
            <filter val="R$ 94,278.48"/>
            <filter val="R$ 96,678.81"/>
            <filter val="R$ 963,443.81"/>
            <filter val="R$ 966,990.10"/>
            <filter val="R$ 97,226.03"/>
            <filter val="R$ 97,755.11"/>
            <filter val="R$ 972,610.18"/>
            <filter val="R$ 975,509.87"/>
            <filter val="R$ 980,323.12"/>
            <filter val="R$ 99,689.10"/>
            <filter val="R$ 994,627.30"/>
            <filter val="R$ 995.42"/>
          </filters>
        </filterColumn>
      </autoFilter>
    </customSheetView>
    <customSheetView guid="{BE98C523-16C4-4799-B5C7-2FECDEAA3594}" filter="1" showAutoFilter="1">
      <pageMargins left="0" right="0" top="0" bottom="0" header="0" footer="0"/>
      <autoFilter ref="A1:AW1084" xr:uid="{56353A66-E4B7-4D75-8799-33DAF7B7E87E}">
        <filterColumn colId="5">
          <filters>
            <filter val="Alexandre Xavier"/>
            <filter val="André de Queiroz Coelho"/>
            <filter val="Antonio Volpato"/>
            <filter val="Bluemetrix"/>
            <filter val="Daniel Melhado"/>
            <filter val="Douglas Tuira"/>
            <filter val="Eleazar Ferreira Junior"/>
            <filter val="Felipe Cravos"/>
            <filter val="Felipe Miranda"/>
            <filter val="Gabriel Regis"/>
            <filter val="Guilherme dos Santos"/>
            <filter val="João Gabriel Miziara"/>
            <filter val="João Paulo Britto"/>
            <filter val="João Victor de Moura Beze"/>
            <filter val="Jorge Luiz Braga de Carvalho"/>
            <filter val="Leonardo Nascimento Porto"/>
            <filter val="Lucas Ferreira"/>
            <filter val="Lucas Oliveira"/>
            <filter val="Luis Felipe"/>
            <filter val="Marcelo Franciscon"/>
            <filter val="Marcos Serra"/>
            <filter val="Marcus Macedo"/>
            <filter val="Mariana Rocha"/>
            <filter val="Norton Jr"/>
            <filter val="Pamara Rosa"/>
            <filter val="Paula Bonfim"/>
            <filter val="Paula Lemos"/>
            <filter val="Rafael Guedes"/>
            <filter val="Rafaela Souza"/>
            <filter val="Raoni Costa"/>
            <filter val="Thais Helena"/>
            <filter val="thiago Canabrava"/>
            <filter val="Valeria Viana"/>
            <filter val="Victor Hugo Laurentino"/>
            <filter val="Vitor Pedrazzi"/>
          </filters>
        </filterColumn>
      </autoFilter>
    </customSheetView>
    <customSheetView guid="{80059556-C04D-4F8A-85F1-6777B5AF0DDA}" filter="1" showAutoFilter="1">
      <pageMargins left="0" right="0" top="0" bottom="0" header="0" footer="0"/>
      <autoFilter ref="K2:K1093" xr:uid="{D14ABB5F-50BF-4F5C-9849-9EFB6B1EF7CA}">
        <filterColumn colId="0">
          <filters>
            <filter val="01/02/2023"/>
            <filter val="01/02/2024"/>
            <filter val="01/04/2024"/>
            <filter val="01/04/2025"/>
            <filter val="01/07/2024"/>
            <filter val="01/07/2025"/>
            <filter val="01/08/2023"/>
            <filter val="01/08/2025"/>
            <filter val="01/09/2023"/>
            <filter val="01/10/2024"/>
            <filter val="01/12/2022"/>
            <filter val="01/12/2023"/>
            <filter val="01/12/2025"/>
            <filter val="02/01/2023"/>
            <filter val="02/01/2024"/>
            <filter val="02/01/2025"/>
            <filter val="02/02/2023"/>
            <filter val="02/03/2023"/>
            <filter val="02/05/2023"/>
            <filter val="02/05/2024"/>
            <filter val="02/06/2025"/>
            <filter val="02/07/2024"/>
            <filter val="02/08/2023"/>
            <filter val="02/08/2024"/>
            <filter val="02/09/2025"/>
            <filter val="02/10/2023"/>
            <filter val="03/01/2023"/>
            <filter val="03/02/2023"/>
            <filter val="03/02/2025"/>
            <filter val="03/03/2023"/>
            <filter val="03/04/2024"/>
            <filter val="03/04/2025"/>
            <filter val="03/05/2023"/>
            <filter val="03/05/2024"/>
            <filter val="03/06/2024"/>
            <filter val="03/06/2025"/>
            <filter val="03/07/2024"/>
            <filter val="03/07/2025"/>
            <filter val="03/08/2023"/>
            <filter val="03/10/2023"/>
            <filter val="03/10/2024"/>
            <filter val="03/11/2023"/>
            <filter val="03/11/2025"/>
            <filter val="04/02/2025"/>
            <filter val="04/03/2024"/>
            <filter val="04/04/2023"/>
            <filter val="04/04/2024"/>
            <filter val="04/06/2024"/>
            <filter val="04/06/2025"/>
            <filter val="04/07/2023"/>
            <filter val="04/08/2023"/>
            <filter val="04/09/2023"/>
            <filter val="04/09/2024"/>
            <filter val="04/09/2025"/>
            <filter val="04/10/2023"/>
            <filter val="04/11/2024"/>
            <filter val="04/12/2023"/>
            <filter val="04/12/2024"/>
            <filter val="04/12/2025"/>
            <filter val="05/01/2023"/>
            <filter val="05/01/2024"/>
            <filter val="05/01/2026"/>
            <filter val="05/02/2024"/>
            <filter val="05/02/2025"/>
            <filter val="05/03/2024"/>
            <filter val="05/04/2023"/>
            <filter val="05/04/2024"/>
            <filter val="05/05/2025"/>
            <filter val="05/06/2024"/>
            <filter val="05/09/2023"/>
            <filter val="05/10/2023"/>
            <filter val="05/11/2025"/>
            <filter val="05/12/2023"/>
            <filter val="06/01/2023"/>
            <filter val="06/01/2026"/>
            <filter val="06/02/2024"/>
            <filter val="06/02/2025"/>
            <filter val="06/03/2023"/>
            <filter val="06/03/2024"/>
            <filter val="06/04/2023"/>
            <filter val="06/05/2024"/>
            <filter val="06/06/2024"/>
            <filter val="06/06/2025"/>
            <filter val="06/07/2023"/>
            <filter val="06/09/2023"/>
            <filter val="06/11/2023"/>
            <filter val="06/11/2024"/>
            <filter val="06/12/2023"/>
            <filter val="07/02/2023"/>
            <filter val="07/02/2025"/>
            <filter val="07/04/2025"/>
            <filter val="07/05/2024"/>
            <filter val="07/05/2025"/>
            <filter val="07/06/2024"/>
            <filter val="07/07/2025"/>
            <filter val="07/08/2023"/>
            <filter val="07/10/2024"/>
            <filter val="07/11/2024"/>
            <filter val="07/11/2025"/>
            <filter val="07/12/2023"/>
            <filter val="08/01/2025"/>
            <filter val="08/01/2026"/>
            <filter val="08/02/2023"/>
            <filter val="08/02/2024"/>
            <filter val="08/03/2023"/>
            <filter val="08/03/2024"/>
            <filter val="08/04/2024"/>
            <filter val="08/04/2025"/>
            <filter val="08/05/2025"/>
            <filter val="08/07/2025"/>
            <filter val="08/09/2023"/>
            <filter val="08/10/2024"/>
            <filter val="08/10/2025"/>
            <filter val="08/11/2023"/>
            <filter val="08/11/2024"/>
            <filter val="08/12/2022"/>
            <filter val="08/12/2023"/>
            <filter val="09/01/2023"/>
            <filter val="09/01/2025"/>
            <filter val="09/02/2023"/>
            <filter val="09/02/2024"/>
            <filter val="09/04/2024"/>
            <filter val="09/04/2025"/>
            <filter val="09/05/2024"/>
            <filter val="09/08/2024"/>
            <filter val="09/09/2024"/>
            <filter val="09/09/2025"/>
            <filter val="09/10/2023"/>
            <filter val="09/10/2024"/>
            <filter val="09/11/2022"/>
            <filter val="10/01/2023"/>
            <filter val="10/01/2024"/>
            <filter val="10/02/2025"/>
            <filter val="10/03/2023"/>
            <filter val="10/03/2025"/>
            <filter val="10/04/2024"/>
            <filter val="10/04/2025"/>
            <filter val="10/05/2024"/>
            <filter val="10/06/2024"/>
            <filter val="10/07/2023"/>
            <filter val="10/07/2024"/>
            <filter val="10/07/2025"/>
            <filter val="10/08/2023"/>
            <filter val="10/09/2024"/>
            <filter val="10/09/2025"/>
            <filter val="10/10/2023"/>
            <filter val="10/10/2024"/>
            <filter val="10/10/2025"/>
            <filter val="10/11/2023"/>
            <filter val="10/12/2024"/>
            <filter val="10/12/2025"/>
            <filter val="11/02/2025"/>
            <filter val="11/03/2023"/>
            <filter val="11/03/2024"/>
            <filter val="11/04/2024"/>
            <filter val="11/06/2024"/>
            <filter val="11/06/2025"/>
            <filter val="11/07/2023"/>
            <filter val="11/08/2023"/>
            <filter val="11/08/2025"/>
            <filter val="11/09/2023"/>
            <filter val="11/09/2024"/>
            <filter val="11/10/2023"/>
            <filter val="11/10/2024"/>
            <filter val="11/11/2024"/>
            <filter val="11/12/2023"/>
            <filter val="11/12/2024"/>
            <filter val="11/12/2025"/>
            <filter val="12/01/2023"/>
            <filter val="12/02/2025"/>
            <filter val="12/03/2024"/>
            <filter val="12/03/2025"/>
            <filter val="12/04/2023"/>
            <filter val="12/04/2024"/>
            <filter val="12/05/2023"/>
            <filter val="12/06/2024"/>
            <filter val="12/08/2024"/>
            <filter val="12/09/2024"/>
            <filter val="12/12/2024"/>
            <filter val="12/12/2025"/>
            <filter val="13/01/2025"/>
            <filter val="13/01/2026"/>
            <filter val="13/02/2023"/>
            <filter val="13/02/2025"/>
            <filter val="13/03/2024"/>
            <filter val="13/03/2025"/>
            <filter val="13/04/2023"/>
            <filter val="13/05/2025"/>
            <filter val="13/06/2024"/>
            <filter val="13/07/2023"/>
            <filter val="13/09/2023"/>
            <filter val="13/09/2024"/>
            <filter val="13/10/2023"/>
            <filter val="13/11/2025"/>
            <filter val="13/12/2024"/>
            <filter val="14/02/2023"/>
            <filter val="14/03/2023"/>
            <filter val="14/03/2024"/>
            <filter val="14/03/2025"/>
            <filter val="14/04/2023"/>
            <filter val="14/05/2024"/>
            <filter val="14/06/2024"/>
            <filter val="14/07/2023"/>
            <filter val="14/07/2025"/>
            <filter val="14/08/2024"/>
            <filter val="14/09/2023"/>
            <filter val="14/10/2024"/>
            <filter val="14/11/2023"/>
            <filter val="14/11/2024"/>
            <filter val="15/01/2024"/>
            <filter val="15/01/2025"/>
            <filter val="15/02/2022"/>
            <filter val="15/02/2024"/>
            <filter val="15/03/2023"/>
            <filter val="15/05/2023"/>
            <filter val="15/05/2024"/>
            <filter val="15/06/2023"/>
            <filter val="15/07/2024"/>
            <filter val="15/08/2023"/>
            <filter val="15/08/2024"/>
            <filter val="15/09/2023"/>
            <filter val="15/09/2025"/>
            <filter val="15/10/2024"/>
            <filter val="15/10/2025"/>
            <filter val="16/01/2025"/>
            <filter val="16/02/2023"/>
            <filter val="16/02/2024"/>
            <filter val="16/03/2023"/>
            <filter val="16/04/2024"/>
            <filter val="16/05/2023"/>
            <filter val="16/06/2023"/>
            <filter val="16/06/2025"/>
            <filter val="16/07/2025"/>
            <filter val="16/08/2024"/>
            <filter val="16/09/2024"/>
            <filter val="16/09/2025"/>
            <filter val="16/11/2023"/>
            <filter val="16/12/2024"/>
            <filter val="16/12/2025"/>
            <filter val="17/01/2023"/>
            <filter val="17/01/2024"/>
            <filter val="17/02/2025"/>
            <filter val="17/03/2023"/>
            <filter val="17/03/2025"/>
            <filter val="17/04/2023"/>
            <filter val="17/04/2025"/>
            <filter val="17/06/2024"/>
            <filter val="17/06/2025"/>
            <filter val="17/07/2023"/>
            <filter val="17/07/2024"/>
            <filter val="17/09/2024"/>
            <filter val="17/09/2025"/>
            <filter val="17/10/2024"/>
            <filter val="17/11/2023"/>
            <filter val="18/01/2023"/>
            <filter val="18/01/2024"/>
            <filter val="18/02/2025"/>
            <filter val="18/03/2024"/>
            <filter val="18/04/2023"/>
            <filter val="18/06/2024"/>
            <filter val="18/06/2025"/>
            <filter val="18/07/2023"/>
            <filter val="18/08/2023"/>
            <filter val="18/09/2023"/>
            <filter val="18/09/2025"/>
            <filter val="18/10/2023"/>
            <filter val="18/11/2024"/>
            <filter val="18/12/2023"/>
            <filter val="18/12/2024"/>
            <filter val="18/12/2025"/>
            <filter val="19/01/2023"/>
            <filter val="19/02/2024"/>
            <filter val="19/03/2024"/>
            <filter val="19/04/2023"/>
            <filter val="19/04/2024"/>
            <filter val="19/06/2024"/>
            <filter val="19/07/2023"/>
            <filter val="19/08/2024"/>
            <filter val="19/09/2023"/>
            <filter val="19/10/2023"/>
            <filter val="19/11/2024"/>
            <filter val="19/12/2023"/>
            <filter val="19/12/2024"/>
            <filter val="19/12/2025"/>
            <filter val="20/01/2023"/>
            <filter val="20/01/2025"/>
            <filter val="20/02/2023"/>
            <filter val="20/02/2025"/>
            <filter val="20/03/2023"/>
            <filter val="20/03/2024"/>
            <filter val="20/03/2025"/>
            <filter val="20/04/2023"/>
            <filter val="20/05/2024"/>
            <filter val="20/06/2024"/>
            <filter val="20/06/2025"/>
            <filter val="20/07/2023"/>
            <filter val="20/08/2023"/>
            <filter val="20/09/2023"/>
            <filter val="20/10/2023"/>
            <filter val="20/10/2025"/>
            <filter val="20/11/2023"/>
            <filter val="20/12/2023"/>
            <filter val="20/12/2024"/>
            <filter val="21/02/2024"/>
            <filter val="21/02/2025"/>
            <filter val="21/03/2023"/>
            <filter val="21/05/2025"/>
            <filter val="21/06/2024"/>
            <filter val="21/07/2023"/>
            <filter val="21/08/2023"/>
            <filter val="21/08/2025"/>
            <filter val="21/09/2023"/>
            <filter val="21/10/2024"/>
            <filter val="21/10/2025"/>
            <filter val="21/11/2024"/>
            <filter val="21/11/2025"/>
            <filter val="21/12/2023"/>
            <filter val="22/01/2024"/>
            <filter val="22/02/2023"/>
            <filter val="22/02/2024"/>
            <filter val="22/03/2023"/>
            <filter val="22/03/2024"/>
            <filter val="22/07/2024"/>
            <filter val="22/08/2023"/>
            <filter val="22/09/2023"/>
            <filter val="22/10/2024"/>
            <filter val="22/10/2025"/>
            <filter val="22/11/2023"/>
            <filter val="22/12/2023"/>
            <filter val="22/12/2025"/>
            <filter val="23/01/2023"/>
            <filter val="23/01/2024"/>
            <filter val="23/02/2024"/>
            <filter val="23/04/2024"/>
            <filter val="23/05/2023"/>
            <filter val="23/05/2025"/>
            <filter val="23/07/2025"/>
            <filter val="23/09/2024"/>
            <filter val="23/09/2025"/>
            <filter val="23/10/2023"/>
            <filter val="23/11/2023"/>
            <filter val="23/12/2025"/>
            <filter val="24/01/2023"/>
            <filter val="24/01/2024"/>
            <filter val="24/01/2025"/>
            <filter val="24/02/2023"/>
            <filter val="24/03/2023"/>
            <filter val="24/04/2023"/>
            <filter val="24/04/2025"/>
            <filter val="24/06/2024"/>
            <filter val="24/06/2025"/>
            <filter val="24/07/2023"/>
            <filter val="24/08/2023"/>
            <filter val="24/09/2025"/>
            <filter val="24/10/2023"/>
            <filter val="24/11/2023"/>
            <filter val="24/11/2025"/>
            <filter val="25/01/2023"/>
            <filter val="25/02/2025"/>
            <filter val="25/03/2024"/>
            <filter val="25/03/2025"/>
            <filter val="25/04/2023"/>
            <filter val="25/04/2024"/>
            <filter val="25/04/2025"/>
            <filter val="25/05/2023"/>
            <filter val="25/06/2024"/>
            <filter val="25/07/2023"/>
            <filter val="25/07/2024"/>
            <filter val="25/08/2023"/>
            <filter val="25/08/2025"/>
            <filter val="25/09/2024"/>
            <filter val="25/09/2025"/>
            <filter val="25/11/2023"/>
            <filter val="26/02/2024"/>
            <filter val="26/03/2024"/>
            <filter val="26/03/2025"/>
            <filter val="26/04/2023"/>
            <filter val="26/04/2024"/>
            <filter val="26/06/2024"/>
            <filter val="26/07/2023"/>
            <filter val="26/09/2025"/>
            <filter val="26/10/2023"/>
            <filter val="26/12/2024"/>
            <filter val="27/01/2023"/>
            <filter val="27/02/2024"/>
            <filter val="27/03/2025"/>
            <filter val="27/05/2024"/>
            <filter val="27/06/2024"/>
            <filter val="27/06/2025"/>
            <filter val="27/07/2023"/>
            <filter val="27/08/2025"/>
            <filter val="27/09/2023"/>
            <filter val="27/09/2024"/>
            <filter val="27/10/2023"/>
            <filter val="27/10/2025"/>
            <filter val="27/11/2023"/>
            <filter val="27/11/2024"/>
            <filter val="28/01/2025"/>
            <filter val="28/02/2023"/>
            <filter val="28/02/2024"/>
            <filter val="28/02/2025"/>
            <filter val="28/03/2023"/>
            <filter val="28/05/2024"/>
            <filter val="28/07/2023"/>
            <filter val="28/08/2023"/>
            <filter val="28/09/2023"/>
            <filter val="29/01/2023"/>
            <filter val="29/03/2023"/>
            <filter val="29/05/2024"/>
            <filter val="29/05/2025"/>
            <filter val="29/08/2025"/>
            <filter val="29/09/2023"/>
            <filter val="29/11/2023"/>
            <filter val="29/11/2024"/>
            <filter val="29/12/2025"/>
            <filter val="30/01/2023"/>
            <filter val="30/01/2024"/>
            <filter val="30/03/2023"/>
            <filter val="30/04/2024"/>
            <filter val="30/04/2025"/>
            <filter val="30/05/2023"/>
            <filter val="30/05/2025"/>
            <filter val="30/06/2023"/>
            <filter val="30/07/2024"/>
            <filter val="30/08/2023"/>
            <filter val="30/09/2024"/>
            <filter val="30/10/2023"/>
            <filter val="30/10/2025"/>
            <filter val="30/11/2023"/>
            <filter val="31/01/2023"/>
            <filter val="31/01/2024"/>
            <filter val="31/01/2025"/>
            <filter val="31/03/2023"/>
            <filter val="31/05/2023"/>
            <filter val="31/07/2024"/>
            <filter val="31/07/2025"/>
            <filter val="31/10/2023"/>
            <filter val="31/10/2025"/>
          </filters>
        </filterColumn>
      </autoFilter>
    </customSheetView>
    <customSheetView guid="{F15FF684-7769-4505-B2AB-70888CAB489D}" filter="1" showAutoFilter="1">
      <pageMargins left="0" right="0" top="0" bottom="0" header="0" footer="0"/>
      <autoFilter ref="F2:F1093" xr:uid="{B1F5223D-7563-485D-AF1B-4AFB1E359344}"/>
    </customSheetView>
    <customSheetView guid="{11E82F7A-A513-409C-8889-85D2D04EAA93}" filter="1" showAutoFilter="1">
      <pageMargins left="0" right="0" top="0" bottom="0" header="0" footer="0"/>
      <autoFilter ref="B2:AN1088" xr:uid="{BEFB0D98-65DE-48A5-8138-ECC7EC19B282}"/>
    </customSheetView>
    <customSheetView guid="{E22319CF-3753-47A5-B289-E2A97398BB8E}" filter="1" showAutoFilter="1">
      <pageMargins left="0" right="0" top="0" bottom="0" header="0" footer="0"/>
      <autoFilter ref="B2:AO1088" xr:uid="{831333F0-6154-474B-9D17-9BA5D9697E2A}"/>
    </customSheetView>
    <customSheetView guid="{A2DA313D-541E-4594-B799-3E48419A20BA}" filter="1" showAutoFilter="1">
      <pageMargins left="0" right="0" top="0" bottom="0" header="0" footer="0"/>
      <autoFilter ref="A2:AV1084" xr:uid="{651BDA7E-FFA7-4449-AE66-98E090821DA9}">
        <filterColumn colId="8">
          <filters>
            <filter val="Monitoramento"/>
            <filter val="Resgate Total"/>
            <filter val="Troca de Assessoria"/>
          </filters>
        </filterColumn>
      </autoFilter>
    </customSheetView>
    <customSheetView guid="{6C0BBECD-A50F-4906-B232-F202421F246E}" filter="1" showAutoFilter="1">
      <pageMargins left="0" right="0" top="0" bottom="0" header="0" footer="0"/>
      <autoFilter ref="A1:AU1084" xr:uid="{ACF85A4C-A7BA-446F-B99E-F2ADC7D550EA}">
        <filterColumn colId="24">
          <filters>
            <filter val="Inativo"/>
          </filters>
        </filterColumn>
      </autoFilter>
    </customSheetView>
    <customSheetView guid="{EF930F08-600E-41B2-A950-EDFA862A4DF5}" filter="1" showAutoFilter="1">
      <pageMargins left="0" right="0" top="0" bottom="0" header="0" footer="0"/>
      <autoFilter ref="A1:AT1084" xr:uid="{953D616F-2B96-4169-9C36-1073F370B97C}"/>
    </customSheetView>
    <customSheetView guid="{8D824072-7468-4CA8-93C5-C695445D9E65}" filter="1" showAutoFilter="1">
      <pageMargins left="0" right="0" top="0" bottom="0" header="0" footer="0"/>
      <autoFilter ref="A1:AV1084" xr:uid="{1036A76A-A367-40E6-A057-A612F9FC308E}">
        <filterColumn colId="24">
          <filters>
            <filter val="Inativo"/>
          </filters>
        </filterColumn>
      </autoFilter>
    </customSheetView>
    <customSheetView guid="{42D21524-78A6-48BE-B817-2DEE65E174F2}" filter="1" showAutoFilter="1">
      <pageMargins left="0" right="0" top="0" bottom="0" header="0" footer="0"/>
      <autoFilter ref="A2:AV1084" xr:uid="{AB16EA90-0A59-4034-8FE0-5255C6CD94DA}">
        <filterColumn colId="7">
          <filters>
            <filter val="Inativo"/>
          </filters>
        </filterColumn>
        <filterColumn colId="8">
          <filters>
            <filter val="------"/>
            <filter val="Resgate Total"/>
            <filter val="Troca de Assessoria"/>
          </filters>
        </filterColumn>
      </autoFilter>
    </customSheetView>
    <customSheetView guid="{EC630380-4E32-463C-A081-3FD6E39B14D4}" filter="1" showAutoFilter="1">
      <pageMargins left="0" right="0" top="0" bottom="0" header="0" footer="0"/>
      <autoFilter ref="A2:AU1084" xr:uid="{CD5AD64B-8630-4C27-8B36-AA37212E09D8}"/>
    </customSheetView>
    <customSheetView guid="{4F2CCAF3-97EF-4C30-8A9B-B6C17B3875D4}" filter="1" showAutoFilter="1">
      <pageMargins left="0" right="0" top="0" bottom="0" header="0" footer="0"/>
      <autoFilter ref="A2:AW1084" xr:uid="{228440A8-5141-4C3C-8437-419B85238AA2}">
        <filterColumn colId="12">
          <filters>
            <filter val="CON/ COADM"/>
            <filter val="DIV/ COADM"/>
            <filter val="EQT/ COADM"/>
            <filter val="INC"/>
            <filter val="INC CP"/>
            <filter val="INC CP/ COADM"/>
            <filter val="INC/ COADM"/>
            <filter val="MOD/ COADM"/>
            <filter val="MOD/ PREV MOD/ COADM"/>
            <filter val="MONT/ COADM"/>
            <filter val="MULT PRIV"/>
            <filter val="MULT PRIV/ CO ADM"/>
            <filter val="STOCK"/>
          </filters>
        </filterColumn>
        <filterColumn colId="48">
          <filters>
            <filter val="R$ 0.00"/>
            <filter val="R$ 0.01"/>
            <filter val="R$ 0.09"/>
            <filter val="R$ 0.14"/>
            <filter val="R$ 0.15"/>
            <filter val="R$ 0.16"/>
            <filter val="R$ 0.39"/>
            <filter val="R$ 0.78"/>
            <filter val="R$ 0.89"/>
            <filter val="R$ 1,000,991.59"/>
            <filter val="R$ 1,001.59"/>
            <filter val="R$ 1,009,941.62"/>
            <filter val="R$ 1,042,902.05"/>
            <filter val="R$ 1,047,159.73"/>
            <filter val="R$ 1,053,898.68"/>
            <filter val="R$ 1,063,307.91"/>
            <filter val="R$ 1,064,896.89"/>
            <filter val="R$ 1,066,970.04"/>
            <filter val="R$ 1,069,095.93"/>
            <filter val="R$ 1,077,534.52"/>
            <filter val="R$ 1,119.31"/>
            <filter val="R$ 1,120,231.44"/>
            <filter val="R$ 1,126.35"/>
            <filter val="R$ 1,153,441.88"/>
            <filter val="R$ 1,158,198.34"/>
            <filter val="R$ 1,181,453.01"/>
            <filter val="R$ 1,200,219.25"/>
            <filter val="R$ 1,239,870.15"/>
            <filter val="R$ 1,242,953.36"/>
            <filter val="R$ 1,255,013.76"/>
            <filter val="R$ 1,277,140.44"/>
            <filter val="R$ 1,289,543.74"/>
            <filter val="R$ 1,293,675.25"/>
            <filter val="R$ 1,301.52"/>
            <filter val="R$ 1,303,972.44"/>
            <filter val="R$ 1,312,108.37"/>
            <filter val="R$ 1,346,659.30"/>
            <filter val="R$ 1,365,082.92"/>
            <filter val="R$ 1,384,069.46"/>
            <filter val="R$ 1,426,979.35"/>
            <filter val="R$ 1,428,887.09"/>
            <filter val="R$ 1,431,243.69"/>
            <filter val="R$ 1,444,199.99"/>
            <filter val="R$ 1,459,910.20"/>
            <filter val="R$ 1,464.62"/>
            <filter val="R$ 1,485,219.16"/>
            <filter val="R$ 1,504.25"/>
            <filter val="R$ 1,563,469.43"/>
            <filter val="R$ 1,596,659.71"/>
            <filter val="R$ 1,609,197.92"/>
            <filter val="R$ 1,633,210.16"/>
            <filter val="R$ 1,639,208.17"/>
            <filter val="R$ 1,650,026.08"/>
            <filter val="R$ 1,698,417.81"/>
            <filter val="R$ 1,806,232.88"/>
            <filter val="R$ 1,823,412.12"/>
            <filter val="R$ 1,833,654.69"/>
            <filter val="R$ 1,882,119.94"/>
            <filter val="R$ 1,890,115.85"/>
            <filter val="R$ 1,998,699.75"/>
            <filter val="R$ 1.06"/>
            <filter val="R$ 10,117.07"/>
            <filter val="R$ 10,727.74"/>
            <filter val="R$ 101,205.41"/>
            <filter val="R$ 101,250.66"/>
            <filter val="R$ 101,505.39"/>
            <filter val="R$ 102,329.32"/>
            <filter val="R$ 102,513.19"/>
            <filter val="R$ 102,856.91"/>
            <filter val="R$ 103,054.56"/>
            <filter val="R$ 103,114.97"/>
            <filter val="R$ 103,594.28"/>
            <filter val="R$ 104,300.00"/>
            <filter val="R$ 104,327.22"/>
            <filter val="R$ 104,351.34"/>
            <filter val="R$ 104,501.31"/>
            <filter val="R$ 104,663.11"/>
            <filter val="R$ 104,723.20"/>
            <filter val="R$ 104,868.18"/>
            <filter val="R$ 105,164.21"/>
            <filter val="R$ 107,205.88"/>
            <filter val="R$ 107,989.36"/>
            <filter val="R$ 108,303.40"/>
            <filter val="R$ 109,137.66"/>
            <filter val="R$ 11,431.85"/>
            <filter val="R$ 11,512.46"/>
            <filter val="R$ 111,686.15"/>
            <filter val="R$ 111,940.50"/>
            <filter val="R$ 112,663.48"/>
            <filter val="R$ 114,381.89"/>
            <filter val="R$ 114,402.67"/>
            <filter val="R$ 114,480.81"/>
            <filter val="R$ 115,044.75"/>
            <filter val="R$ 117,049.00"/>
            <filter val="R$ 119,862.32"/>
            <filter val="R$ 119,901.52"/>
            <filter val="R$ 121,658.89"/>
            <filter val="R$ 121,852.18"/>
            <filter val="R$ 124,791.66"/>
            <filter val="R$ 125,398.61"/>
            <filter val="R$ 126,220.89"/>
            <filter val="R$ 129,147.12"/>
            <filter val="R$ 129,147.26"/>
            <filter val="R$ 13,068.91"/>
            <filter val="R$ 13,716.42"/>
            <filter val="R$ 130,282.38"/>
            <filter val="R$ 131,805.24"/>
            <filter val="R$ 132,130.09"/>
            <filter val="R$ 133,503.57"/>
            <filter val="R$ 134,379.96"/>
            <filter val="R$ 134,780.95"/>
            <filter val="R$ 135,941.03"/>
            <filter val="R$ 136,394.09"/>
            <filter val="R$ 137,351.63"/>
            <filter val="R$ 137,435.10"/>
            <filter val="R$ 137,673.40"/>
            <filter val="R$ 137.32"/>
            <filter val="R$ 139,093.47"/>
            <filter val="R$ 139,736.26"/>
            <filter val="R$ 14,230.92"/>
            <filter val="R$ 14,747.84"/>
            <filter val="R$ 14.67"/>
            <filter val="R$ 140,246.64"/>
            <filter val="R$ 140,285.00"/>
            <filter val="R$ 140,287.07"/>
            <filter val="R$ 140,596.37"/>
            <filter val="R$ 140.59"/>
            <filter val="R$ 141,341.87"/>
            <filter val="R$ 141,659.22"/>
            <filter val="R$ 142,733.52"/>
            <filter val="R$ 144,284.80"/>
            <filter val="R$ 144,495.55"/>
            <filter val="R$ 146,841.97"/>
            <filter val="R$ 146.74"/>
            <filter val="R$ 149,376.34"/>
            <filter val="R$ 15,351.73"/>
            <filter val="R$ 15,935.10"/>
            <filter val="R$ 150,464.07"/>
            <filter val="R$ 150,736.95"/>
            <filter val="R$ 152,100.88"/>
            <filter val="R$ 153,435.44"/>
            <filter val="R$ 154,454.13"/>
            <filter val="R$ 154,923.63"/>
            <filter val="R$ 157,321.63"/>
            <filter val="R$ 158,703.75"/>
            <filter val="R$ 158,825.91"/>
            <filter val="R$ 159,902.35"/>
            <filter val="R$ 16,523,890.02"/>
            <filter val="R$ 16,731.64"/>
            <filter val="R$ 16.18"/>
            <filter val="R$ 160,214.99"/>
            <filter val="R$ 160,286.49"/>
            <filter val="R$ 160,710.31"/>
            <filter val="R$ 162,158.77"/>
            <filter val="R$ 162,955.89"/>
            <filter val="R$ 163,478.71"/>
            <filter val="R$ 163,997.52"/>
            <filter val="R$ 164,501.49"/>
            <filter val="R$ 167,672.40"/>
            <filter val="R$ 167,903.82"/>
            <filter val="R$ 168,695.58"/>
            <filter val="R$ 169,309.23"/>
            <filter val="R$ 17,659.52"/>
            <filter val="R$ 170.67"/>
            <filter val="R$ 171,477.40"/>
            <filter val="R$ 171.31"/>
            <filter val="R$ 172,384.33"/>
            <filter val="R$ 174,526.13"/>
            <filter val="R$ 176,404.80"/>
            <filter val="R$ 177,375.23"/>
            <filter val="R$ 179,899.19"/>
            <filter val="R$ 18,586.32"/>
            <filter val="R$ 18.77"/>
            <filter val="R$ 180,938.03"/>
            <filter val="R$ 185,296.17"/>
            <filter val="R$ 187,596.72"/>
            <filter val="R$ 191,029.53"/>
            <filter val="R$ 193,588.35"/>
            <filter val="R$ 193,638.73"/>
            <filter val="R$ 194,411.18"/>
            <filter val="R$ 194,882.55"/>
            <filter val="R$ 196,353.37"/>
            <filter val="R$ 2,007,276.64"/>
            <filter val="R$ 2,050.86"/>
            <filter val="R$ 2,130,656.17"/>
            <filter val="R$ 2,137,864.26"/>
            <filter val="R$ 2,241,552.06"/>
            <filter val="R$ 2,244,094.95"/>
            <filter val="R$ 2,277,301.51"/>
            <filter val="R$ 2,325.06"/>
            <filter val="R$ 2,426,511.51"/>
            <filter val="R$ 2,503.58"/>
            <filter val="R$ 2,546.54"/>
            <filter val="R$ 2,584,018.75"/>
            <filter val="R$ 2,756,883.68"/>
            <filter val="R$ 2,795,806.80"/>
            <filter val="R$ 2,839,628.15"/>
            <filter val="R$ 2,847,042.41"/>
            <filter val="R$ 20,653.07"/>
            <filter val="R$ 20.72"/>
            <filter val="R$ 200,155.63"/>
            <filter val="R$ 203,035.19"/>
            <filter val="R$ 203,143.75"/>
            <filter val="R$ 203,648.03"/>
            <filter val="R$ 204,538.43"/>
            <filter val="R$ 205,686.07"/>
            <filter val="R$ 205,870.37"/>
            <filter val="R$ 206,222.73"/>
            <filter val="R$ 207,011.53"/>
            <filter val="R$ 207,262.24"/>
            <filter val="R$ 209,678.10"/>
            <filter val="R$ 209.26"/>
            <filter val="R$ 21,052.45"/>
            <filter val="R$ 210,854.24"/>
            <filter val="R$ 210,892.59"/>
            <filter val="R$ 214,690.42"/>
            <filter val="R$ 216,644.68"/>
            <filter val="R$ 22,583.51"/>
            <filter val="R$ 220,034.61"/>
            <filter val="R$ 220,877.83"/>
            <filter val="R$ 223,808.12"/>
            <filter val="R$ 225.51"/>
            <filter val="R$ 225.57"/>
            <filter val="R$ 226,091.54"/>
            <filter val="R$ 227,436.61"/>
            <filter val="R$ 229,850.74"/>
            <filter val="R$ 23,577.54"/>
            <filter val="R$ 237,902.88"/>
            <filter val="R$ 238,572.20"/>
            <filter val="R$ 240,282.31"/>
            <filter val="R$ 240,651.02"/>
            <filter val="R$ 241,158.97"/>
            <filter val="R$ 243,986.61"/>
            <filter val="R$ 244,225.82"/>
            <filter val="R$ 245,498.57"/>
            <filter val="R$ 245,889.80"/>
            <filter val="R$ 246,738.52"/>
            <filter val="R$ 247,051.88"/>
            <filter val="R$ 252,228.48"/>
            <filter val="R$ 252,690.67"/>
            <filter val="R$ 254,560.55"/>
            <filter val="R$ 256,018.70"/>
            <filter val="R$ 256,538.48"/>
            <filter val="R$ 26,561.96"/>
            <filter val="R$ 26,596.87"/>
            <filter val="R$ 26,929.96"/>
            <filter val="R$ 262,611.44"/>
            <filter val="R$ 264,749.49"/>
            <filter val="R$ 265,209.88"/>
            <filter val="R$ 265,297.84"/>
            <filter val="R$ 265,516.80"/>
            <filter val="R$ 267,033.97"/>
            <filter val="R$ 267,336.43"/>
            <filter val="R$ 268,734.95"/>
            <filter val="R$ 273,707.75"/>
            <filter val="R$ 276,789.02"/>
            <filter val="R$ 278,391.66"/>
            <filter val="R$ 279,463.95"/>
            <filter val="R$ 28,025.44"/>
            <filter val="R$ 28,193.34"/>
            <filter val="R$ 282,668.50"/>
            <filter val="R$ 283,791.34"/>
            <filter val="R$ 284.91"/>
            <filter val="R$ 286,943.12"/>
            <filter val="R$ 289,037.78"/>
            <filter val="R$ 29,309.64"/>
            <filter val="R$ 294,500.57"/>
            <filter val="R$ 294,925.98"/>
            <filter val="R$ 297,895.15"/>
            <filter val="R$ 3,023,601.99"/>
            <filter val="R$ 3,214,698.19"/>
            <filter val="R$ 3,322.39"/>
            <filter val="R$ 3,361,260.34"/>
            <filter val="R$ 3,431,369.99"/>
            <filter val="R$ 3,755,707.41"/>
            <filter val="R$ 3,819,221.34"/>
            <filter val="R$ 3,839,579.00"/>
            <filter val="R$ 30,257.60"/>
            <filter val="R$ 30,358.37"/>
            <filter val="R$ 30.02"/>
            <filter val="R$ 302,703.59"/>
            <filter val="R$ 306,615.91"/>
            <filter val="R$ 31,005.58"/>
            <filter val="R$ 31,477.15"/>
            <filter val="R$ 313,290.90"/>
            <filter val="R$ 313,646.34"/>
            <filter val="R$ 313,991.54"/>
            <filter val="R$ 316,403.92"/>
            <filter val="R$ 32,287.35"/>
            <filter val="R$ 320,036.63"/>
            <filter val="R$ 323,405.42"/>
            <filter val="R$ 325,439.29"/>
            <filter val="R$ 325,691.07"/>
            <filter val="R$ 327,583.28"/>
            <filter val="R$ 33,853.44"/>
            <filter val="R$ 33,983.76"/>
            <filter val="R$ 33,992.91"/>
            <filter val="R$ 33.05"/>
            <filter val="R$ 330,757.68"/>
            <filter val="R$ 334,298.87"/>
            <filter val="R$ 334,953.40"/>
            <filter val="R$ 336,551.07"/>
            <filter val="R$ 337,962.60"/>
            <filter val="R$ 342,743.89"/>
            <filter val="R$ 345,713.60"/>
            <filter val="R$ 346,764.92"/>
            <filter val="R$ 347,570.86"/>
            <filter val="R$ 348,379.66"/>
            <filter val="R$ 35,274.58"/>
            <filter val="R$ 35,304.36"/>
            <filter val="R$ 35,463.24"/>
            <filter val="R$ 35,820.13"/>
            <filter val="R$ 35.29"/>
            <filter val="R$ 350,725.59"/>
            <filter val="R$ 351,339.11"/>
            <filter val="R$ 352,782.73"/>
            <filter val="R$ 353.00"/>
            <filter val="R$ 356,098.04"/>
            <filter val="R$ 357,875.71"/>
            <filter val="R$ 361,097.71"/>
            <filter val="R$ 364,082.52"/>
            <filter val="R$ 365,697.18"/>
            <filter val="R$ 366,231.42"/>
            <filter val="R$ 368,564.59"/>
            <filter val="R$ 368,641.85"/>
            <filter val="R$ 374,712.09"/>
            <filter val="R$ 376,620.20"/>
            <filter val="R$ 377,147.44"/>
            <filter val="R$ 378,431.57"/>
            <filter val="R$ 388,775.00"/>
            <filter val="R$ 390,387.65"/>
            <filter val="R$ 394,597.36"/>
            <filter val="R$ 396,652.54"/>
            <filter val="R$ 4,039,125.48"/>
            <filter val="R$ 4,295,934.78"/>
            <filter val="R$ 4,312,662.84"/>
            <filter val="R$ 4,397,477.29"/>
            <filter val="R$ 4,460,551.74"/>
            <filter val="R$ 4,485,768.68"/>
            <filter val="R$ 40,194.98"/>
            <filter val="R$ 404,628.32"/>
            <filter val="R$ 407,678.64"/>
            <filter val="R$ 41,435.87"/>
            <filter val="R$ 41,967.58"/>
            <filter val="R$ 42,685.50"/>
            <filter val="R$ 42,896.63"/>
            <filter val="R$ 421,870.60"/>
            <filter val="R$ 425,000.19"/>
            <filter val="R$ 426,797.43"/>
            <filter val="R$ 427,208.00"/>
            <filter val="R$ 427,432.58"/>
            <filter val="R$ 428,542.58"/>
            <filter val="R$ 43,052.43"/>
            <filter val="R$ 43,467.77"/>
            <filter val="R$ 430,801.34"/>
            <filter val="R$ 430,912.15"/>
            <filter val="R$ 435.94"/>
            <filter val="R$ 436,678.49"/>
            <filter val="R$ 438,530.77"/>
            <filter val="R$ 44,497.80"/>
            <filter val="R$ 443,417.86"/>
            <filter val="R$ 450,866.14"/>
            <filter val="R$ 450.54"/>
            <filter val="R$ 456,589.58"/>
            <filter val="R$ 46,392.12"/>
            <filter val="R$ 460,657.48"/>
            <filter val="R$ 461,792.47"/>
            <filter val="R$ 463,317.50"/>
            <filter val="R$ 466,830.27"/>
            <filter val="R$ 473,331.37"/>
            <filter val="R$ 48,297.43"/>
            <filter val="R$ 48,585.14"/>
            <filter val="R$ 48,852.60"/>
            <filter val="R$ 492,167.63"/>
            <filter val="R$ 493,164.06"/>
            <filter val="R$ 494,699.39"/>
            <filter val="R$ 5,028.95"/>
            <filter val="R$ 5,194.78"/>
            <filter val="R$ 5,612.56"/>
            <filter val="R$ 5,744.77"/>
            <filter val="R$ 5,818,801.75"/>
            <filter val="R$ 5.55"/>
            <filter val="R$ 50,061.93"/>
            <filter val="R$ 50,269.97"/>
            <filter val="R$ 50,397.13"/>
            <filter val="R$ 50,930.79"/>
            <filter val="R$ 50.26"/>
            <filter val="R$ 500,890.57"/>
            <filter val="R$ 501,159.88"/>
            <filter val="R$ 504,924.71"/>
            <filter val="R$ 51,013.45"/>
            <filter val="R$ 51,054.53"/>
            <filter val="R$ 510,606.55"/>
            <filter val="R$ 519,788.90"/>
            <filter val="R$ 525,434.07"/>
            <filter val="R$ 525,472.70"/>
            <filter val="R$ 527,081.27"/>
            <filter val="R$ 53,505.91"/>
            <filter val="R$ 53,523.46"/>
            <filter val="R$ 530,776.49"/>
            <filter val="R$ 536,257.18"/>
            <filter val="R$ 54,098.91"/>
            <filter val="R$ 54,451.84"/>
            <filter val="R$ 540,494.52"/>
            <filter val="R$ 541,516.93"/>
            <filter val="R$ 545,892.12"/>
            <filter val="R$ 55,930.45"/>
            <filter val="R$ 550,429.91"/>
            <filter val="R$ 550,621.00"/>
            <filter val="R$ 551.26"/>
            <filter val="R$ 554,805.92"/>
            <filter val="R$ 555,199.17"/>
            <filter val="R$ 56,802.00"/>
            <filter val="R$ 567,918.27"/>
            <filter val="R$ 567.70"/>
            <filter val="R$ 568,342.23"/>
            <filter val="R$ 569,717.36"/>
            <filter val="R$ 57,945.12"/>
            <filter val="R$ 574,327.63"/>
            <filter val="R$ 574,607.37"/>
            <filter val="R$ 577,230.70"/>
            <filter val="R$ 58,076.04"/>
            <filter val="R$ 58,345.64"/>
            <filter val="R$ 58,458.23"/>
            <filter val="R$ 58,668.22"/>
            <filter val="R$ 580.01"/>
            <filter val="R$ 581,827.86"/>
            <filter val="R$ 582,727.07"/>
            <filter val="R$ 586,787.50"/>
            <filter val="R$ 59,694.45"/>
            <filter val="R$ 594,327.36"/>
            <filter val="R$ 6,000.00"/>
            <filter val="R$ 6,155.03"/>
            <filter val="R$ 6,273,001.62"/>
            <filter val="R$ 6,745.71"/>
            <filter val="R$ 6,859.37"/>
            <filter val="R$ 603,404.57"/>
            <filter val="R$ 607,761.38"/>
            <filter val="R$ 608,996.41"/>
            <filter val="R$ 62,837.01"/>
            <filter val="R$ 622,694.76"/>
            <filter val="R$ 623,702.07"/>
            <filter val="R$ 625,486.55"/>
            <filter val="R$ 626,479.97"/>
            <filter val="R$ 626,625.64"/>
            <filter val="R$ 63,760.24"/>
            <filter val="R$ 633,953.26"/>
            <filter val="R$ 640,051.07"/>
            <filter val="R$ 648,589.35"/>
            <filter val="R$ 65,158.14"/>
            <filter val="R$ 655,293.54"/>
            <filter val="R$ 655,720.22"/>
            <filter val="R$ 656,283.35"/>
            <filter val="R$ 66,386.28"/>
            <filter val="R$ 66,405.76"/>
            <filter val="R$ 663,216.71"/>
            <filter val="R$ 663,847.98"/>
            <filter val="R$ 668,407.40"/>
            <filter val="R$ 67,105.66"/>
            <filter val="R$ 676,174.01"/>
            <filter val="R$ 68,035.38"/>
            <filter val="R$ 68,171.38"/>
            <filter val="R$ 68,755.69"/>
            <filter val="R$ 68.39"/>
            <filter val="R$ 680,459.13"/>
            <filter val="R$ 686,867.99"/>
            <filter val="R$ 688,196.81"/>
            <filter val="R$ 69,000.88"/>
            <filter val="R$ 69,098.44"/>
            <filter val="R$ 697,736.76"/>
            <filter val="R$ 7,188.30"/>
            <filter val="R$ 7,292,274.01"/>
            <filter val="R$ 7,323.91"/>
            <filter val="R$ 7,600.49"/>
            <filter val="R$ 703,252.34"/>
            <filter val="R$ 71,720.31"/>
            <filter val="R$ 718,812.51"/>
            <filter val="R$ 73,158.95"/>
            <filter val="R$ 73,840.23"/>
            <filter val="R$ 73.59"/>
            <filter val="R$ 731,594.67"/>
            <filter val="R$ 74,163.19"/>
            <filter val="R$ 74,212.90"/>
            <filter val="R$ 74,734.14"/>
            <filter val="R$ 75,125.82"/>
            <filter val="R$ 759,514.93"/>
            <filter val="R$ 759.00"/>
            <filter val="R$ 76,475.19"/>
            <filter val="R$ 765,575.63"/>
            <filter val="R$ 77,206.92"/>
            <filter val="R$ 77,351.94"/>
            <filter val="R$ 77,652.46"/>
            <filter val="R$ 773,226.21"/>
            <filter val="R$ 778,613.49"/>
            <filter val="R$ 79,278.76"/>
            <filter val="R$ 79,591.77"/>
            <filter val="R$ 8,080,494.59"/>
            <filter val="R$ 801,302.32"/>
            <filter val="R$ 802,110.67"/>
            <filter val="R$ 803,507.43"/>
            <filter val="R$ 807,149.98"/>
            <filter val="R$ 81,039.79"/>
            <filter val="R$ 812,486.91"/>
            <filter val="R$ 815,684.51"/>
            <filter val="R$ 818,622.85"/>
            <filter val="R$ 828,451.96"/>
            <filter val="R$ 829,370.48"/>
            <filter val="R$ 83,186.65"/>
            <filter val="R$ 830,733.73"/>
            <filter val="R$ 836,610.72"/>
            <filter val="R$ 837,618.20"/>
            <filter val="R$ 85,768.99"/>
            <filter val="R$ 850,022.20"/>
            <filter val="R$ 859,210.00"/>
            <filter val="R$ 86,482.09"/>
            <filter val="R$ 86.38"/>
            <filter val="R$ 862,950.86"/>
            <filter val="R$ 863,638.46"/>
            <filter val="R$ 868,861.72"/>
            <filter val="R$ 870,146.90"/>
            <filter val="R$ 874,087.61"/>
            <filter val="R$ 880,475.50"/>
            <filter val="R$ 889,186.44"/>
            <filter val="R$ 89,216.53"/>
            <filter val="R$ 89,381.90"/>
            <filter val="R$ 89,547.54"/>
            <filter val="R$ 892,261.10"/>
            <filter val="R$ 898,278.39"/>
            <filter val="R$ 9,079.50"/>
            <filter val="R$ 9.74"/>
            <filter val="R$ 904,444.35"/>
            <filter val="R$ 929,335.64"/>
            <filter val="R$ 94,987.15"/>
            <filter val="R$ 948,513.33"/>
            <filter val="R$ 955,552.47"/>
            <filter val="R$ 96,166.27"/>
            <filter val="R$ 96,234.46"/>
            <filter val="R$ 977,995.99"/>
            <filter val="R$ 978,638.13"/>
            <filter val="R$ 98,754.33"/>
            <filter val="R$ 98,937.03"/>
            <filter val="R$ 983,365.96"/>
            <filter val="R$ 990,177.55"/>
            <filter val="R$ 992,536.72"/>
            <filter val="R$ 996,713.38"/>
          </filters>
        </filterColumn>
      </autoFilter>
    </customSheetView>
    <customSheetView guid="{F6E4F345-0495-4811-B173-87C625079C9E}" filter="1" showAutoFilter="1">
      <pageMargins left="0" right="0" top="0" bottom="0" header="0" footer="0"/>
      <autoFilter ref="K2:K1093" xr:uid="{CF4F204B-B6FB-41F2-B087-21328EA9F648}">
        <filterColumn colId="0">
          <filters>
            <filter val="01/02/2023"/>
            <filter val="01/02/2024"/>
            <filter val="01/04/2024"/>
            <filter val="01/04/2025"/>
            <filter val="01/07/2024"/>
            <filter val="01/07/2025"/>
            <filter val="01/08/2023"/>
            <filter val="01/08/2025"/>
            <filter val="01/09/2023"/>
            <filter val="01/10/2024"/>
            <filter val="01/12/2022"/>
            <filter val="01/12/2023"/>
            <filter val="01/12/2025"/>
            <filter val="02/01/2023"/>
            <filter val="02/01/2024"/>
            <filter val="02/01/2025"/>
            <filter val="02/02/2023"/>
            <filter val="02/03/2023"/>
            <filter val="02/05/2023"/>
            <filter val="02/05/2024"/>
            <filter val="02/06/2025"/>
            <filter val="02/07/2024"/>
            <filter val="02/08/2023"/>
            <filter val="02/08/2024"/>
            <filter val="02/09/2025"/>
            <filter val="02/10/2023"/>
            <filter val="03/01/2023"/>
            <filter val="03/02/2023"/>
            <filter val="03/02/2025"/>
            <filter val="03/03/2023"/>
            <filter val="03/04/2024"/>
            <filter val="03/04/2025"/>
            <filter val="03/05/2023"/>
            <filter val="03/05/2024"/>
            <filter val="03/06/2024"/>
            <filter val="03/06/2025"/>
            <filter val="03/07/2024"/>
            <filter val="03/07/2025"/>
            <filter val="03/08/2023"/>
            <filter val="03/10/2023"/>
            <filter val="03/10/2024"/>
            <filter val="03/11/2023"/>
            <filter val="03/11/2025"/>
            <filter val="04/02/2025"/>
            <filter val="04/03/2024"/>
            <filter val="04/04/2023"/>
            <filter val="04/04/2024"/>
            <filter val="04/06/2024"/>
            <filter val="04/06/2025"/>
            <filter val="04/07/2023"/>
            <filter val="04/08/2023"/>
            <filter val="04/09/2023"/>
            <filter val="04/09/2024"/>
            <filter val="04/09/2025"/>
            <filter val="04/10/2023"/>
            <filter val="04/11/2024"/>
            <filter val="04/12/2023"/>
            <filter val="04/12/2024"/>
            <filter val="04/12/2025"/>
            <filter val="05/01/2023"/>
            <filter val="05/01/2024"/>
            <filter val="05/01/2026"/>
            <filter val="05/02/2024"/>
            <filter val="05/02/2025"/>
            <filter val="05/03/2024"/>
            <filter val="05/04/2023"/>
            <filter val="05/04/2024"/>
            <filter val="05/05/2023"/>
            <filter val="05/05/2025"/>
            <filter val="05/06/2023"/>
            <filter val="05/06/2024"/>
            <filter val="05/09/2023"/>
            <filter val="05/10/2023"/>
            <filter val="05/11/2025"/>
            <filter val="05/12/2023"/>
            <filter val="06/01/2023"/>
            <filter val="06/01/2026"/>
            <filter val="06/02/2024"/>
            <filter val="06/02/2025"/>
            <filter val="06/03/2023"/>
            <filter val="06/03/2024"/>
            <filter val="06/04/2023"/>
            <filter val="06/05/2024"/>
            <filter val="06/06/2023"/>
            <filter val="06/06/2024"/>
            <filter val="06/06/2025"/>
            <filter val="06/07/2023"/>
            <filter val="06/09/2023"/>
            <filter val="06/11/2023"/>
            <filter val="06/11/2024"/>
            <filter val="06/12/2023"/>
            <filter val="07/02/2023"/>
            <filter val="07/02/2025"/>
            <filter val="07/04/2025"/>
            <filter val="07/05/2024"/>
            <filter val="07/05/2025"/>
            <filter val="07/06/2024"/>
            <filter val="07/07/2025"/>
            <filter val="07/08/2023"/>
            <filter val="07/10/2024"/>
            <filter val="07/11/2024"/>
            <filter val="07/11/2025"/>
            <filter val="07/12/2023"/>
            <filter val="08/01/2025"/>
            <filter val="08/01/2026"/>
            <filter val="08/02/2023"/>
            <filter val="08/02/2024"/>
            <filter val="08/03/2023"/>
            <filter val="08/03/2024"/>
            <filter val="08/04/2024"/>
            <filter val="08/04/2025"/>
            <filter val="08/05/2025"/>
            <filter val="08/07/2025"/>
            <filter val="08/09/2023"/>
            <filter val="08/10/2024"/>
            <filter val="08/10/2025"/>
            <filter val="08/11/2023"/>
            <filter val="08/11/2024"/>
            <filter val="08/12/2022"/>
            <filter val="08/12/2023"/>
            <filter val="09/01/2023"/>
            <filter val="09/01/2025"/>
            <filter val="09/02/2023"/>
            <filter val="09/02/2024"/>
            <filter val="09/04/2024"/>
            <filter val="09/04/2025"/>
            <filter val="09/05/2024"/>
            <filter val="09/06/2023"/>
            <filter val="09/08/2024"/>
            <filter val="09/09/2024"/>
            <filter val="09/09/2025"/>
            <filter val="09/10/2023"/>
            <filter val="09/10/2024"/>
            <filter val="09/11/2022"/>
            <filter val="10/01/2023"/>
            <filter val="10/01/2024"/>
            <filter val="10/02/2025"/>
            <filter val="10/03/2023"/>
            <filter val="10/03/2025"/>
            <filter val="10/04/2024"/>
            <filter val="10/04/2025"/>
            <filter val="10/05/2023"/>
            <filter val="10/05/2024"/>
            <filter val="10/06/2024"/>
            <filter val="10/07/2023"/>
            <filter val="10/07/2024"/>
            <filter val="10/07/2025"/>
            <filter val="10/08/2023"/>
            <filter val="10/09/2024"/>
            <filter val="10/09/2025"/>
            <filter val="10/10/2023"/>
            <filter val="10/10/2024"/>
            <filter val="10/10/2025"/>
            <filter val="10/11/2023"/>
            <filter val="10/12/2024"/>
            <filter val="10/12/2025"/>
            <filter val="11/02/2025"/>
            <filter val="11/03/2023"/>
            <filter val="11/03/2024"/>
            <filter val="11/04/2024"/>
            <filter val="11/06/2024"/>
            <filter val="11/06/2025"/>
            <filter val="11/07/2023"/>
            <filter val="11/08/2023"/>
            <filter val="11/08/2025"/>
            <filter val="11/09/2023"/>
            <filter val="11/09/2024"/>
            <filter val="11/10/2023"/>
            <filter val="11/10/2024"/>
            <filter val="11/11/2024"/>
            <filter val="11/12/2023"/>
            <filter val="11/12/2024"/>
            <filter val="11/12/2025"/>
            <filter val="12/01/2023"/>
            <filter val="12/02/2025"/>
            <filter val="12/03/2024"/>
            <filter val="12/03/2025"/>
            <filter val="12/04/2023"/>
            <filter val="12/04/2024"/>
            <filter val="12/05/2023"/>
            <filter val="12/06/2023"/>
            <filter val="12/06/2024"/>
            <filter val="12/08/2024"/>
            <filter val="12/09/2024"/>
            <filter val="12/12/2024"/>
            <filter val="12/12/2025"/>
            <filter val="13/01/2025"/>
            <filter val="13/01/2026"/>
            <filter val="13/02/2023"/>
            <filter val="13/02/2025"/>
            <filter val="13/03/2024"/>
            <filter val="13/03/2025"/>
            <filter val="13/04/2023"/>
            <filter val="13/05/2025"/>
            <filter val="13/06/2023"/>
            <filter val="13/06/2024"/>
            <filter val="13/07/2023"/>
            <filter val="13/09/2023"/>
            <filter val="13/09/2024"/>
            <filter val="13/10/2023"/>
            <filter val="13/11/2025"/>
            <filter val="13/12/2024"/>
            <filter val="14/02/2023"/>
            <filter val="14/03/2023"/>
            <filter val="14/03/2024"/>
            <filter val="14/03/2025"/>
            <filter val="14/04/2023"/>
            <filter val="14/05/2024"/>
            <filter val="14/06/2023"/>
            <filter val="14/06/2024"/>
            <filter val="14/07/2023"/>
            <filter val="14/07/2025"/>
            <filter val="14/08/2024"/>
            <filter val="14/09/2023"/>
            <filter val="14/10/2024"/>
            <filter val="14/11/2023"/>
            <filter val="14/11/2024"/>
            <filter val="15/01/2024"/>
            <filter val="15/01/2025"/>
            <filter val="15/02/2022"/>
            <filter val="15/02/2024"/>
            <filter val="15/03/2023"/>
            <filter val="15/05/2023"/>
            <filter val="15/05/2024"/>
            <filter val="15/06/2023"/>
            <filter val="15/07/2024"/>
            <filter val="15/08/2023"/>
            <filter val="15/08/2024"/>
            <filter val="15/09/2023"/>
            <filter val="15/09/2025"/>
            <filter val="15/10/2024"/>
            <filter val="15/10/2025"/>
            <filter val="16/01/2025"/>
            <filter val="16/02/2023"/>
            <filter val="16/02/2024"/>
            <filter val="16/03/2023"/>
            <filter val="16/04/2024"/>
            <filter val="16/05/2023"/>
            <filter val="16/06/2023"/>
            <filter val="16/06/2025"/>
            <filter val="16/07/2025"/>
            <filter val="16/08/2024"/>
            <filter val="16/09/2024"/>
            <filter val="16/09/2025"/>
            <filter val="16/11/2023"/>
            <filter val="16/12/2024"/>
            <filter val="16/12/2025"/>
            <filter val="17/01/2023"/>
            <filter val="17/01/2024"/>
            <filter val="17/02/2025"/>
            <filter val="17/03/2023"/>
            <filter val="17/03/2025"/>
            <filter val="17/04/2023"/>
            <filter val="17/04/2025"/>
            <filter val="17/05/2023"/>
            <filter val="17/06/2024"/>
            <filter val="17/06/2025"/>
            <filter val="17/07/2023"/>
            <filter val="17/07/2024"/>
            <filter val="17/08/2023"/>
            <filter val="17/09/2024"/>
            <filter val="17/09/2025"/>
            <filter val="17/10/2024"/>
            <filter val="17/11/2023"/>
            <filter val="18/01/2023"/>
            <filter val="18/01/2024"/>
            <filter val="18/02/2025"/>
            <filter val="18/03/2024"/>
            <filter val="18/04/2023"/>
            <filter val="18/05/2023"/>
            <filter val="18/06/2024"/>
            <filter val="18/06/2025"/>
            <filter val="18/07/2023"/>
            <filter val="18/08/2023"/>
            <filter val="18/09/2023"/>
            <filter val="18/09/2025"/>
            <filter val="18/10/2023"/>
            <filter val="18/11/2024"/>
            <filter val="18/12/2023"/>
            <filter val="18/12/2024"/>
            <filter val="18/12/2025"/>
            <filter val="19/01/2023"/>
            <filter val="19/02/2024"/>
            <filter val="19/03/2024"/>
            <filter val="19/04/2023"/>
            <filter val="19/04/2024"/>
            <filter val="19/05/2023"/>
            <filter val="19/06/2023"/>
            <filter val="19/06/2024"/>
            <filter val="19/07/2023"/>
            <filter val="19/08/2024"/>
            <filter val="19/09/2023"/>
            <filter val="19/10/2023"/>
            <filter val="19/11/2024"/>
            <filter val="19/12/2023"/>
            <filter val="19/12/2024"/>
            <filter val="19/12/2025"/>
            <filter val="20/01/2023"/>
            <filter val="20/01/2025"/>
            <filter val="20/02/2023"/>
            <filter val="20/02/2025"/>
            <filter val="20/03/2023"/>
            <filter val="20/03/2024"/>
            <filter val="20/03/2025"/>
            <filter val="20/04/2023"/>
            <filter val="20/05/2024"/>
            <filter val="20/06/2023"/>
            <filter val="20/06/2024"/>
            <filter val="20/06/2025"/>
            <filter val="20/07/2023"/>
            <filter val="20/08/2023"/>
            <filter val="20/09/2023"/>
            <filter val="20/10/2023"/>
            <filter val="20/10/2025"/>
            <filter val="20/11/2023"/>
            <filter val="20/12/2023"/>
            <filter val="20/12/2024"/>
            <filter val="21/02/2024"/>
            <filter val="21/02/2025"/>
            <filter val="21/03/2023"/>
            <filter val="21/05/2025"/>
            <filter val="21/06/2023"/>
            <filter val="21/06/2024"/>
            <filter val="21/07/2023"/>
            <filter val="21/08/2023"/>
            <filter val="21/08/2025"/>
            <filter val="21/09/2023"/>
            <filter val="21/10/2024"/>
            <filter val="21/10/2025"/>
            <filter val="21/11/2024"/>
            <filter val="21/11/2025"/>
            <filter val="21/12/2023"/>
            <filter val="22/01/2024"/>
            <filter val="22/02/2023"/>
            <filter val="22/02/2024"/>
            <filter val="22/03/2023"/>
            <filter val="22/03/2024"/>
            <filter val="22/05/2023"/>
            <filter val="22/06/2023"/>
            <filter val="22/07/2024"/>
            <filter val="22/08/2023"/>
            <filter val="22/09/2023"/>
            <filter val="22/10/2024"/>
            <filter val="22/10/2025"/>
            <filter val="22/11/2023"/>
            <filter val="22/12/2023"/>
            <filter val="22/12/2025"/>
            <filter val="23/01/2023"/>
            <filter val="23/01/2024"/>
            <filter val="23/02/2024"/>
            <filter val="23/04/2024"/>
            <filter val="23/05/2023"/>
            <filter val="23/05/2025"/>
            <filter val="23/06/2023"/>
            <filter val="23/07/2025"/>
            <filter val="23/09/2024"/>
            <filter val="23/09/2025"/>
            <filter val="23/10/2023"/>
            <filter val="23/11/2023"/>
            <filter val="23/12/2025"/>
            <filter val="24/01/2023"/>
            <filter val="24/01/2024"/>
            <filter val="24/01/2025"/>
            <filter val="24/02/2023"/>
            <filter val="24/03/2023"/>
            <filter val="24/04/2023"/>
            <filter val="24/04/2025"/>
            <filter val="24/05/2023"/>
            <filter val="24/06/2024"/>
            <filter val="24/06/2025"/>
            <filter val="24/07/2023"/>
            <filter val="24/08/2023"/>
            <filter val="24/09/2025"/>
            <filter val="24/10/2023"/>
            <filter val="24/11/2023"/>
            <filter val="24/11/2025"/>
            <filter val="25/01/2023"/>
            <filter val="25/02/2025"/>
            <filter val="25/03/2024"/>
            <filter val="25/03/2025"/>
            <filter val="25/04/2023"/>
            <filter val="25/04/2024"/>
            <filter val="25/04/2025"/>
            <filter val="25/05/2023"/>
            <filter val="25/06/2024"/>
            <filter val="25/07/2023"/>
            <filter val="25/07/2024"/>
            <filter val="25/08/2023"/>
            <filter val="25/08/2025"/>
            <filter val="25/09/2024"/>
            <filter val="25/09/2025"/>
            <filter val="25/11/2023"/>
            <filter val="26/02/2024"/>
            <filter val="26/03/2024"/>
            <filter val="26/03/2025"/>
            <filter val="26/04/2023"/>
            <filter val="26/04/2024"/>
            <filter val="26/06/2023"/>
            <filter val="26/06/2024"/>
            <filter val="26/07/2023"/>
            <filter val="26/09/2025"/>
            <filter val="26/10/2023"/>
            <filter val="26/12/2024"/>
            <filter val="27/01/2023"/>
            <filter val="27/02/2024"/>
            <filter val="27/03/2025"/>
            <filter val="27/05/2024"/>
            <filter val="27/06/2023"/>
            <filter val="27/06/2024"/>
            <filter val="27/06/2025"/>
            <filter val="27/07/2023"/>
            <filter val="27/08/2025"/>
            <filter val="27/09/2023"/>
            <filter val="27/09/2024"/>
            <filter val="27/10/2023"/>
            <filter val="27/10/2025"/>
            <filter val="27/11/2023"/>
            <filter val="27/11/2024"/>
            <filter val="28/01/2025"/>
            <filter val="28/02/2023"/>
            <filter val="28/02/2024"/>
            <filter val="28/02/2025"/>
            <filter val="28/03/2023"/>
            <filter val="28/05/2024"/>
            <filter val="28/06/2023"/>
            <filter val="28/07/2023"/>
            <filter val="28/08/2023"/>
            <filter val="28/09/2023"/>
            <filter val="29/01/2023"/>
            <filter val="29/03/2023"/>
            <filter val="29/05/2023"/>
            <filter val="29/05/2024"/>
            <filter val="29/05/2025"/>
            <filter val="29/06/2023"/>
            <filter val="29/08/2025"/>
            <filter val="29/09/2023"/>
            <filter val="29/11/2023"/>
            <filter val="29/11/2024"/>
            <filter val="29/12/2025"/>
            <filter val="30/01/2023"/>
            <filter val="30/01/2024"/>
            <filter val="30/03/2023"/>
            <filter val="30/04/2024"/>
            <filter val="30/04/2025"/>
            <filter val="30/05/2023"/>
            <filter val="30/05/2025"/>
            <filter val="30/06/2023"/>
            <filter val="30/07/2024"/>
            <filter val="30/08/2023"/>
            <filter val="30/09/2024"/>
            <filter val="30/10/2023"/>
            <filter val="30/10/2025"/>
            <filter val="30/11/2023"/>
            <filter val="31/01/2023"/>
            <filter val="31/01/2024"/>
            <filter val="31/01/2025"/>
            <filter val="31/03/2023"/>
            <filter val="31/05/2023"/>
            <filter val="31/07/2024"/>
            <filter val="31/07/2025"/>
            <filter val="31/10/2023"/>
            <filter val="31/10/2025"/>
          </filters>
        </filterColumn>
      </autoFilter>
    </customSheetView>
    <customSheetView guid="{00AA877A-D943-4DEE-A9D0-0327E6881B5D}" filter="1" showAutoFilter="1">
      <pageMargins left="0" right="0" top="0" bottom="0" header="0" footer="0"/>
      <autoFilter ref="B2:AO1088" xr:uid="{A63AEFB9-94C2-402C-8821-F2F9ED3D410B}"/>
    </customSheetView>
    <customSheetView guid="{6739707D-6665-4B91-A403-33028D89D80B}" filter="1" showAutoFilter="1">
      <pageMargins left="0" right="0" top="0" bottom="0" header="0" footer="0"/>
      <autoFilter ref="Q2:Q1093" xr:uid="{122DF27F-3AF9-4155-A0E9-24230BFD25D5}">
        <filterColumn colId="0">
          <filters>
            <filter val="10% D+0 (07/04/2025)"/>
            <filter val="10% D+0 (08/11/2024)"/>
            <filter val="100K D+0 (09/05/2025)"/>
            <filter val="100k D+0 (21/08/2025)"/>
            <filter val="100K D+0 (29/01/2025)"/>
            <filter val="100k D+0 Manter Fundo BTG Pactual LOGCP FII (11/07/2024)"/>
            <filter val="10K D+0 / Manter o CRA BTG (29/04/2024)"/>
            <filter val="110k D+0 (09/10/2025)"/>
            <filter val="120k D+0 (150k total) (14/11/2025)."/>
            <filter val="15K D+0 (16/09/2024)"/>
            <filter val="15k D+0 (22/09/2025)"/>
            <filter val="19k D+0 (15/12/2025)"/>
            <filter val="1MM D+0 (18/08/2025)"/>
            <filter val="20% D+0 (04/09/2025)"/>
            <filter val="20% D+0 e aplicações no máx. 12/2026 (23/07/2025)"/>
            <filter val="20% do PL D+0 (08/01/2026)"/>
            <filter val="200K D+0 (17/07/2025)"/>
            <filter val="200K D+0 (29/04/2025)"/>
            <filter val="200K D+0/ 7,5% de EQT (09/08/2024)"/>
            <filter val="20k D+0 (18/12/2025)"/>
            <filter val="22k D+0 (04/11/2025)"/>
            <filter val="250k D+0 (16/10/2025)"/>
            <filter val="25K D+0 (16/05/2024)"/>
            <filter val="30% D+0 (02/08/2024)"/>
            <filter val="300K D+0 (27/09/2024)"/>
            <filter val="30k D+0 (03/07/2025)"/>
            <filter val="30K D+0 (14/01/2025)"/>
            <filter val="30K D+0 (20/03/2025)"/>
            <filter val="30k D+0 (23/07/2025)"/>
            <filter val="30K D+0 (25/02/2025)"/>
            <filter val="30k D+0 (29/09/2025)"/>
            <filter val="34k D+0 (12/08/2025)"/>
            <filter val="35K D+0 (retiradas mensais) (22/04/2025)"/>
            <filter val="35K Fundo RF Ativo (21/05/2024)"/>
            <filter val="40% D+0 (11/06/2025)"/>
            <filter val="400k D+0 (09/12/2025)"/>
            <filter val="400K D+0 (25/11/2024)"/>
            <filter val="40K até D+1 (17/10/2024)"/>
            <filter val="40k D+0 (18/08/2025)"/>
            <filter val="40K D+0 (19/11/2024)"/>
            <filter val="50% D+0 (23/07/2025)"/>
            <filter val="50% do valor líquido aplicar em ativos de no max 1 ano (06/06/2024)"/>
            <filter val="50K D+0 (06/06/2024)"/>
            <filter val="50K D+0 (07/11/2024)"/>
            <filter val="50K D+0 (08/11/2024)"/>
            <filter val="50k D+0 (11/07/2025)"/>
            <filter val="50K D+0 (12/02/2025)"/>
            <filter val="50K D+0 (13/09/2024)"/>
            <filter val="50K D+0 (14/01/2025)"/>
            <filter val="50K D+0 (17/06/2024)"/>
            <filter val="50k D+0 (23/12/2025)"/>
            <filter val="50K D+0 (26/08/2025)"/>
            <filter val="50k D+0 (27/08/2025)"/>
            <filter val="50K D+0 (30/05/2025)"/>
            <filter val="50K D+0 (30/09/2024)"/>
            <filter val="50K D+1 (19/08/2024)"/>
            <filter val="50K Fundo RF Ativo (29/05/2024)"/>
            <filter val="55K D+0 (14/08/2024)"/>
            <filter val="60% D+0 (17/12/2025)"/>
            <filter val="600k D+0 (05/01/2025)"/>
            <filter val="60K D+0 (29/11/2024)"/>
            <filter val="72K D+0 (18/08/2025)"/>
            <filter val="75K D+0 (10/06/2025)"/>
            <filter val="7K D+0 (28/08/2024)"/>
            <filter val="800K D+0/ Máx. 10% RV (13/03/2025)"/>
            <filter val="80K D+0 (08/08/2024)"/>
            <filter val="80K D+0 (13/06/2024)"/>
            <filter val="80K D+0 (15/04/2025)"/>
            <filter val="80k D+0 (20/08/2025)"/>
            <filter val="Aplicação máx. 12/2027 (23/07/2025)  /  130k D+0 (22/09/2025)"/>
            <filter val="Carteira com fluxo de vencimentos personalizado, consultar F.A. (31/07/2024)"/>
            <filter val="Carteira Monitoramento Especial para Fundos (SPMG FII criado pelo cliente)"/>
            <filter val="Carteira Monitoramento Especial para Fundos (SPMG FII criado pelo cliente) (04/10/2024)"/>
            <filter val="Carteira Monitoramento Especial para Fundos (SPMG FII criado pelo cliente) (14/03/2025)"/>
            <filter val="Carteira Monitoramento Especial para Fundos (SPMG FII criado pelo cliente) (17/03/2025)"/>
            <filter val="Carteira Monitoramento Especial para Fundos (SPMG FII criado pelo cliente) / Valor todo em Liquidez"/>
            <filter val="Carteira Monitoramento Especial para Fundos (SPMG II FII criado pelo cliente)"/>
            <filter val="Carteira Monitoramento Especial para Fundos (SPMG II FII criado pelo cliente) (09/10/2024)"/>
            <filter val="Carteira Monitoramento Especial para Fundos (SPMG II FII criado pelo cliente) (14/10/2024)"/>
            <filter val="Carteira Monitoramento Especial para Fundos (SPMG II FII criado pelo cliente) (20/03/2025)"/>
            <filter val="colocar em cópia dos e-mails: luiz_ajb@toyopar.com.br"/>
            <filter val="Investimentos seguem a Sharia, Lei islamica. Investimentos Halal. ETF de Referência, ISWD."/>
            <filter val="Manter a alocação da carteira Cripto/ Manter os investimentos dos ativos: HASH11 ; BITH11 ; QDFL11. (13/05/2024)"/>
            <filter val="Manter as Ações BBAS3, SBFG3 e AMER3. (10/07/2025)"/>
            <filter val="Manter BTHF11 (21/02/2025)"/>
            <filter val="Manter CRA BTG/ 30% D+0 (22/10/2025)"/>
            <filter val="Manter Fundo Amor Axe FIM, Manter JURO11 (29/04/2025)"/>
            <filter val="Manter fundo Mapfre e aproximadamente 140k D+0 (23/10/2025)"/>
            <filter val="Manter JURO11 (25/04/2024)"/>
            <filter val="Manter Recurso D+0 (03/11/2025)"/>
            <filter val="Manter Recurso em Liquidez (23/10/2025)"/>
            <filter val="Manter Saldo em D+0 até FEV/2026 (05/11/2025)"/>
            <filter val="Max 20% RV (28/01/2025)"/>
            <filter val="Não comprar mais RV (07/01/2025)"/>
            <filter val="Não comprar papeis do varejo e agro (06/03/2025)"/>
            <filter val="Não operar carteira (29/04/2025)"/>
            <filter val="Não vender ações do Itaú. (Qnt: 70.000), (25/07/2025)"/>
            <filter val="Prazo máximo 1 ano (23/01/2025)"/>
            <filter val="Prazo máximo 6 Meses (17/02/2025)"/>
            <filter val="Preferência por ativos GR, RF que paga cupons e FIIs. Cliente Resgata Mensalmente (06/01/2026)"/>
            <filter val="Sem CrPr e sem RF Ativo (08/11/2024)"/>
            <filter val="Sem renda variável (07/01/2025)"/>
            <filter val="Sem renda variável (11/12/2024)"/>
            <filter val="Sem renda variável (16/05/2024)"/>
            <filter val="Sem renda variável (29/11/2024)"/>
            <filter val="Somente BTC"/>
            <filter val="Todo o recurso D+0 + Tranferir o valor de R$ 37.200 para a conta , 005046919 conforme liquidez e oportunidades. 16/06/2025"/>
            <filter val="Todo Recurso D+0 até 02/2026"/>
            <filter val="Todo recurso D+0 até FEV/2026 (21/11/2025)"/>
            <filter val="Vencimento máximo inicial: 6 meses. (17/06/2024)"/>
            <filter val="Vencimentos D+0 (02/12/2024)"/>
            <filter val="Vencimentos D+0 (08/08/2024)"/>
            <filter val="Vencimentos D+0 (24/09/2025)"/>
            <filter val="Vencimentos D+0 (29/05/2025)"/>
            <filter val="Vencimentos D+0 (30/10/2024)"/>
            <filter val="Vencimentos D+0 (3012/2024)"/>
            <filter val="Vencimentos em D+0 (20/10/2025)"/>
            <filter val="Vencimentos em D+0 (23/07/2025)"/>
          </filters>
        </filterColumn>
      </autoFilter>
    </customSheetView>
    <customSheetView guid="{8AB9AFC6-AC70-4521-8BB0-1CD8767A0CB2}" filter="1" showAutoFilter="1">
      <pageMargins left="0" right="0" top="0" bottom="0" header="0" footer="0"/>
      <autoFilter ref="A1:AU1084" xr:uid="{A2B1BF4C-0E1B-4C2D-8E3E-B2DCE1887922}">
        <filterColumn colId="3">
          <filters>
            <filter val="Altum"/>
            <filter val="Bluemetrix"/>
            <filter val="Expert"/>
            <filter val="MI Smart"/>
            <filter val="Miura"/>
            <filter val="Nexco"/>
            <filter val="OP Club"/>
            <filter val="Poupinvista"/>
            <filter val="Solution For Life"/>
          </filters>
        </filterColumn>
        <filterColumn colId="4">
          <filters>
            <filter val="DF"/>
            <filter val="RJ"/>
            <filter val="SUL"/>
            <filter val="UF"/>
          </filters>
        </filterColumn>
        <filterColumn colId="5">
          <filters>
            <filter val="Alexandre Teixeira Campos"/>
            <filter val="Alexandre Xavier"/>
            <filter val="André de Queiroz Coelho"/>
            <filter val="Andrea Lopes"/>
            <filter val="Antonio Carlos Dos Santos"/>
            <filter val="Antonio Volpato"/>
            <filter val="Assessor"/>
            <filter val="Augusto Sampaio"/>
            <filter val="Bluemetrix"/>
            <filter val="Bruno Henrique"/>
            <filter val="Bruno Jaime"/>
            <filter val="Bruno Ribeiro"/>
            <filter val="Caio Cesar Da Rocha Valente Araujo"/>
            <filter val="Caroline Facó Ehlers"/>
            <filter val="Cecilia Arcoverde Bezerra Pires"/>
            <filter val="Daniel Cambraia Danzig"/>
            <filter val="Daniel Melhado"/>
            <filter val="Douglas Tuira"/>
            <filter val="Eduardo Leopoldino"/>
            <filter val="Eleazar Ferreira Junior"/>
            <filter val="Fabrício Bonfim"/>
            <filter val="Felipe Cravos"/>
            <filter val="Felipe Miranda"/>
            <filter val="Felipe Rios"/>
            <filter val="Gabriel Bicalho Fontes Raydan"/>
            <filter val="Gabriel Regis"/>
            <filter val="Gabriel Stella"/>
            <filter val="Guilherme dos Santos"/>
            <filter val="Guilherme Marques"/>
            <filter val="Guilherme Rios Guercio"/>
            <filter val="Guilherme Sales"/>
            <filter val="Gustavo Amorim"/>
            <filter val="Hugo Motta"/>
            <filter val="Jessica Mariane Cunha Ribeiro"/>
            <filter val="João Gabriel Miziara"/>
            <filter val="João Paulo Britto"/>
            <filter val="João Victor de Moura Beze"/>
            <filter val="Joney Alves"/>
            <filter val="Jorge Luiz Braga de Carvalho"/>
            <filter val="Larissa Montes"/>
            <filter val="Leandro Soares Lemos De Sousa"/>
            <filter val="Leonardo Nascimento Porto"/>
            <filter val="Luca Bueno"/>
            <filter val="Lucas Ferreira"/>
            <filter val="Lucas Oliveira"/>
            <filter val="Lucas Zambrin"/>
            <filter val="Lucio Guimaraes Moscareli"/>
            <filter val="Luis Felipe"/>
            <filter val="Marcelo Franciscon"/>
            <filter val="Marcos Serra"/>
            <filter val="Marcus Macedo"/>
            <filter val="Mariana Rocha"/>
            <filter val="Matheus Vilar"/>
            <filter val="Neyla Mara De Sousa Abrantes Pereira"/>
            <filter val="Norton Fritzsche"/>
            <filter val="Norton Jr"/>
            <filter val="Pamara Rosa"/>
            <filter val="Paula Bonfim"/>
            <filter val="Paula Lemos"/>
            <filter val="Pedro Vinicius Pereira De Andrade"/>
            <filter val="Rafael Guedes"/>
            <filter val="Rafael Pagnan"/>
            <filter val="Rafael Vilela"/>
            <filter val="Rafaela Souza"/>
            <filter val="Raoni Costa"/>
            <filter val="Rejane Machado Souza"/>
            <filter val="Rodolfo Gomes"/>
            <filter val="Rogerio Magalhaes Coelho"/>
            <filter val="Thais Helena"/>
            <filter val="Theo Ramos Moutinho"/>
            <filter val="thiago Canabrava"/>
            <filter val="Valeria Viana"/>
            <filter val="Victor Hugo Laurentino"/>
            <filter val="Vitor Pedrazzi"/>
            <filter val="Vivian"/>
            <filter val="Yasmin Maia Muniz Xavier"/>
          </filters>
        </filterColumn>
        <filterColumn colId="23">
          <filters blank="1">
            <filter val="AL"/>
            <filter val="ES"/>
            <filter val="MA"/>
            <filter val="MS"/>
            <filter val="MT"/>
            <filter val="PA"/>
            <filter val="PE"/>
            <filter val="UF cliente"/>
          </filters>
        </filterColumn>
      </autoFilter>
    </customSheetView>
    <customSheetView guid="{498C8090-E789-4002-9AB4-7DA559970D1F}" filter="1" showAutoFilter="1">
      <pageMargins left="0" right="0" top="0" bottom="0" header="0" footer="0"/>
      <autoFilter ref="A1:AU1084" xr:uid="{15FE65F9-10D1-4EB8-8713-4E02A0A74455}">
        <filterColumn colId="24">
          <filters>
            <filter val="Ativo"/>
          </filters>
        </filterColumn>
      </autoFilter>
    </customSheetView>
    <customSheetView guid="{B41BF864-EE22-4CF9-8F54-DF9C2B01559F}" filter="1" showAutoFilter="1">
      <pageMargins left="0" right="0" top="0" bottom="0" header="0" footer="0"/>
      <autoFilter ref="B2:AL1088" xr:uid="{8CC48EE5-EEDB-4D80-BB20-5C5EAF52DFE3}"/>
    </customSheetView>
    <customSheetView guid="{696FAB15-B4B8-48BE-8F83-E6C9E9CE8934}" filter="1" showAutoFilter="1">
      <pageMargins left="0" right="0" top="0" bottom="0" header="0" footer="0"/>
      <autoFilter ref="B2:AL1088" xr:uid="{A8EBA303-B1DB-4C07-A447-888E04248577}"/>
    </customSheetView>
    <customSheetView guid="{3D93ED61-EE7D-4D34-AA35-E3A99D2818CC}" filter="1" showAutoFilter="1">
      <pageMargins left="0" right="0" top="0" bottom="0" header="0" footer="0"/>
      <autoFilter ref="A1:AT1084" xr:uid="{FBC91DDB-C56C-41D4-8FA3-FB69E825FD6D}">
        <filterColumn colId="5">
          <filters>
            <filter val="Alexandre Teixeira Campos"/>
            <filter val="Alexandre Xavier"/>
            <filter val="André de Queiroz Coelho"/>
            <filter val="Antonio Volpato"/>
            <filter val="Augusto Sampaio"/>
            <filter val="Bluemetrix"/>
            <filter val="Caroline Facó Ehlers"/>
            <filter val="Daniel Melhado"/>
            <filter val="Douglas Tuira"/>
            <filter val="Eleazar Ferreira Junior"/>
            <filter val="Felipe Cravos"/>
            <filter val="Felipe Miranda"/>
            <filter val="Gabriel Regis"/>
            <filter val="Gabriel Stella"/>
            <filter val="Guilherme dos Santos"/>
            <filter val="João Gabriel Miziara"/>
            <filter val="João Paulo Britto"/>
            <filter val="João Victor de Moura Beze"/>
            <filter val="Joney Alves"/>
            <filter val="Jorge Luiz Braga de Carvalho"/>
            <filter val="Larissa Montes"/>
            <filter val="Leonardo Nascimento Porto"/>
            <filter val="Lucas Ferreira"/>
            <filter val="Lucas Oliveira"/>
            <filter val="Luis Felipe"/>
            <filter val="Marcelo Franciscon"/>
            <filter val="Marcos Serra"/>
            <filter val="Marcus Macedo"/>
            <filter val="Mariana Rocha"/>
            <filter val="Norton Jr"/>
            <filter val="Pamara Rosa"/>
            <filter val="Paula Bonfim"/>
            <filter val="Paula Lemos"/>
            <filter val="Rafael Guedes"/>
            <filter val="Rafaela Souza"/>
            <filter val="Raoni Costa"/>
            <filter val="Rodrigo Milanez"/>
            <filter val="Thais Helena"/>
            <filter val="thiago Canabrava"/>
            <filter val="Valeria Viana"/>
            <filter val="Victor Hugo Laurentino"/>
            <filter val="Vitor Pedrazzi"/>
          </filters>
        </filterColumn>
      </autoFilter>
    </customSheetView>
    <customSheetView guid="{7A31FC72-E7F8-41D5-8003-370F116E4600}" filter="1" showAutoFilter="1">
      <pageMargins left="0" right="0" top="0" bottom="0" header="0" footer="0"/>
      <autoFilter ref="H1:I1086" xr:uid="{3084E9A1-CD23-408B-98C7-0C49BE33F1BC}">
        <filterColumn colId="0">
          <filters>
            <filter val="Ativo"/>
            <filter val="Inativo"/>
            <filter val="Pode Operar"/>
            <filter val="Status"/>
          </filters>
        </filterColumn>
        <filterColumn colId="1">
          <filters>
            <filter val="------"/>
            <filter val="Bloqueado"/>
            <filter val="Monitoramento"/>
            <filter val="Resgate Total"/>
            <filter val="Situação"/>
            <filter val="STVM Saída"/>
            <filter val="Troca de Assessoria"/>
          </filters>
        </filterColumn>
      </autoFilter>
    </customSheetView>
    <customSheetView guid="{4940310E-44EC-4404-8E7A-3DB94229D3CC}" filter="1" showAutoFilter="1">
      <pageMargins left="0" right="0" top="0" bottom="0" header="0" footer="0"/>
      <autoFilter ref="A1:AT1093" xr:uid="{CA1ADB48-1630-4C26-9BCA-5D499FFF4E27}">
        <filterColumn colId="4">
          <filters>
            <filter val="GO"/>
            <filter val="RJ"/>
            <filter val="UF"/>
          </filters>
        </filterColumn>
        <filterColumn colId="7">
          <filters blank="1">
            <filter val="Ativo"/>
            <filter val="Inativo"/>
            <filter val="Pode Operar"/>
            <filter val="Status"/>
          </filters>
        </filterColumn>
      </autoFilter>
    </customSheetView>
    <customSheetView guid="{D864ABD8-FE0C-4DB1-AFBB-435365A1AFFA}" filter="1" showAutoFilter="1">
      <pageMargins left="0" right="0" top="0" bottom="0" header="0" footer="0"/>
      <autoFilter ref="F2:F1093" xr:uid="{71976A55-21B9-4D96-98FF-2CA92F9D50AE}"/>
    </customSheetView>
    <customSheetView guid="{3D664E02-DE09-446D-8677-45A9E129B71A}" filter="1" showAutoFilter="1">
      <pageMargins left="0" right="0" top="0" bottom="0" header="0" footer="0"/>
      <autoFilter ref="A1:AV1084" xr:uid="{392646BC-FF78-4B2F-980B-43EC66930AEA}">
        <filterColumn colId="24">
          <filters>
            <filter val="Inativo"/>
          </filters>
        </filterColumn>
      </autoFilter>
    </customSheetView>
    <customSheetView guid="{6756493F-515F-4BAD-99B9-4D4FD6DD7A9C}" filter="1" showAutoFilter="1">
      <pageMargins left="0" right="0" top="0" bottom="0" header="0" footer="0"/>
      <autoFilter ref="K2:K1093" xr:uid="{47F08437-8F85-442E-87F6-8C28856AAF0A}">
        <filterColumn colId="0">
          <filters>
            <filter val="01/02/2023"/>
            <filter val="01/02/2024"/>
            <filter val="01/04/2024"/>
            <filter val="01/04/2025"/>
            <filter val="01/07/2024"/>
            <filter val="01/07/2025"/>
            <filter val="01/08/2023"/>
            <filter val="01/08/2025"/>
            <filter val="01/09/2023"/>
            <filter val="01/10/2024"/>
            <filter val="01/12/2022"/>
            <filter val="01/12/2023"/>
            <filter val="01/12/2025"/>
            <filter val="02/01/2023"/>
            <filter val="02/01/2024"/>
            <filter val="02/01/2025"/>
            <filter val="02/02/2023"/>
            <filter val="02/03/2023"/>
            <filter val="02/05/2023"/>
            <filter val="02/05/2024"/>
            <filter val="02/06/2025"/>
            <filter val="02/07/2024"/>
            <filter val="02/08/2023"/>
            <filter val="02/08/2024"/>
            <filter val="02/09/2025"/>
            <filter val="02/10/2023"/>
            <filter val="03/01/2023"/>
            <filter val="03/02/2023"/>
            <filter val="03/02/2025"/>
            <filter val="03/03/2023"/>
            <filter val="03/04/2024"/>
            <filter val="03/04/2025"/>
            <filter val="03/05/2023"/>
            <filter val="03/05/2024"/>
            <filter val="03/06/2024"/>
            <filter val="03/06/2025"/>
            <filter val="03/07/2024"/>
            <filter val="03/07/2025"/>
            <filter val="03/08/2023"/>
            <filter val="03/10/2023"/>
            <filter val="03/10/2024"/>
            <filter val="03/11/2023"/>
            <filter val="03/11/2025"/>
            <filter val="04/02/2025"/>
            <filter val="04/03/2024"/>
            <filter val="04/04/2023"/>
            <filter val="04/04/2024"/>
            <filter val="04/06/2024"/>
            <filter val="04/06/2025"/>
            <filter val="04/07/2023"/>
            <filter val="04/08/2023"/>
            <filter val="04/09/2023"/>
            <filter val="04/09/2024"/>
            <filter val="04/09/2025"/>
            <filter val="04/10/2023"/>
            <filter val="04/11/2024"/>
            <filter val="04/12/2023"/>
            <filter val="04/12/2024"/>
            <filter val="04/12/2025"/>
            <filter val="05/01/2023"/>
            <filter val="05/01/2024"/>
            <filter val="05/01/2026"/>
            <filter val="05/02/2024"/>
            <filter val="05/02/2025"/>
            <filter val="05/03/2024"/>
            <filter val="05/04/2023"/>
            <filter val="05/04/2024"/>
            <filter val="05/05/2023"/>
            <filter val="05/05/2025"/>
            <filter val="05/06/2023"/>
            <filter val="05/06/2024"/>
            <filter val="05/09/2023"/>
            <filter val="05/10/2023"/>
            <filter val="05/11/2025"/>
            <filter val="05/12/2023"/>
            <filter val="06/01/2023"/>
            <filter val="06/01/2026"/>
            <filter val="06/02/2024"/>
            <filter val="06/02/2025"/>
            <filter val="06/03/2023"/>
            <filter val="06/03/2024"/>
            <filter val="06/04/2023"/>
            <filter val="06/05/2024"/>
            <filter val="06/06/2023"/>
            <filter val="06/06/2024"/>
            <filter val="06/06/2025"/>
            <filter val="06/07/2023"/>
            <filter val="06/09/2023"/>
            <filter val="06/11/2023"/>
            <filter val="06/11/2024"/>
            <filter val="06/12/2023"/>
            <filter val="07/02/2023"/>
            <filter val="07/02/2025"/>
            <filter val="07/04/2025"/>
            <filter val="07/05/2024"/>
            <filter val="07/05/2025"/>
            <filter val="07/06/2024"/>
            <filter val="07/07/2025"/>
            <filter val="07/08/2023"/>
            <filter val="07/10/2024"/>
            <filter val="07/11/2024"/>
            <filter val="07/11/2025"/>
            <filter val="07/12/2023"/>
            <filter val="08/01/2025"/>
            <filter val="08/01/2026"/>
            <filter val="08/02/2023"/>
            <filter val="08/02/2024"/>
            <filter val="08/03/2023"/>
            <filter val="08/03/2024"/>
            <filter val="08/04/2024"/>
            <filter val="08/04/2025"/>
            <filter val="08/05/2025"/>
            <filter val="08/07/2025"/>
            <filter val="08/09/2023"/>
            <filter val="08/10/2024"/>
            <filter val="08/10/2025"/>
            <filter val="08/11/2023"/>
            <filter val="08/11/2024"/>
            <filter val="08/12/2022"/>
            <filter val="08/12/2023"/>
            <filter val="09/01/2023"/>
            <filter val="09/01/2025"/>
            <filter val="09/02/2023"/>
            <filter val="09/02/2024"/>
            <filter val="09/04/2024"/>
            <filter val="09/04/2025"/>
            <filter val="09/05/2024"/>
            <filter val="09/06/2023"/>
            <filter val="09/08/2024"/>
            <filter val="09/09/2024"/>
            <filter val="09/09/2025"/>
            <filter val="09/10/2023"/>
            <filter val="09/10/2024"/>
            <filter val="09/11/2022"/>
            <filter val="10/01/2023"/>
            <filter val="10/01/2024"/>
            <filter val="10/02/2025"/>
            <filter val="10/03/2023"/>
            <filter val="10/03/2025"/>
            <filter val="10/04/2024"/>
            <filter val="10/04/2025"/>
            <filter val="10/05/2023"/>
            <filter val="10/05/2024"/>
            <filter val="10/06/2024"/>
            <filter val="10/07/2023"/>
            <filter val="10/07/2024"/>
            <filter val="10/07/2025"/>
            <filter val="10/08/2023"/>
            <filter val="10/09/2024"/>
            <filter val="10/09/2025"/>
            <filter val="10/10/2023"/>
            <filter val="10/10/2024"/>
            <filter val="10/10/2025"/>
            <filter val="10/11/2023"/>
            <filter val="10/12/2024"/>
            <filter val="10/12/2025"/>
            <filter val="11/02/2025"/>
            <filter val="11/03/2023"/>
            <filter val="11/03/2024"/>
            <filter val="11/04/2024"/>
            <filter val="11/06/2024"/>
            <filter val="11/06/2025"/>
            <filter val="11/07/2023"/>
            <filter val="11/08/2023"/>
            <filter val="11/08/2025"/>
            <filter val="11/09/2023"/>
            <filter val="11/09/2024"/>
            <filter val="11/10/2023"/>
            <filter val="11/10/2024"/>
            <filter val="11/11/2024"/>
            <filter val="11/12/2023"/>
            <filter val="11/12/2024"/>
            <filter val="11/12/2025"/>
            <filter val="12/01/2023"/>
            <filter val="12/02/2025"/>
            <filter val="12/03/2024"/>
            <filter val="12/03/2025"/>
            <filter val="12/04/2023"/>
            <filter val="12/04/2024"/>
            <filter val="12/05/2023"/>
            <filter val="12/06/2023"/>
            <filter val="12/06/2024"/>
            <filter val="12/08/2024"/>
            <filter val="12/09/2024"/>
            <filter val="12/12/2024"/>
            <filter val="12/12/2025"/>
            <filter val="13/01/2025"/>
            <filter val="13/01/2026"/>
            <filter val="13/02/2023"/>
            <filter val="13/02/2025"/>
            <filter val="13/03/2024"/>
            <filter val="13/03/2025"/>
            <filter val="13/04/2023"/>
            <filter val="13/05/2025"/>
            <filter val="13/06/2023"/>
            <filter val="13/06/2024"/>
            <filter val="13/07/2023"/>
            <filter val="13/09/2023"/>
            <filter val="13/09/2024"/>
            <filter val="13/10/2023"/>
            <filter val="13/11/2025"/>
            <filter val="13/12/2024"/>
            <filter val="14/02/2023"/>
            <filter val="14/03/2023"/>
            <filter val="14/03/2024"/>
            <filter val="14/03/2025"/>
            <filter val="14/04/2023"/>
            <filter val="14/05/2024"/>
            <filter val="14/06/2023"/>
            <filter val="14/06/2024"/>
            <filter val="14/07/2023"/>
            <filter val="14/07/2025"/>
            <filter val="14/08/2024"/>
            <filter val="14/09/2023"/>
            <filter val="14/10/2024"/>
            <filter val="14/11/2023"/>
            <filter val="14/11/2024"/>
            <filter val="15/01/2024"/>
            <filter val="15/01/2025"/>
            <filter val="15/02/2022"/>
            <filter val="15/02/2024"/>
            <filter val="15/03/2023"/>
            <filter val="15/05/2023"/>
            <filter val="15/05/2024"/>
            <filter val="15/06/2023"/>
            <filter val="15/07/2024"/>
            <filter val="15/08/2023"/>
            <filter val="15/08/2024"/>
            <filter val="15/09/2023"/>
            <filter val="15/09/2025"/>
            <filter val="15/10/2024"/>
            <filter val="15/10/2025"/>
            <filter val="16/01/2025"/>
            <filter val="16/02/2023"/>
            <filter val="16/02/2024"/>
            <filter val="16/03/2023"/>
            <filter val="16/04/2024"/>
            <filter val="16/05/2023"/>
            <filter val="16/06/2023"/>
            <filter val="16/06/2025"/>
            <filter val="16/07/2025"/>
            <filter val="16/08/2024"/>
            <filter val="16/09/2024"/>
            <filter val="16/09/2025"/>
            <filter val="16/11/2023"/>
            <filter val="16/12/2024"/>
            <filter val="16/12/2025"/>
            <filter val="17/01/2023"/>
            <filter val="17/01/2024"/>
            <filter val="17/02/2025"/>
            <filter val="17/03/2023"/>
            <filter val="17/03/2025"/>
            <filter val="17/04/2023"/>
            <filter val="17/04/2025"/>
            <filter val="17/05/2023"/>
            <filter val="17/06/2024"/>
            <filter val="17/06/2025"/>
            <filter val="17/07/2023"/>
            <filter val="17/07/2024"/>
            <filter val="17/08/2023"/>
            <filter val="17/09/2024"/>
            <filter val="17/09/2025"/>
            <filter val="17/10/2024"/>
            <filter val="17/11/2023"/>
            <filter val="18/01/2023"/>
            <filter val="18/01/2024"/>
            <filter val="18/02/2025"/>
            <filter val="18/03/2024"/>
            <filter val="18/04/2023"/>
            <filter val="18/05/2023"/>
            <filter val="18/06/2024"/>
            <filter val="18/06/2025"/>
            <filter val="18/07/2023"/>
            <filter val="18/08/2023"/>
            <filter val="18/09/2023"/>
            <filter val="18/09/2025"/>
            <filter val="18/10/2023"/>
            <filter val="18/11/2024"/>
            <filter val="18/12/2023"/>
            <filter val="18/12/2024"/>
            <filter val="18/12/2025"/>
            <filter val="19/01/2023"/>
            <filter val="19/02/2024"/>
            <filter val="19/03/2024"/>
            <filter val="19/04/2023"/>
            <filter val="19/04/2024"/>
            <filter val="19/05/2023"/>
            <filter val="19/06/2023"/>
            <filter val="19/06/2024"/>
            <filter val="19/07/2023"/>
            <filter val="19/08/2024"/>
            <filter val="19/09/2023"/>
            <filter val="19/10/2023"/>
            <filter val="19/11/2024"/>
            <filter val="19/12/2023"/>
            <filter val="19/12/2024"/>
            <filter val="19/12/2025"/>
            <filter val="20/01/2023"/>
            <filter val="20/01/2025"/>
            <filter val="20/02/2023"/>
            <filter val="20/02/2025"/>
            <filter val="20/03/2023"/>
            <filter val="20/03/2024"/>
            <filter val="20/03/2025"/>
            <filter val="20/04/2023"/>
            <filter val="20/05/2024"/>
            <filter val="20/06/2023"/>
            <filter val="20/06/2024"/>
            <filter val="20/06/2025"/>
            <filter val="20/07/2023"/>
            <filter val="20/08/2023"/>
            <filter val="20/09/2023"/>
            <filter val="20/10/2023"/>
            <filter val="20/10/2025"/>
            <filter val="20/11/2023"/>
            <filter val="20/12/2023"/>
            <filter val="20/12/2024"/>
            <filter val="21/02/2024"/>
            <filter val="21/02/2025"/>
            <filter val="21/03/2023"/>
            <filter val="21/05/2025"/>
            <filter val="21/06/2023"/>
            <filter val="21/06/2024"/>
            <filter val="21/07/2023"/>
            <filter val="21/08/2023"/>
            <filter val="21/08/2025"/>
            <filter val="21/09/2023"/>
            <filter val="21/10/2024"/>
            <filter val="21/10/2025"/>
            <filter val="21/11/2024"/>
            <filter val="21/11/2025"/>
            <filter val="21/12/2023"/>
            <filter val="22/01/2024"/>
            <filter val="22/02/2023"/>
            <filter val="22/02/2024"/>
            <filter val="22/03/2023"/>
            <filter val="22/03/2024"/>
            <filter val="22/05/2023"/>
            <filter val="22/06/2023"/>
            <filter val="22/07/2024"/>
            <filter val="22/08/2023"/>
            <filter val="22/09/2023"/>
            <filter val="22/10/2024"/>
            <filter val="22/10/2025"/>
            <filter val="22/11/2023"/>
            <filter val="22/12/2023"/>
            <filter val="22/12/2025"/>
            <filter val="23/01/2023"/>
            <filter val="23/01/2024"/>
            <filter val="23/02/2024"/>
            <filter val="23/04/2024"/>
            <filter val="23/05/2023"/>
            <filter val="23/05/2025"/>
            <filter val="23/06/2023"/>
            <filter val="23/07/2025"/>
            <filter val="23/09/2024"/>
            <filter val="23/09/2025"/>
            <filter val="23/10/2023"/>
            <filter val="23/11/2023"/>
            <filter val="23/12/2025"/>
            <filter val="24/01/2023"/>
            <filter val="24/01/2024"/>
            <filter val="24/01/2025"/>
            <filter val="24/02/2023"/>
            <filter val="24/03/2023"/>
            <filter val="24/04/2023"/>
            <filter val="24/04/2025"/>
            <filter val="24/05/2023"/>
            <filter val="24/06/2024"/>
            <filter val="24/06/2025"/>
            <filter val="24/07/2023"/>
            <filter val="24/08/2023"/>
            <filter val="24/09/2025"/>
            <filter val="24/10/2023"/>
            <filter val="24/11/2023"/>
            <filter val="24/11/2025"/>
            <filter val="25/01/2023"/>
            <filter val="25/02/2025"/>
            <filter val="25/03/2024"/>
            <filter val="25/03/2025"/>
            <filter val="25/04/2023"/>
            <filter val="25/04/2024"/>
            <filter val="25/04/2025"/>
            <filter val="25/05/2023"/>
            <filter val="25/06/2024"/>
            <filter val="25/07/2023"/>
            <filter val="25/07/2024"/>
            <filter val="25/08/2023"/>
            <filter val="25/08/2025"/>
            <filter val="25/09/2024"/>
            <filter val="25/09/2025"/>
            <filter val="25/11/2023"/>
            <filter val="26/02/2024"/>
            <filter val="26/03/2024"/>
            <filter val="26/03/2025"/>
            <filter val="26/04/2023"/>
            <filter val="26/04/2024"/>
            <filter val="26/06/2023"/>
            <filter val="26/06/2024"/>
            <filter val="26/07/2023"/>
            <filter val="26/09/2025"/>
            <filter val="26/10/2023"/>
            <filter val="26/12/2024"/>
            <filter val="27/01/2023"/>
            <filter val="27/02/2024"/>
            <filter val="27/03/2025"/>
            <filter val="27/05/2024"/>
            <filter val="27/06/2023"/>
            <filter val="27/06/2024"/>
            <filter val="27/06/2025"/>
            <filter val="27/07/2023"/>
            <filter val="27/08/2025"/>
            <filter val="27/09/2023"/>
            <filter val="27/09/2024"/>
            <filter val="27/10/2023"/>
            <filter val="27/10/2025"/>
            <filter val="27/11/2023"/>
            <filter val="27/11/2024"/>
            <filter val="28/01/2025"/>
            <filter val="28/02/2023"/>
            <filter val="28/02/2024"/>
            <filter val="28/02/2025"/>
            <filter val="28/03/2023"/>
            <filter val="28/05/2024"/>
            <filter val="28/06/2023"/>
            <filter val="28/07/2023"/>
            <filter val="28/08/2023"/>
            <filter val="28/09/2023"/>
            <filter val="29/01/2023"/>
            <filter val="29/03/2023"/>
            <filter val="29/05/2023"/>
            <filter val="29/05/2024"/>
            <filter val="29/05/2025"/>
            <filter val="29/06/2023"/>
            <filter val="29/08/2025"/>
            <filter val="29/09/2023"/>
            <filter val="29/11/2023"/>
            <filter val="29/11/2024"/>
            <filter val="29/12/2025"/>
            <filter val="30/01/2023"/>
            <filter val="30/01/2024"/>
            <filter val="30/03/2023"/>
            <filter val="30/04/2024"/>
            <filter val="30/04/2025"/>
            <filter val="30/05/2023"/>
            <filter val="30/05/2025"/>
            <filter val="30/06/2023"/>
            <filter val="30/07/2024"/>
            <filter val="30/08/2023"/>
            <filter val="30/09/2024"/>
            <filter val="30/10/2023"/>
            <filter val="30/10/2025"/>
            <filter val="30/11/2023"/>
            <filter val="31/01/2023"/>
            <filter val="31/01/2024"/>
            <filter val="31/01/2025"/>
            <filter val="31/03/2023"/>
            <filter val="31/05/2023"/>
            <filter val="31/07/2024"/>
            <filter val="31/07/2025"/>
            <filter val="31/10/2023"/>
            <filter val="31/10/2025"/>
          </filters>
        </filterColumn>
      </autoFilter>
    </customSheetView>
    <customSheetView guid="{F1C95DF9-78F7-4F8B-91B8-C5B5126E595F}" filter="1" showAutoFilter="1">
      <pageMargins left="0" right="0" top="0" bottom="0" header="0" footer="0"/>
      <autoFilter ref="A2:AV1084" xr:uid="{9B1548FD-7C1C-451D-94C4-DF03DB9E1573}">
        <filterColumn colId="8">
          <filters>
            <filter val="Resgate Total"/>
            <filter val="STVM Saída"/>
            <filter val="Troca de Assessoria"/>
          </filters>
        </filterColumn>
      </autoFilter>
    </customSheetView>
    <customSheetView guid="{CDB621C8-741E-4D49-A1A1-806831C1C801}" filter="1" showAutoFilter="1">
      <pageMargins left="0" right="0" top="0" bottom="0" header="0" footer="0"/>
      <autoFilter ref="A2:AW1084" xr:uid="{16F9A871-02E9-4CD1-9484-2F342BAAB53B}">
        <filterColumn colId="8">
          <filters>
            <filter val="Resgate Total"/>
            <filter val="STVM Saída"/>
            <filter val="Troca de Assessoria"/>
          </filters>
        </filterColumn>
      </autoFilter>
    </customSheetView>
    <customSheetView guid="{0729D9A8-3FDD-4208-913C-5898A32EB14C}" filter="1" showAutoFilter="1">
      <pageMargins left="0" right="0" top="0" bottom="0" header="0" footer="0"/>
      <autoFilter ref="A1:AV1084" xr:uid="{57BA526A-2AC9-4ADC-89D1-45E0DB7AC0DD}"/>
    </customSheetView>
    <customSheetView guid="{18202B43-11E2-4360-89B4-BC3A5A4F1DF4}" filter="1" showAutoFilter="1">
      <pageMargins left="0" right="0" top="0" bottom="0" header="0" footer="0"/>
      <autoFilter ref="A1:AT1084" xr:uid="{EB863296-E842-4DF8-AF8C-778C04760C9F}">
        <filterColumn colId="10">
          <filters>
            <filter val="01/02/2024"/>
            <filter val="01/04/2024"/>
            <filter val="01/04/2025"/>
            <filter val="01/07/2024"/>
            <filter val="01/07/2025"/>
            <filter val="01/08/2025"/>
            <filter val="01/10/2024"/>
            <filter val="01/12/2025"/>
            <filter val="02/01/2024"/>
            <filter val="02/01/2025"/>
            <filter val="02/05/2024"/>
            <filter val="02/06/2025"/>
            <filter val="02/07/2024"/>
            <filter val="02/08/2024"/>
            <filter val="02/09/2025"/>
            <filter val="03/02/2025"/>
            <filter val="03/04/2024"/>
            <filter val="03/04/2025"/>
            <filter val="03/05/2024"/>
            <filter val="03/06/2024"/>
            <filter val="03/06/2025"/>
            <filter val="03/07/2024"/>
            <filter val="03/07/2025"/>
            <filter val="03/10/2024"/>
            <filter val="03/11/2025"/>
            <filter val="04/02/2025"/>
            <filter val="04/03/2024"/>
            <filter val="04/04/2024"/>
            <filter val="04/06/2024"/>
            <filter val="04/06/2025"/>
            <filter val="04/09/2024"/>
            <filter val="04/09/2025"/>
            <filter val="04/11/2024"/>
            <filter val="04/12/2024"/>
            <filter val="04/12/2025"/>
            <filter val="05/01/2024"/>
            <filter val="05/01/2026"/>
            <filter val="05/02/2024"/>
            <filter val="05/02/2025"/>
            <filter val="05/03/2024"/>
            <filter val="05/04/2024"/>
            <filter val="05/05/2025"/>
            <filter val="05/06/2024"/>
            <filter val="05/11/2025"/>
            <filter val="06/01/2026"/>
            <filter val="06/02/2024"/>
            <filter val="06/02/2025"/>
            <filter val="06/03/2024"/>
            <filter val="06/05/2024"/>
            <filter val="06/06/2024"/>
            <filter val="06/06/2025"/>
            <filter val="06/11/2024"/>
            <filter val="07/02/2025"/>
            <filter val="07/04/2025"/>
            <filter val="07/05/2024"/>
            <filter val="07/05/2025"/>
            <filter val="07/06/2024"/>
            <filter val="07/07/2025"/>
            <filter val="07/10/2024"/>
            <filter val="07/11/2024"/>
            <filter val="07/11/2025"/>
            <filter val="08/01/2025"/>
            <filter val="08/01/2026"/>
            <filter val="08/02/2024"/>
            <filter val="08/03/2024"/>
            <filter val="08/04/2024"/>
            <filter val="08/04/2025"/>
            <filter val="08/05/2025"/>
            <filter val="08/07/2025"/>
            <filter val="08/10/2024"/>
            <filter val="08/10/2025"/>
            <filter val="08/11/2024"/>
            <filter val="09/01/2025"/>
            <filter val="09/02/2024"/>
            <filter val="09/04/2024"/>
            <filter val="09/04/2025"/>
            <filter val="09/05/2024"/>
            <filter val="09/08/2024"/>
            <filter val="09/09/2024"/>
            <filter val="09/09/2025"/>
            <filter val="09/10/2024"/>
            <filter val="10/01/2024"/>
            <filter val="10/02/2025"/>
            <filter val="10/03/2025"/>
            <filter val="10/04/2024"/>
            <filter val="10/04/2025"/>
            <filter val="10/05/2024"/>
            <filter val="10/06/2024"/>
            <filter val="10/07/2024"/>
            <filter val="10/07/2025"/>
            <filter val="10/09/2024"/>
            <filter val="10/09/2025"/>
            <filter val="10/10/2024"/>
            <filter val="10/10/2025"/>
            <filter val="10/12/2024"/>
            <filter val="10/12/2025"/>
            <filter val="11/02/2025"/>
            <filter val="11/03/2023"/>
            <filter val="11/03/2024"/>
            <filter val="11/04/2024"/>
            <filter val="11/06/2024"/>
            <filter val="11/06/2025"/>
            <filter val="11/08/2025"/>
            <filter val="11/09/2024"/>
            <filter val="11/10/2024"/>
            <filter val="11/11/2024"/>
            <filter val="11/12/2024"/>
            <filter val="11/12/2025"/>
            <filter val="12/02/2025"/>
            <filter val="12/03/2024"/>
            <filter val="12/03/2025"/>
            <filter val="12/06/2024"/>
            <filter val="12/08/2024"/>
            <filter val="12/09/2024"/>
            <filter val="12/12/2024"/>
            <filter val="12/12/2025"/>
            <filter val="13/01/2025"/>
            <filter val="13/01/2026"/>
            <filter val="13/02/2025"/>
            <filter val="13/03/2024"/>
            <filter val="13/03/2025"/>
            <filter val="13/05/2025"/>
            <filter val="13/06/2024"/>
            <filter val="13/09/2024"/>
            <filter val="13/11/2025"/>
            <filter val="13/12/2024"/>
            <filter val="14/03/2024"/>
            <filter val="14/03/2025"/>
            <filter val="14/05/2024"/>
            <filter val="14/06/2024"/>
            <filter val="14/07/2025"/>
            <filter val="14/08/2024"/>
            <filter val="14/10/2024"/>
            <filter val="14/11/2024"/>
            <filter val="15/01/2024"/>
            <filter val="15/01/2025"/>
            <filter val="15/02/2024"/>
            <filter val="15/05/2024"/>
            <filter val="15/07/2024"/>
            <filter val="15/08/2024"/>
            <filter val="15/09/2025"/>
            <filter val="15/10/2024"/>
            <filter val="15/10/2025"/>
            <filter val="16/01/2025"/>
            <filter val="16/02/2024"/>
            <filter val="16/04/2024"/>
            <filter val="16/06/2025"/>
            <filter val="16/07/2025"/>
            <filter val="16/08/2024"/>
            <filter val="16/09/2024"/>
            <filter val="16/09/2025"/>
            <filter val="16/12/2024"/>
            <filter val="16/12/2025"/>
            <filter val="17/01/2024"/>
            <filter val="17/02/2025"/>
            <filter val="17/03/2025"/>
            <filter val="17/04/2025"/>
            <filter val="17/06/2024"/>
            <filter val="17/06/2025"/>
            <filter val="17/07/2024"/>
            <filter val="17/09/2024"/>
            <filter val="17/09/2025"/>
            <filter val="17/10/2024"/>
            <filter val="18/01/2024"/>
            <filter val="18/02/2025"/>
            <filter val="18/03/2024"/>
            <filter val="18/06/2024"/>
            <filter val="18/06/2025"/>
            <filter val="18/09/2025"/>
            <filter val="18/11/2024"/>
            <filter val="18/12/2024"/>
            <filter val="18/12/2025"/>
            <filter val="19/02/2024"/>
            <filter val="19/03/2024"/>
            <filter val="19/04/2024"/>
            <filter val="19/06/2024"/>
            <filter val="19/08/2024"/>
            <filter val="19/11/2024"/>
            <filter val="19/12/2024"/>
            <filter val="19/12/2025"/>
            <filter val="20/01/2025"/>
            <filter val="20/02/2025"/>
            <filter val="20/03/2024"/>
            <filter val="20/03/2025"/>
            <filter val="20/05/2024"/>
            <filter val="20/06/2024"/>
            <filter val="20/06/2025"/>
            <filter val="20/10/2025"/>
            <filter val="20/12/2024"/>
            <filter val="21/02/2024"/>
            <filter val="21/02/2025"/>
            <filter val="21/05/2025"/>
            <filter val="21/06/2024"/>
            <filter val="21/08/2025"/>
            <filter val="21/10/2024"/>
            <filter val="21/10/2025"/>
            <filter val="21/11/2024"/>
            <filter val="21/11/2025"/>
            <filter val="22/01/2024"/>
            <filter val="22/02/2024"/>
            <filter val="22/03/2024"/>
            <filter val="22/07/2024"/>
            <filter val="22/10/2024"/>
            <filter val="22/10/2025"/>
            <filter val="22/12/2025"/>
            <filter val="23/01/2024"/>
            <filter val="23/02/2024"/>
            <filter val="23/04/2024"/>
            <filter val="23/05/2025"/>
            <filter val="23/07/2025"/>
            <filter val="23/09/2024"/>
            <filter val="23/09/2025"/>
            <filter val="23/12/2025"/>
            <filter val="24/01/2024"/>
            <filter val="24/01/2025"/>
            <filter val="24/04/2025"/>
            <filter val="24/06/2024"/>
            <filter val="24/06/2025"/>
            <filter val="24/09/2025"/>
            <filter val="24/11/2025"/>
            <filter val="25/02/2025"/>
            <filter val="25/03/2024"/>
            <filter val="25/03/2025"/>
            <filter val="25/04/2024"/>
            <filter val="25/04/2025"/>
            <filter val="25/06/2024"/>
            <filter val="25/07/2024"/>
            <filter val="25/08/2025"/>
            <filter val="25/09/2024"/>
            <filter val="25/09/2025"/>
            <filter val="25/11/2023"/>
            <filter val="26/02/2024"/>
            <filter val="26/03/2024"/>
            <filter val="26/03/2025"/>
            <filter val="26/04/2024"/>
            <filter val="26/06/2024"/>
            <filter val="26/09/2025"/>
            <filter val="26/12/2024"/>
            <filter val="27/02/2024"/>
            <filter val="27/03/2025"/>
            <filter val="27/05/2024"/>
            <filter val="27/06/2024"/>
            <filter val="27/06/2025"/>
            <filter val="27/08/2025"/>
            <filter val="27/09/2024"/>
            <filter val="27/10/2025"/>
            <filter val="27/11/2024"/>
            <filter val="28/01/2025"/>
            <filter val="28/02/2024"/>
            <filter val="28/02/2025"/>
            <filter val="28/05/2024"/>
            <filter val="29/05/2024"/>
            <filter val="29/05/2025"/>
            <filter val="29/08/2025"/>
            <filter val="29/11/2024"/>
            <filter val="29/12/2025"/>
            <filter val="30/01/2024"/>
            <filter val="30/04/2024"/>
            <filter val="30/04/2025"/>
            <filter val="30/05/2025"/>
            <filter val="30/07/2024"/>
            <filter val="30/09/2024"/>
            <filter val="30/10/2025"/>
            <filter val="31/01/2024"/>
            <filter val="31/01/2025"/>
            <filter val="31/07/2024"/>
            <filter val="31/07/2025"/>
            <filter val="31/10/2025"/>
          </filters>
        </filterColumn>
      </autoFilter>
    </customSheetView>
    <customSheetView guid="{E9B33F64-57CC-4836-8989-C37AFAD0A1A1}" filter="1" showAutoFilter="1">
      <pageMargins left="0" right="0" top="0" bottom="0" header="0" footer="0"/>
      <autoFilter ref="B2:AO1088" xr:uid="{A60D427F-2678-420A-A808-95A5C957F049}"/>
    </customSheetView>
    <customSheetView guid="{467CCEEF-C32B-435C-B4B4-C5C520204D0A}" filter="1" showAutoFilter="1">
      <pageMargins left="0" right="0" top="0" bottom="0" header="0" footer="0"/>
      <autoFilter ref="B2:AN1088" xr:uid="{CA24FA32-B4D7-423F-ABFA-CB37E7A26348}"/>
    </customSheetView>
    <customSheetView guid="{F0BD57BC-C164-490A-B83D-B897FA0D5D2A}" filter="1" showAutoFilter="1">
      <pageMargins left="0" right="0" top="0" bottom="0" header="0" footer="0"/>
      <autoFilter ref="J1:P1082" xr:uid="{B3265F74-AFA9-43E5-B069-C3A27A9F1E98}"/>
    </customSheetView>
    <customSheetView guid="{56AFD506-F86B-4274-811D-793BB20DD9D3}" filter="1" showAutoFilter="1">
      <pageMargins left="0" right="0" top="0" bottom="0" header="0" footer="0"/>
      <autoFilter ref="B2:AO1088" xr:uid="{0BC73B06-EA21-4956-A71D-DB6AF0E71ED1}"/>
    </customSheetView>
    <customSheetView guid="{D0F7634C-C90D-415B-A49E-CA2B2308DD43}" filter="1" showAutoFilter="1">
      <pageMargins left="0" right="0" top="0" bottom="0" header="0" footer="0"/>
      <autoFilter ref="B2:AL1088" xr:uid="{99BED23C-1072-4274-84BD-FB4A7F8598F5}"/>
    </customSheetView>
    <customSheetView guid="{F5E5ED4E-DF60-4BBD-B24F-5EA09E18D40C}" filter="1" showAutoFilter="1">
      <pageMargins left="0" right="0" top="0" bottom="0" header="0" footer="0"/>
      <autoFilter ref="B2:AN1093" xr:uid="{F49C3683-2B9F-472E-A334-6A8EB694F3BF}"/>
    </customSheetView>
    <customSheetView guid="{123EA29C-8E07-4455-925A-02BED419E6D8}" filter="1" showAutoFilter="1">
      <pageMargins left="0" right="0" top="0" bottom="0" header="0" footer="0"/>
      <autoFilter ref="A1:AW1084" xr:uid="{9D59A26D-4957-45E0-BE68-297B7AAD797F}">
        <filterColumn colId="3">
          <filters>
            <filter val="Altum"/>
            <filter val="Bluemetrix"/>
            <filter val="Escritório"/>
            <filter val="Expert"/>
            <filter val="MI Smart"/>
            <filter val="Miura"/>
            <filter val="Nexco"/>
            <filter val="OP Club"/>
            <filter val="Poupinvista"/>
            <filter val="Solution For Life"/>
            <filter val="VcInvest"/>
          </filters>
        </filterColumn>
        <filterColumn colId="4">
          <filters>
            <filter val="RJ"/>
            <filter val="SUL"/>
          </filters>
        </filterColumn>
      </autoFilter>
    </customSheetView>
    <customSheetView guid="{32F40765-F481-472F-9579-B1764A204508}" filter="1" showAutoFilter="1">
      <pageMargins left="0" right="0" top="0" bottom="0" header="0" footer="0"/>
      <autoFilter ref="A1:AQ1088" xr:uid="{CEB176FB-0596-4345-A870-6BF1058B0DFA}">
        <filterColumn colId="6">
          <filters blank="1">
            <filter val="Gabriel"/>
            <filter val="Marcus"/>
            <filter val="Operador"/>
          </filters>
        </filterColumn>
        <filterColumn colId="7">
          <filters blank="1">
            <filter val="Pode Operar"/>
          </filters>
        </filterColumn>
      </autoFilter>
    </customSheetView>
    <customSheetView guid="{1ACE75D4-78FB-433B-A252-49AC148C336D}" filter="1" showAutoFilter="1">
      <pageMargins left="0" right="0" top="0" bottom="0" header="0" footer="0"/>
      <autoFilter ref="B2:AN1088" xr:uid="{4DA4A325-1A87-4552-B77C-3BF55136F207}"/>
    </customSheetView>
    <customSheetView guid="{D0D5036C-A5B8-48C9-99F2-3378B99CD86A}" filter="1" showAutoFilter="1">
      <pageMargins left="0" right="0" top="0" bottom="0" header="0" footer="0"/>
      <autoFilter ref="D2:F1093" xr:uid="{54D62AE3-E5A4-4463-8D61-C73A4EEFB164}"/>
    </customSheetView>
    <customSheetView guid="{1CC9FC42-DA3F-4C4C-8D11-5290D572985F}" filter="1" showAutoFilter="1">
      <pageMargins left="0" right="0" top="0" bottom="0" header="0" footer="0"/>
      <autoFilter ref="AN2:AN1093" xr:uid="{2694B74D-A019-4961-AF67-92992201C682}">
        <filterColumn colId="0">
          <filters>
            <filter val="R$ 1,008,445.97"/>
            <filter val="R$ 1,019.44"/>
            <filter val="R$ 1,031.59"/>
            <filter val="R$ 1,063,288.17"/>
            <filter val="R$ 1,065,696.25"/>
            <filter val="R$ 1,092,925.25"/>
            <filter val="R$ 1,093,084.04"/>
            <filter val="R$ 1,096,279.87"/>
            <filter val="R$ 1,108,291.77"/>
            <filter val="R$ 1,154,904.36"/>
            <filter val="R$ 1,167,395.63"/>
            <filter val="R$ 1,171,602.83"/>
            <filter val="R$ 1,175,009.74"/>
            <filter val="R$ 1,248,592.63"/>
            <filter val="R$ 1,273,091.45"/>
            <filter val="R$ 1,303,880.50"/>
            <filter val="R$ 1,306,782.92"/>
            <filter val="R$ 1,311,380.19"/>
            <filter val="R$ 1,318,217.79"/>
            <filter val="R$ 1,320,623.24"/>
            <filter val="R$ 1,337,693.54"/>
            <filter val="R$ 1,402,232.72"/>
            <filter val="R$ 1,410,022.14"/>
            <filter val="R$ 1,453,747.79"/>
            <filter val="R$ 1,491,823.87"/>
            <filter val="R$ 1,560,140.11"/>
            <filter val="R$ 1,637,940.49"/>
            <filter val="R$ 1,683,033.97"/>
            <filter val="R$ 1,715,562.20"/>
            <filter val="R$ 1,735,162.85"/>
            <filter val="R$ 1,781,611.74"/>
            <filter val="R$ 1,903,309.48"/>
            <filter val="R$ 1,913,063.17"/>
            <filter val="R$ 10,046.26"/>
            <filter val="R$ 10,052.23"/>
            <filter val="R$ 10,216.79"/>
            <filter val="R$ 100,410.67"/>
            <filter val="R$ 100,855.31"/>
            <filter val="R$ 101,414.15"/>
            <filter val="R$ 101,482.84"/>
            <filter val="R$ 101,955.21"/>
            <filter val="R$ 103,228.03"/>
            <filter val="R$ 103,590.46"/>
            <filter val="R$ 104,060.87"/>
            <filter val="R$ 106,857.75"/>
            <filter val="R$ 107,124.87"/>
            <filter val="R$ 107,455.17"/>
            <filter val="R$ 107,496.60"/>
            <filter val="R$ 107,602.25"/>
            <filter val="R$ 108,032.27"/>
            <filter val="R$ 108,290.97"/>
            <filter val="R$ 108,827.97"/>
            <filter val="R$ 108,917.80"/>
            <filter val="R$ 11,645.25"/>
            <filter val="R$ 111,588.77"/>
            <filter val="R$ 117,665.37"/>
            <filter val="R$ 118,731.32"/>
            <filter val="R$ 120,847.69"/>
            <filter val="R$ 121,226.11"/>
            <filter val="R$ 122,676.85"/>
            <filter val="R$ 123,140.07"/>
            <filter val="R$ 123,227.77"/>
            <filter val="R$ 124,736.01"/>
            <filter val="R$ 128,229.47"/>
            <filter val="R$ 128,997.24"/>
            <filter val="R$ 13,791.31"/>
            <filter val="R$ 130,683.94"/>
            <filter val="R$ 130,886.44"/>
            <filter val="R$ 133,995.65"/>
            <filter val="R$ 134,395.32"/>
            <filter val="R$ 135,314.45"/>
            <filter val="R$ 136,023.07"/>
            <filter val="R$ 139,442.52"/>
            <filter val="R$ 143,006.24"/>
            <filter val="R$ 143,938.86"/>
            <filter val="R$ 144,597.64"/>
            <filter val="R$ 149,308.13"/>
            <filter val="R$ 149,606.67"/>
            <filter val="R$ 149,699.12"/>
            <filter val="R$ 15,046.90"/>
            <filter val="R$ 15,708.24"/>
            <filter val="R$ 152,357.62"/>
            <filter val="R$ 152,615.25"/>
            <filter val="R$ 153,290.86"/>
            <filter val="R$ 153,522.02"/>
            <filter val="R$ 154,130.79"/>
            <filter val="R$ 155,770.65"/>
            <filter val="R$ 158,575.16"/>
            <filter val="R$ 16,058,616.37"/>
            <filter val="R$ 165,862.50"/>
            <filter val="R$ 167,418.83"/>
            <filter val="R$ 170,307.91"/>
            <filter val="R$ 170,952.21"/>
            <filter val="R$ 171,702.31"/>
            <filter val="R$ 175,858.96"/>
            <filter val="R$ 177,711.30"/>
            <filter val="R$ 179,706.97"/>
            <filter val="R$ 181,097.77"/>
            <filter val="R$ 183,302.19"/>
            <filter val="R$ 184,021.08"/>
            <filter val="R$ 184,229.48"/>
            <filter val="R$ 185,313.16"/>
            <filter val="R$ 187,209.86"/>
            <filter val="R$ 194,253.16"/>
            <filter val="R$ 197,994.45"/>
            <filter val="R$ 199,994.84"/>
            <filter val="R$ 2,082,493.54"/>
            <filter val="R$ 2,086,021.94"/>
            <filter val="R$ 2,103,502.64"/>
            <filter val="R$ 2,206,209.90"/>
            <filter val="R$ 2,314,336.97"/>
            <filter val="R$ 2,458,871.91"/>
            <filter val="R$ 2,474,330.36"/>
            <filter val="R$ 2,498,485.38"/>
            <filter val="R$ 2,522,741.14"/>
            <filter val="R$ 2,590,353.90"/>
            <filter val="R$ 2,798,261.37"/>
            <filter val="R$ 2,901,586.24"/>
            <filter val="R$ 20,421.27"/>
            <filter val="R$ 20,613.26"/>
            <filter val="R$ 20,667.09"/>
            <filter val="R$ 200,323.08"/>
            <filter val="R$ 200,612.93"/>
            <filter val="R$ 200,958,619.39"/>
            <filter val="R$ 204,207.46"/>
            <filter val="R$ 206,621.50"/>
            <filter val="R$ 211,684.93"/>
            <filter val="R$ 214,322.39"/>
            <filter val="R$ 214,409.69"/>
            <filter val="R$ 219,227.81"/>
            <filter val="R$ 221,274.76"/>
            <filter val="R$ 223,725.03"/>
            <filter val="R$ 226,496.40"/>
            <filter val="R$ 227,559.12"/>
            <filter val="R$ 231,139.98"/>
            <filter val="R$ 233,457.50"/>
            <filter val="R$ 249,107.77"/>
            <filter val="R$ 25,144.17"/>
            <filter val="R$ 251,230.62"/>
            <filter val="R$ 253,116.48"/>
            <filter val="R$ 255,492.88"/>
            <filter val="R$ 261,686.40"/>
            <filter val="R$ 262,967.65"/>
            <filter val="R$ 263,021.44"/>
            <filter val="R$ 265,869.69"/>
            <filter val="R$ 27,481.85"/>
            <filter val="R$ 27,560.74"/>
            <filter val="R$ 270,457.41"/>
            <filter val="R$ 270,708.34"/>
            <filter val="R$ 271,686.79"/>
            <filter val="R$ 276,251.33"/>
            <filter val="R$ 277,203.64"/>
            <filter val="R$ 277,673.23"/>
            <filter val="R$ 277.80"/>
            <filter val="R$ 278,882.47"/>
            <filter val="R$ 28,087.71"/>
            <filter val="R$ 28,496.71"/>
            <filter val="R$ 282,591.82"/>
            <filter val="R$ 284,890.51"/>
            <filter val="R$ 292,898.11"/>
            <filter val="R$ 297,526.94"/>
            <filter val="R$ 3,088,831.62"/>
            <filter val="R$ 3,221,516.64"/>
            <filter val="R$ 3,226.35"/>
            <filter val="R$ 3,243,875.86"/>
            <filter val="R$ 3,268,216.61"/>
            <filter val="R$ 3,378,633.61"/>
            <filter val="R$ 3,483,183.91"/>
            <filter val="R$ 3,553,838.57"/>
            <filter val="R$ 30,059.16"/>
            <filter val="R$ 302,577.74"/>
            <filter val="R$ 308,792.89"/>
            <filter val="R$ 31,545.57"/>
            <filter val="R$ 31,904.55"/>
            <filter val="R$ 311,014.03"/>
            <filter val="R$ 311,081.44"/>
            <filter val="R$ 311,135.49"/>
            <filter val="R$ 314,326.47"/>
            <filter val="R$ 328,100.56"/>
            <filter val="R$ 328,944.06"/>
            <filter val="R$ 33,450.01"/>
            <filter val="R$ 33,459.87"/>
            <filter val="R$ 332,995.49"/>
            <filter val="R$ 335,213.54"/>
            <filter val="R$ 341,945.34"/>
            <filter val="R$ 344,541.66"/>
            <filter val="R$ 344,838.06"/>
            <filter val="R$ 344,984.05"/>
            <filter val="R$ 347,244.02"/>
            <filter val="R$ 35,206.62"/>
            <filter val="R$ 352,698.01"/>
            <filter val="R$ 353,373.86"/>
            <filter val="R$ 353,546.33"/>
            <filter val="R$ 364,672.27"/>
            <filter val="R$ 366,392.92"/>
            <filter val="R$ 366,511.00"/>
            <filter val="R$ 375,411.82"/>
            <filter val="R$ 375,835.95"/>
            <filter val="R$ 380,089.60"/>
            <filter val="R$ 380,658.69"/>
            <filter val="R$ 386,365.49"/>
            <filter val="R$ 389,699.92"/>
            <filter val="R$ 4,000.00"/>
            <filter val="R$ 4,422.04"/>
            <filter val="R$ 4,719.37"/>
            <filter val="R$ 4,860,509.32"/>
            <filter val="R$ 40,114.94"/>
            <filter val="R$ 40,597.33"/>
            <filter val="R$ 40,856.76"/>
            <filter val="R$ 400,226.43"/>
            <filter val="R$ 407,595.85"/>
            <filter val="R$ 409,394.24"/>
            <filter val="R$ 41,342.64"/>
            <filter val="R$ 41,444.93"/>
            <filter val="R$ 412,192.57"/>
            <filter val="R$ 417,043.39"/>
            <filter val="R$ 42,401.20"/>
            <filter val="R$ 431,627.77"/>
            <filter val="R$ 438,425.42"/>
            <filter val="R$ 44,016.30"/>
            <filter val="R$ 44,081.08"/>
            <filter val="R$ 44,411.94"/>
            <filter val="R$ 446,395.97"/>
            <filter val="R$ 449,191.02"/>
            <filter val="R$ 450,372.33"/>
            <filter val="R$ 450,534.84"/>
            <filter val="R$ 454,481.44"/>
            <filter val="R$ 458,436.40"/>
            <filter val="R$ 46,351.99"/>
            <filter val="R$ 46,962.62"/>
            <filter val="R$ 473,644.04"/>
            <filter val="R$ 481,161.13"/>
            <filter val="R$ 481,579.68"/>
            <filter val="R$ 493,279.87"/>
            <filter val="R$ 5,026.08"/>
            <filter val="R$ 5,698.80"/>
            <filter val="R$ 5,730,277.89"/>
            <filter val="R$ 50,012.00"/>
            <filter val="R$ 50,580.59"/>
            <filter val="R$ 50,614.22"/>
            <filter val="R$ 50,792.07"/>
            <filter val="R$ 50,830.05"/>
            <filter val="R$ 500,079.13"/>
            <filter val="R$ 503,579.04"/>
            <filter val="R$ 507,653.15"/>
            <filter val="R$ 509,914.47"/>
            <filter val="R$ 51,939.10"/>
            <filter val="R$ 514,928.52"/>
            <filter val="R$ 515,447.49"/>
            <filter val="R$ 520,486.64"/>
            <filter val="R$ 54,504.69"/>
            <filter val="R$ 545,178.37"/>
            <filter val="R$ 55,533.69"/>
            <filter val="R$ 55,803.18"/>
            <filter val="R$ 557,848.13"/>
            <filter val="R$ 56,870.02"/>
            <filter val="R$ 567,339.85"/>
            <filter val="R$ 57,739.53"/>
            <filter val="R$ 577,636.93"/>
            <filter val="R$ 58,707.84"/>
            <filter val="R$ 58,966.85"/>
            <filter val="R$ 583,264.52"/>
            <filter val="R$ 59,569.73"/>
            <filter val="R$ 59,580.63"/>
            <filter val="R$ 594,830.28"/>
            <filter val="R$ 599,690.17"/>
            <filter val="R$ 6,480.83"/>
            <filter val="R$ 6,868.15"/>
            <filter val="R$ 602,522.31"/>
            <filter val="R$ 604,195.66"/>
            <filter val="R$ 61,168.62"/>
            <filter val="R$ 620,316.84"/>
            <filter val="R$ 621,659.37"/>
            <filter val="R$ 622,860.35"/>
            <filter val="R$ 623,400.99"/>
            <filter val="R$ 623,799.05"/>
            <filter val="R$ 63,009.59"/>
            <filter val="R$ 63,535.51"/>
            <filter val="R$ 636,897.62"/>
            <filter val="R$ 64,634.52"/>
            <filter val="R$ 64,890.58"/>
            <filter val="R$ 640,821.67"/>
            <filter val="R$ 645,478.28"/>
            <filter val="R$ 65,262.09"/>
            <filter val="R$ 65,307.83"/>
            <filter val="R$ 66,263.15"/>
            <filter val="R$ 670,333.70"/>
            <filter val="R$ 675,072.26"/>
            <filter val="R$ 675,434.06"/>
            <filter val="R$ 68,277.54"/>
            <filter val="R$ 69,759.11"/>
            <filter val="R$ 7,154.16"/>
            <filter val="R$ 70,008.87"/>
            <filter val="R$ 70,966.44"/>
            <filter val="R$ 706,625.56"/>
            <filter val="R$ 71,091.48"/>
            <filter val="R$ 71,251.35"/>
            <filter val="R$ 712.78"/>
            <filter val="R$ 714,716.36"/>
            <filter val="R$ 731,399.04"/>
            <filter val="R$ 732,005.28"/>
            <filter val="R$ 74,121.42"/>
            <filter val="R$ 76,561.17"/>
            <filter val="R$ 77,435.25"/>
            <filter val="R$ 772,289.75"/>
            <filter val="R$ 78,704.46"/>
            <filter val="R$ 782,725.41"/>
            <filter val="R$ 784,615.31"/>
            <filter val="R$ 798,854.32"/>
            <filter val="R$ 8,874,098.43"/>
            <filter val="R$ 81,626.89"/>
            <filter val="R$ 82,627.98"/>
            <filter val="R$ 824,932.72"/>
            <filter val="R$ 83,184.68"/>
            <filter val="R$ 83,223.64"/>
            <filter val="R$ 84,647.01"/>
            <filter val="R$ 84,997.63"/>
            <filter val="R$ 843,575.38"/>
            <filter val="R$ 844,672.09"/>
            <filter val="R$ 85,172.94"/>
            <filter val="R$ 861,974.11"/>
            <filter val="R$ 862.31"/>
            <filter val="R$ 87,159.14"/>
            <filter val="R$ 870,034.71"/>
            <filter val="R$ 88,076.51"/>
            <filter val="R$ 896,950.17"/>
            <filter val="R$ 911,550.56"/>
            <filter val="R$ 921,849.32"/>
            <filter val="R$ 939,224.97"/>
            <filter val="R$ 964,261.47"/>
            <filter val="R$ 97,219.44"/>
            <filter val="R$ 984,540.31"/>
            <filter val="R$ 986,813.10"/>
          </filters>
        </filterColumn>
      </autoFilter>
    </customSheetView>
    <customSheetView guid="{70FA6B02-2DAC-44FB-9C02-C4F5C0E36D73}" filter="1" showAutoFilter="1">
      <pageMargins left="0" right="0" top="0" bottom="0" header="0" footer="0"/>
      <autoFilter ref="A1:AT1084" xr:uid="{1420FF3A-1EFB-441D-8263-687070304728}"/>
    </customSheetView>
    <customSheetView guid="{DFF4B50E-01D0-4A0A-B926-259FB09F099F}" filter="1" showAutoFilter="1">
      <pageMargins left="0" right="0" top="0" bottom="0" header="0" footer="0"/>
      <autoFilter ref="A1:AQ1088" xr:uid="{30293422-3062-486C-88E5-8AC69958C51F}">
        <filterColumn colId="6">
          <filters blank="1">
            <filter val="Gabriel"/>
            <filter val="Marcus"/>
            <filter val="Operador"/>
          </filters>
        </filterColumn>
        <filterColumn colId="7">
          <filters blank="1">
            <filter val="Pode Operar"/>
          </filters>
        </filterColumn>
        <filterColumn colId="8">
          <filters blank="1">
            <filter val="------"/>
            <filter val="Monitoramento"/>
            <filter val="Resgate Total"/>
            <filter val="Sem Saldo"/>
            <filter val="Situação"/>
            <filter val="STVM Saída"/>
            <filter val="Troca de Assessoria"/>
          </filters>
        </filterColumn>
      </autoFilter>
    </customSheetView>
    <customSheetView guid="{0BA908DD-2BB4-48DD-992D-A06F463B3C10}" filter="1" showAutoFilter="1">
      <pageMargins left="0" right="0" top="0" bottom="0" header="0" footer="0"/>
      <autoFilter ref="A2:AW1084" xr:uid="{F64BED6B-2328-40D8-9BA7-253893ED84CE}">
        <filterColumn colId="7">
          <filters>
            <filter val="Ativo"/>
            <filter val="Pode Operar"/>
          </filters>
        </filterColumn>
        <filterColumn colId="8">
          <filters>
            <filter val="------"/>
            <filter val="Resgate Total"/>
            <filter val="Sem Saldo"/>
            <filter val="STVM Saída"/>
            <filter val="Troca de Assessoria"/>
          </filters>
        </filterColumn>
        <filterColumn colId="12">
          <filters>
            <filter val="ARR"/>
            <filter val="BDR"/>
            <filter val="CON"/>
            <filter val="CON/ COADM"/>
            <filter val="CON/ GR"/>
            <filter val="CORP"/>
            <filter val="CRIP"/>
            <filter val="DIV"/>
            <filter val="DIV/ COADM"/>
            <filter val="EQT"/>
            <filter val="EQT/ COADM"/>
            <filter val="FII"/>
            <filter val="INC CP"/>
            <filter val="INC CP/ COADM"/>
            <filter val="INC/ COADM"/>
            <filter val="MOD"/>
            <filter val="MOD/ COADM"/>
            <filter val="MOD/ GR"/>
            <filter val="MOD/ PREV MOD/ COADM"/>
            <filter val="MONT/ COADM"/>
            <filter val="MULT PRIV"/>
            <filter val="MULT PRIV/ CO ADM"/>
            <filter val="PREV"/>
            <filter val="SMLL"/>
            <filter val="STOCK"/>
          </filters>
        </filterColumn>
        <filterColumn colId="48">
          <filters>
            <filter val="R$ 0.00"/>
            <filter val="R$ 0.01"/>
            <filter val="R$ 0.09"/>
            <filter val="R$ 0.14"/>
            <filter val="R$ 0.15"/>
            <filter val="R$ 0.16"/>
            <filter val="R$ 0.39"/>
            <filter val="R$ 0.78"/>
            <filter val="R$ 0.89"/>
            <filter val="R$ 1,000,991.59"/>
            <filter val="R$ 1,001.59"/>
            <filter val="R$ 1,009,941.62"/>
            <filter val="R$ 1,042,902.05"/>
            <filter val="R$ 1,047,159.73"/>
            <filter val="R$ 1,053,898.68"/>
            <filter val="R$ 1,063,307.91"/>
            <filter val="R$ 1,064,896.89"/>
            <filter val="R$ 1,066,970.04"/>
            <filter val="R$ 1,069,095.93"/>
            <filter val="R$ 1,077,534.52"/>
            <filter val="R$ 1,119.31"/>
            <filter val="R$ 1,120,231.44"/>
            <filter val="R$ 1,126.35"/>
            <filter val="R$ 1,153,441.88"/>
            <filter val="R$ 1,158,198.34"/>
            <filter val="R$ 1,181,453.01"/>
            <filter val="R$ 1,200,219.25"/>
            <filter val="R$ 1,239,870.15"/>
            <filter val="R$ 1,242,953.36"/>
            <filter val="R$ 1,255,013.76"/>
            <filter val="R$ 1,277,140.44"/>
            <filter val="R$ 1,289,543.74"/>
            <filter val="R$ 1,293,675.25"/>
            <filter val="R$ 1,301.52"/>
            <filter val="R$ 1,303,972.44"/>
            <filter val="R$ 1,312,108.37"/>
            <filter val="R$ 1,346,659.30"/>
            <filter val="R$ 1,365,082.92"/>
            <filter val="R$ 1,384,069.46"/>
            <filter val="R$ 1,426,979.35"/>
            <filter val="R$ 1,428,887.09"/>
            <filter val="R$ 1,431,243.69"/>
            <filter val="R$ 1,444,199.99"/>
            <filter val="R$ 1,459,910.20"/>
            <filter val="R$ 1,464.62"/>
            <filter val="R$ 1,485,219.16"/>
            <filter val="R$ 1,504.25"/>
            <filter val="R$ 1,563,469.43"/>
            <filter val="R$ 1,596,659.71"/>
            <filter val="R$ 1,609,197.92"/>
            <filter val="R$ 1,633,210.16"/>
            <filter val="R$ 1,639,208.17"/>
            <filter val="R$ 1,650,026.08"/>
            <filter val="R$ 1,698,417.81"/>
            <filter val="R$ 1,806,232.88"/>
            <filter val="R$ 1,823,412.12"/>
            <filter val="R$ 1,833,654.69"/>
            <filter val="R$ 1,882,119.94"/>
            <filter val="R$ 1,890,115.85"/>
            <filter val="R$ 1,998,699.75"/>
            <filter val="R$ 1.06"/>
            <filter val="R$ 10,117.07"/>
            <filter val="R$ 10,727.74"/>
            <filter val="R$ 101,205.41"/>
            <filter val="R$ 101,250.66"/>
            <filter val="R$ 101,505.39"/>
            <filter val="R$ 102,329.32"/>
            <filter val="R$ 102,513.19"/>
            <filter val="R$ 102,856.91"/>
            <filter val="R$ 103,054.56"/>
            <filter val="R$ 103,114.97"/>
            <filter val="R$ 103,594.28"/>
            <filter val="R$ 104,300.00"/>
            <filter val="R$ 104,327.22"/>
            <filter val="R$ 104,351.34"/>
            <filter val="R$ 104,501.31"/>
            <filter val="R$ 104,663.11"/>
            <filter val="R$ 104,723.20"/>
            <filter val="R$ 104,868.18"/>
            <filter val="R$ 105,164.21"/>
            <filter val="R$ 107,205.88"/>
            <filter val="R$ 107,989.36"/>
            <filter val="R$ 108,303.40"/>
            <filter val="R$ 109,137.66"/>
            <filter val="R$ 11,431.85"/>
            <filter val="R$ 11,512.46"/>
            <filter val="R$ 111,686.15"/>
            <filter val="R$ 111,940.50"/>
            <filter val="R$ 112,663.48"/>
            <filter val="R$ 114,381.89"/>
            <filter val="R$ 114,402.67"/>
            <filter val="R$ 114,480.81"/>
            <filter val="R$ 115,044.75"/>
            <filter val="R$ 117,049.00"/>
            <filter val="R$ 119,862.32"/>
            <filter val="R$ 119,901.52"/>
            <filter val="R$ 121,658.89"/>
            <filter val="R$ 121,852.18"/>
            <filter val="R$ 124,791.66"/>
            <filter val="R$ 125,398.61"/>
            <filter val="R$ 126,220.89"/>
            <filter val="R$ 129,147.12"/>
            <filter val="R$ 129,147.26"/>
            <filter val="R$ 13,068.91"/>
            <filter val="R$ 13,716.42"/>
            <filter val="R$ 130,282.38"/>
            <filter val="R$ 131,805.24"/>
            <filter val="R$ 132,130.09"/>
            <filter val="R$ 133,503.57"/>
            <filter val="R$ 134,379.96"/>
            <filter val="R$ 134,780.95"/>
            <filter val="R$ 135,941.03"/>
            <filter val="R$ 136,394.09"/>
            <filter val="R$ 137,351.63"/>
            <filter val="R$ 137,435.10"/>
            <filter val="R$ 137,673.40"/>
            <filter val="R$ 137.32"/>
            <filter val="R$ 139,093.47"/>
            <filter val="R$ 139,736.26"/>
            <filter val="R$ 14,230.92"/>
            <filter val="R$ 14,747.84"/>
            <filter val="R$ 14.67"/>
            <filter val="R$ 140,246.64"/>
            <filter val="R$ 140,285.00"/>
            <filter val="R$ 140,287.07"/>
            <filter val="R$ 140,596.37"/>
            <filter val="R$ 140.59"/>
            <filter val="R$ 141,341.87"/>
            <filter val="R$ 141,659.22"/>
            <filter val="R$ 142,733.52"/>
            <filter val="R$ 144,284.80"/>
            <filter val="R$ 144,495.55"/>
            <filter val="R$ 146,841.97"/>
            <filter val="R$ 146.74"/>
            <filter val="R$ 149,376.34"/>
            <filter val="R$ 15,351.73"/>
            <filter val="R$ 15,935.10"/>
            <filter val="R$ 150,464.07"/>
            <filter val="R$ 150,736.95"/>
            <filter val="R$ 152,100.88"/>
            <filter val="R$ 153,435.44"/>
            <filter val="R$ 154,454.13"/>
            <filter val="R$ 154,923.63"/>
            <filter val="R$ 157,321.63"/>
            <filter val="R$ 158,703.75"/>
            <filter val="R$ 158,825.91"/>
            <filter val="R$ 159,902.35"/>
            <filter val="R$ 16,523,890.02"/>
            <filter val="R$ 16,731.64"/>
            <filter val="R$ 16.18"/>
            <filter val="R$ 160,214.99"/>
            <filter val="R$ 160,286.49"/>
            <filter val="R$ 160,710.31"/>
            <filter val="R$ 162,158.77"/>
            <filter val="R$ 162,955.89"/>
            <filter val="R$ 163,478.71"/>
            <filter val="R$ 163,997.52"/>
            <filter val="R$ 164,501.49"/>
            <filter val="R$ 167,672.40"/>
            <filter val="R$ 167,903.82"/>
            <filter val="R$ 168,695.58"/>
            <filter val="R$ 169,309.23"/>
            <filter val="R$ 17,659.52"/>
            <filter val="R$ 170.67"/>
            <filter val="R$ 171,477.40"/>
            <filter val="R$ 171.31"/>
            <filter val="R$ 172,384.33"/>
            <filter val="R$ 174,526.13"/>
            <filter val="R$ 176,404.80"/>
            <filter val="R$ 177,375.23"/>
            <filter val="R$ 179,899.19"/>
            <filter val="R$ 18,586.32"/>
            <filter val="R$ 18.77"/>
            <filter val="R$ 180,938.03"/>
            <filter val="R$ 185,296.17"/>
            <filter val="R$ 187,596.72"/>
            <filter val="R$ 191,029.53"/>
            <filter val="R$ 193,588.35"/>
            <filter val="R$ 193,638.73"/>
            <filter val="R$ 194,411.18"/>
            <filter val="R$ 194,882.55"/>
            <filter val="R$ 196,353.37"/>
            <filter val="R$ 2,007,276.64"/>
            <filter val="R$ 2,050.86"/>
            <filter val="R$ 2,130,656.17"/>
            <filter val="R$ 2,137,864.26"/>
            <filter val="R$ 2,241,552.06"/>
            <filter val="R$ 2,244,094.95"/>
            <filter val="R$ 2,277,301.51"/>
            <filter val="R$ 2,325.06"/>
            <filter val="R$ 2,426,511.51"/>
            <filter val="R$ 2,503.58"/>
            <filter val="R$ 2,546.54"/>
            <filter val="R$ 2,584,018.75"/>
            <filter val="R$ 2,756,883.68"/>
            <filter val="R$ 2,795,806.80"/>
            <filter val="R$ 2,839,628.15"/>
            <filter val="R$ 2,847,042.41"/>
            <filter val="R$ 20,653.07"/>
            <filter val="R$ 20.72"/>
            <filter val="R$ 200,155.63"/>
            <filter val="R$ 203,035.19"/>
            <filter val="R$ 203,143.75"/>
            <filter val="R$ 203,648.03"/>
            <filter val="R$ 204,538.43"/>
            <filter val="R$ 205,686.07"/>
            <filter val="R$ 205,870.37"/>
            <filter val="R$ 206,222.73"/>
            <filter val="R$ 207,011.53"/>
            <filter val="R$ 207,262.24"/>
            <filter val="R$ 209,678.10"/>
            <filter val="R$ 209.26"/>
            <filter val="R$ 21,052.45"/>
            <filter val="R$ 210,854.24"/>
            <filter val="R$ 210,892.59"/>
            <filter val="R$ 214,690.42"/>
            <filter val="R$ 216,644.68"/>
            <filter val="R$ 22,583.51"/>
            <filter val="R$ 220,034.61"/>
            <filter val="R$ 220,877.83"/>
            <filter val="R$ 223,808.12"/>
            <filter val="R$ 225.51"/>
            <filter val="R$ 225.57"/>
            <filter val="R$ 226,091.54"/>
            <filter val="R$ 227,436.61"/>
            <filter val="R$ 229,850.74"/>
            <filter val="R$ 23,577.54"/>
            <filter val="R$ 237,902.88"/>
            <filter val="R$ 238,572.20"/>
            <filter val="R$ 240,282.31"/>
            <filter val="R$ 240,651.02"/>
            <filter val="R$ 241,158.97"/>
            <filter val="R$ 243,986.61"/>
            <filter val="R$ 244,225.82"/>
            <filter val="R$ 245,498.57"/>
            <filter val="R$ 245,889.80"/>
            <filter val="R$ 246,738.52"/>
            <filter val="R$ 247,051.88"/>
            <filter val="R$ 252,228.48"/>
            <filter val="R$ 252,690.67"/>
            <filter val="R$ 254,560.55"/>
            <filter val="R$ 256,018.70"/>
            <filter val="R$ 256,538.48"/>
            <filter val="R$ 26,561.96"/>
            <filter val="R$ 26,596.87"/>
            <filter val="R$ 26,929.96"/>
            <filter val="R$ 262,611.44"/>
            <filter val="R$ 264,749.49"/>
            <filter val="R$ 265,209.88"/>
            <filter val="R$ 265,297.84"/>
            <filter val="R$ 265,516.80"/>
            <filter val="R$ 267,033.97"/>
            <filter val="R$ 267,336.43"/>
            <filter val="R$ 268,734.95"/>
            <filter val="R$ 273,707.75"/>
            <filter val="R$ 276,789.02"/>
            <filter val="R$ 278,391.66"/>
            <filter val="R$ 279,463.95"/>
            <filter val="R$ 28,025.44"/>
            <filter val="R$ 28,193.34"/>
            <filter val="R$ 282,668.50"/>
            <filter val="R$ 283,791.34"/>
            <filter val="R$ 284.91"/>
            <filter val="R$ 286,943.12"/>
            <filter val="R$ 289,037.78"/>
            <filter val="R$ 29,309.64"/>
            <filter val="R$ 294,500.57"/>
            <filter val="R$ 294,925.98"/>
            <filter val="R$ 297,895.15"/>
            <filter val="R$ 3,023,601.99"/>
            <filter val="R$ 3,214,698.19"/>
            <filter val="R$ 3,322.39"/>
            <filter val="R$ 3,361,260.34"/>
            <filter val="R$ 3,431,369.99"/>
            <filter val="R$ 3,755,707.41"/>
            <filter val="R$ 3,819,221.34"/>
            <filter val="R$ 3,839,579.00"/>
            <filter val="R$ 30,257.60"/>
            <filter val="R$ 30,358.37"/>
            <filter val="R$ 30.02"/>
            <filter val="R$ 302,703.59"/>
            <filter val="R$ 306,615.91"/>
            <filter val="R$ 31,005.58"/>
            <filter val="R$ 31,477.15"/>
            <filter val="R$ 313,290.90"/>
            <filter val="R$ 313,646.34"/>
            <filter val="R$ 313,991.54"/>
            <filter val="R$ 316,403.92"/>
            <filter val="R$ 32,287.35"/>
            <filter val="R$ 320,036.63"/>
            <filter val="R$ 323,405.42"/>
            <filter val="R$ 325,439.29"/>
            <filter val="R$ 325,691.07"/>
            <filter val="R$ 327,583.28"/>
            <filter val="R$ 33,853.44"/>
            <filter val="R$ 33,983.76"/>
            <filter val="R$ 33,992.91"/>
            <filter val="R$ 33.05"/>
            <filter val="R$ 330,757.68"/>
            <filter val="R$ 334,298.87"/>
            <filter val="R$ 334,953.40"/>
            <filter val="R$ 336,551.07"/>
            <filter val="R$ 337,962.60"/>
            <filter val="R$ 342,743.89"/>
            <filter val="R$ 345,713.60"/>
            <filter val="R$ 346,764.92"/>
            <filter val="R$ 347,570.86"/>
            <filter val="R$ 348,379.66"/>
            <filter val="R$ 35,274.58"/>
            <filter val="R$ 35,304.36"/>
            <filter val="R$ 35,463.24"/>
            <filter val="R$ 35,820.13"/>
            <filter val="R$ 35.29"/>
            <filter val="R$ 350,725.59"/>
            <filter val="R$ 351,339.11"/>
            <filter val="R$ 352,782.73"/>
            <filter val="R$ 353.00"/>
            <filter val="R$ 356,098.04"/>
            <filter val="R$ 357,875.71"/>
            <filter val="R$ 361,097.71"/>
            <filter val="R$ 364,082.52"/>
            <filter val="R$ 365,697.18"/>
            <filter val="R$ 366,231.42"/>
            <filter val="R$ 368,564.59"/>
            <filter val="R$ 368,641.85"/>
            <filter val="R$ 374,712.09"/>
            <filter val="R$ 376,620.20"/>
            <filter val="R$ 377,147.44"/>
            <filter val="R$ 378,431.57"/>
            <filter val="R$ 388,775.00"/>
            <filter val="R$ 390,387.65"/>
            <filter val="R$ 394,597.36"/>
            <filter val="R$ 396,652.54"/>
            <filter val="R$ 4,039,125.48"/>
            <filter val="R$ 4,295,934.78"/>
            <filter val="R$ 4,312,662.84"/>
            <filter val="R$ 4,397,477.29"/>
            <filter val="R$ 4,460,551.74"/>
            <filter val="R$ 4,485,768.68"/>
            <filter val="R$ 40,194.98"/>
            <filter val="R$ 404,628.32"/>
            <filter val="R$ 407,678.64"/>
            <filter val="R$ 41,435.87"/>
            <filter val="R$ 41,967.58"/>
            <filter val="R$ 42,685.50"/>
            <filter val="R$ 42,896.63"/>
            <filter val="R$ 421,870.60"/>
            <filter val="R$ 425,000.19"/>
            <filter val="R$ 426,797.43"/>
            <filter val="R$ 427,208.00"/>
            <filter val="R$ 427,432.58"/>
            <filter val="R$ 428,542.58"/>
            <filter val="R$ 43,052.43"/>
            <filter val="R$ 43,467.77"/>
            <filter val="R$ 430,801.34"/>
            <filter val="R$ 430,912.15"/>
            <filter val="R$ 435.94"/>
            <filter val="R$ 436,678.49"/>
            <filter val="R$ 438,530.77"/>
            <filter val="R$ 44,497.80"/>
            <filter val="R$ 443,417.86"/>
            <filter val="R$ 450,866.14"/>
            <filter val="R$ 450.54"/>
            <filter val="R$ 456,589.58"/>
            <filter val="R$ 46,392.12"/>
            <filter val="R$ 460,657.48"/>
            <filter val="R$ 461,792.47"/>
            <filter val="R$ 463,317.50"/>
            <filter val="R$ 466,830.27"/>
            <filter val="R$ 473,331.37"/>
            <filter val="R$ 48,297.43"/>
            <filter val="R$ 48,585.14"/>
            <filter val="R$ 48,852.60"/>
            <filter val="R$ 492,167.63"/>
            <filter val="R$ 493,164.06"/>
            <filter val="R$ 494,699.39"/>
            <filter val="R$ 5,028.95"/>
            <filter val="R$ 5,194.78"/>
            <filter val="R$ 5,612.56"/>
            <filter val="R$ 5,744.77"/>
            <filter val="R$ 5,818,801.75"/>
            <filter val="R$ 5.55"/>
            <filter val="R$ 50,061.93"/>
            <filter val="R$ 50,269.97"/>
            <filter val="R$ 50,397.13"/>
            <filter val="R$ 50,930.79"/>
            <filter val="R$ 50.26"/>
            <filter val="R$ 500,890.57"/>
            <filter val="R$ 501,159.88"/>
            <filter val="R$ 504,924.71"/>
            <filter val="R$ 51,013.45"/>
            <filter val="R$ 51,054.53"/>
            <filter val="R$ 510,606.55"/>
            <filter val="R$ 519,788.90"/>
            <filter val="R$ 525,434.07"/>
            <filter val="R$ 525,472.70"/>
            <filter val="R$ 527,081.27"/>
            <filter val="R$ 53,505.91"/>
            <filter val="R$ 53,523.46"/>
            <filter val="R$ 530,776.49"/>
            <filter val="R$ 536,257.18"/>
            <filter val="R$ 54,098.91"/>
            <filter val="R$ 54,451.84"/>
            <filter val="R$ 540,494.52"/>
            <filter val="R$ 541,516.93"/>
            <filter val="R$ 545,892.12"/>
            <filter val="R$ 55,930.45"/>
            <filter val="R$ 550,429.91"/>
            <filter val="R$ 550,621.00"/>
            <filter val="R$ 551.26"/>
            <filter val="R$ 554,805.92"/>
            <filter val="R$ 555,199.17"/>
            <filter val="R$ 56,802.00"/>
            <filter val="R$ 567,918.27"/>
            <filter val="R$ 567.70"/>
            <filter val="R$ 568,342.23"/>
            <filter val="R$ 569,717.36"/>
            <filter val="R$ 57,945.12"/>
            <filter val="R$ 574,327.63"/>
            <filter val="R$ 574,607.37"/>
            <filter val="R$ 577,230.70"/>
            <filter val="R$ 58,076.04"/>
            <filter val="R$ 58,345.64"/>
            <filter val="R$ 58,458.23"/>
            <filter val="R$ 58,668.22"/>
            <filter val="R$ 580.01"/>
            <filter val="R$ 581,827.86"/>
            <filter val="R$ 582,727.07"/>
            <filter val="R$ 586,787.50"/>
            <filter val="R$ 59,694.45"/>
            <filter val="R$ 594,327.36"/>
            <filter val="R$ 6,000.00"/>
            <filter val="R$ 6,155.03"/>
            <filter val="R$ 6,273,001.62"/>
            <filter val="R$ 6,745.71"/>
            <filter val="R$ 6,859.37"/>
            <filter val="R$ 603,404.57"/>
            <filter val="R$ 607,761.38"/>
            <filter val="R$ 608,996.41"/>
            <filter val="R$ 62,837.01"/>
            <filter val="R$ 622,694.76"/>
            <filter val="R$ 623,702.07"/>
            <filter val="R$ 625,486.55"/>
            <filter val="R$ 626,479.97"/>
            <filter val="R$ 626,625.64"/>
            <filter val="R$ 63,760.24"/>
            <filter val="R$ 633,953.26"/>
            <filter val="R$ 640,051.07"/>
            <filter val="R$ 648,589.35"/>
            <filter val="R$ 65,158.14"/>
            <filter val="R$ 655,293.54"/>
            <filter val="R$ 655,720.22"/>
            <filter val="R$ 656,283.35"/>
            <filter val="R$ 66,386.28"/>
            <filter val="R$ 66,405.76"/>
            <filter val="R$ 663,216.71"/>
            <filter val="R$ 663,847.98"/>
            <filter val="R$ 668,407.40"/>
            <filter val="R$ 67,105.66"/>
            <filter val="R$ 676,174.01"/>
            <filter val="R$ 68,035.38"/>
            <filter val="R$ 68,171.38"/>
            <filter val="R$ 68,755.69"/>
            <filter val="R$ 68.39"/>
            <filter val="R$ 680,459.13"/>
            <filter val="R$ 686,867.99"/>
            <filter val="R$ 688,196.81"/>
            <filter val="R$ 69,000.88"/>
            <filter val="R$ 69,098.44"/>
            <filter val="R$ 697,736.76"/>
            <filter val="R$ 7,188.30"/>
            <filter val="R$ 7,292,274.01"/>
            <filter val="R$ 7,323.91"/>
            <filter val="R$ 7,600.49"/>
            <filter val="R$ 703,252.34"/>
            <filter val="R$ 71,720.31"/>
            <filter val="R$ 718,812.51"/>
            <filter val="R$ 73,158.95"/>
            <filter val="R$ 73,840.23"/>
            <filter val="R$ 73.59"/>
            <filter val="R$ 731,594.67"/>
            <filter val="R$ 74,163.19"/>
            <filter val="R$ 74,212.90"/>
            <filter val="R$ 74,734.14"/>
            <filter val="R$ 75,125.82"/>
            <filter val="R$ 759,514.93"/>
            <filter val="R$ 759.00"/>
            <filter val="R$ 76,475.19"/>
            <filter val="R$ 765,575.63"/>
            <filter val="R$ 77,206.92"/>
            <filter val="R$ 77,351.94"/>
            <filter val="R$ 77,652.46"/>
            <filter val="R$ 773,226.21"/>
            <filter val="R$ 778,613.49"/>
            <filter val="R$ 79,278.76"/>
            <filter val="R$ 79,591.77"/>
            <filter val="R$ 8,080,494.59"/>
            <filter val="R$ 801,302.32"/>
            <filter val="R$ 802,110.67"/>
            <filter val="R$ 803,507.43"/>
            <filter val="R$ 807,149.98"/>
            <filter val="R$ 81,039.79"/>
            <filter val="R$ 812,486.91"/>
            <filter val="R$ 815,684.51"/>
            <filter val="R$ 818,622.85"/>
            <filter val="R$ 828,451.96"/>
            <filter val="R$ 829,370.48"/>
            <filter val="R$ 83,186.65"/>
            <filter val="R$ 830,733.73"/>
            <filter val="R$ 836,610.72"/>
            <filter val="R$ 837,618.20"/>
            <filter val="R$ 85,768.99"/>
            <filter val="R$ 850,022.20"/>
            <filter val="R$ 859,210.00"/>
            <filter val="R$ 86,482.09"/>
            <filter val="R$ 86.38"/>
            <filter val="R$ 862,950.86"/>
            <filter val="R$ 863,638.46"/>
            <filter val="R$ 868,861.72"/>
            <filter val="R$ 870,146.90"/>
            <filter val="R$ 874,087.61"/>
            <filter val="R$ 880,475.50"/>
            <filter val="R$ 889,186.44"/>
            <filter val="R$ 89,216.53"/>
            <filter val="R$ 89,381.90"/>
            <filter val="R$ 89,547.54"/>
            <filter val="R$ 892,261.10"/>
            <filter val="R$ 898,278.39"/>
            <filter val="R$ 9,079.50"/>
            <filter val="R$ 9.74"/>
            <filter val="R$ 904,444.35"/>
            <filter val="R$ 929,335.64"/>
            <filter val="R$ 94,987.15"/>
            <filter val="R$ 948,513.33"/>
            <filter val="R$ 955,552.47"/>
            <filter val="R$ 96,166.27"/>
            <filter val="R$ 96,234.46"/>
            <filter val="R$ 977,995.99"/>
            <filter val="R$ 978,638.13"/>
            <filter val="R$ 98,754.33"/>
            <filter val="R$ 98,937.03"/>
            <filter val="R$ 983,365.96"/>
            <filter val="R$ 990,177.55"/>
            <filter val="R$ 992,536.72"/>
            <filter val="R$ 996,713.38"/>
          </filters>
        </filterColumn>
      </autoFilter>
    </customSheetView>
    <customSheetView guid="{620506BD-90CB-4FFD-ADD6-EEFB9E05D2C2}" filter="1" showAutoFilter="1">
      <pageMargins left="0" right="0" top="0" bottom="0" header="0" footer="0"/>
      <autoFilter ref="A2:AU1084" xr:uid="{77DCAD91-8F7F-4B77-B450-CBAB07A9CFF5}"/>
    </customSheetView>
    <customSheetView guid="{1FE7E5D8-7F24-4EC5-B50B-B798FF734343}" filter="1" showAutoFilter="1">
      <pageMargins left="0" right="0" top="0" bottom="0" header="0" footer="0"/>
      <autoFilter ref="B2:AO1093" xr:uid="{5BA6BE2A-A3C7-406D-9308-6974345D4C03}">
        <filterColumn colId="39">
          <filters blank="1">
            <filter val="R$ 0.00"/>
            <filter val="R$ 0.01"/>
            <filter val="R$ 1,015,957.57"/>
            <filter val="R$ 1,029.10"/>
            <filter val="R$ 1,042.93"/>
            <filter val="R$ 1,073,945.36"/>
            <filter val="R$ 1,090,968.79"/>
            <filter val="R$ 1,103,042.33"/>
            <filter val="R$ 1,104,974.04"/>
            <filter val="R$ 1,131,931.21"/>
            <filter val="R$ 1,139,042.65"/>
            <filter val="R$ 1,162,232.12"/>
            <filter val="R$ 1,175,708.77"/>
            <filter val="R$ 1,176,247.47"/>
            <filter val="R$ 1,185,006.62"/>
            <filter val="R$ 1,228,192.68"/>
            <filter val="R$ 1,242,237.90"/>
            <filter val="R$ 1,259,014.66"/>
            <filter val="R$ 1,266,407.64"/>
            <filter val="R$ 1,283,492.26"/>
            <filter val="R$ 1,317,426.15"/>
            <filter val="R$ 1,319,712.68"/>
            <filter val="R$ 1,332,023.96"/>
            <filter val="R$ 1,335,930.60"/>
            <filter val="R$ 1,349,842.02"/>
            <filter val="R$ 1,374,140.03"/>
            <filter val="R$ 1,374,434.26"/>
            <filter val="R$ 1,409,788.24"/>
            <filter val="R$ 1,470,305.87"/>
            <filter val="R$ 1,504,511.49"/>
            <filter val="R$ 1,694,859.99"/>
            <filter val="R$ 1,750,873.41"/>
            <filter val="R$ 1,795,213.42"/>
            <filter val="R$ 1,875,447.01"/>
            <filter val="R$ 1,910,989.17"/>
            <filter val="R$ 1,929,869.86"/>
            <filter val="R$ 1,962,080.60"/>
            <filter val="R$ 10,091.93"/>
            <filter val="R$ 10,266.22"/>
            <filter val="R$ 100,133.79"/>
            <filter val="R$ 101,431.94"/>
            <filter val="R$ 101,432.92"/>
            <filter val="R$ 101,705.90"/>
            <filter val="R$ 102,260.12"/>
            <filter val="R$ 102,832.14"/>
            <filter val="R$ 103,098.95"/>
            <filter val="R$ 104,020.22"/>
            <filter val="R$ 104,499.45"/>
            <filter val="R$ 105,138.59"/>
            <filter val="R$ 107,813.68"/>
            <filter val="R$ 107,989.96"/>
            <filter val="R$ 108,307.08"/>
            <filter val="R$ 108,349.80"/>
            <filter val="R$ 108,468.23"/>
            <filter val="R$ 109,573.66"/>
            <filter val="R$ 112,674.22"/>
            <filter val="R$ 117,331.38"/>
            <filter val="R$ 119,621.40"/>
            <filter val="R$ 119,855.66"/>
            <filter val="R$ 12,149.58"/>
            <filter val="R$ 12,752.84"/>
            <filter val="R$ 120,267.44"/>
            <filter val="R$ 123,793.05"/>
            <filter val="R$ 124,208.62"/>
            <filter val="R$ 126,205.58"/>
            <filter val="R$ 128,735.41"/>
            <filter val="R$ 129,836.83"/>
            <filter val="R$ 13,905.96"/>
            <filter val="R$ 131,177.81"/>
            <filter val="R$ 131,755.43"/>
            <filter val="R$ 132,006.38"/>
            <filter val="R$ 132,133.96"/>
            <filter val="R$ 134,443.75"/>
            <filter val="R$ 135,329.99"/>
            <filter val="R$ 136,932.44"/>
            <filter val="R$ 137,240.08"/>
            <filter val="R$ 137,980.08"/>
            <filter val="R$ 138,763.11"/>
            <filter val="R$ 139,849.87"/>
            <filter val="R$ 14.67"/>
            <filter val="R$ 146,285.25"/>
            <filter val="R$ 148,311.97"/>
            <filter val="R$ 150,534.88"/>
            <filter val="R$ 151,065.74"/>
            <filter val="R$ 153,657.18"/>
            <filter val="R$ 154,003.32"/>
            <filter val="R$ 154,121.10"/>
            <filter val="R$ 156,012.55"/>
            <filter val="R$ 156,154.21"/>
            <filter val="R$ 157,547.30"/>
            <filter val="R$ 157,675.40"/>
            <filter val="R$ 158,063.24"/>
            <filter val="R$ 159,926.25"/>
            <filter val="R$ 16,099,820.12"/>
            <filter val="R$ 161,227.33"/>
            <filter val="R$ 167,691.47"/>
            <filter val="R$ 171,767.27"/>
            <filter val="R$ 171,906.21"/>
            <filter val="R$ 174,734.94"/>
            <filter val="R$ 184,796.44"/>
            <filter val="R$ 185,673.70"/>
            <filter val="R$ 191,310.25"/>
            <filter val="R$ 195,637.75"/>
            <filter val="R$ 196,044.31"/>
            <filter val="R$ 196,307.12"/>
            <filter val="R$ 199,122.82"/>
            <filter val="R$ 2,025,074.38"/>
            <filter val="R$ 2,076,597.42"/>
            <filter val="R$ 2,104,306.92"/>
            <filter val="R$ 2,127,232.49"/>
            <filter val="R$ 2,223,135.83"/>
            <filter val="R$ 2,330,169.23"/>
            <filter val="R$ 2,466,301.64"/>
            <filter val="R$ 2,613,104.75"/>
            <filter val="R$ 2,825,569.34"/>
            <filter val="R$ 2,892,594.60"/>
            <filter val="R$ 2,927,527.12"/>
            <filter val="R$ 20,817.53"/>
            <filter val="R$ 201,266.25"/>
            <filter val="R$ 201,894.44"/>
            <filter val="R$ 202,185.21"/>
            <filter val="R$ 205,780.31"/>
            <filter val="R$ 208,460.87"/>
            <filter val="R$ 210,779.70"/>
            <filter val="R$ 211,013.95"/>
            <filter val="R$ 213,546.39"/>
            <filter val="R$ 216,544.32"/>
            <filter val="R$ 218,300.70"/>
            <filter val="R$ 222,554.38"/>
            <filter val="R$ 222,907,286.78"/>
            <filter val="R$ 224,043.27"/>
            <filter val="R$ 225,654.51"/>
            <filter val="R$ 226,649.71"/>
            <filter val="R$ 228,050.04"/>
            <filter val="R$ 233,533.56"/>
            <filter val="R$ 233,832.43"/>
            <filter val="R$ 234,730.68"/>
            <filter val="R$ 235,284.62"/>
            <filter val="R$ 236,912.56"/>
            <filter val="R$ 242,504.57"/>
            <filter val="R$ 249,151.62"/>
            <filter val="R$ 25,359.46"/>
            <filter val="R$ 251,183.31"/>
            <filter val="R$ 251,302.85"/>
            <filter val="R$ 257,944.56"/>
            <filter val="R$ 258,221.49"/>
            <filter val="R$ 265,529.31"/>
            <filter val="R$ 266,116.93"/>
            <filter val="R$ 266,291.47"/>
            <filter val="R$ 269,316.47"/>
            <filter val="R$ 272,850.52"/>
            <filter val="R$ 273,736.55"/>
            <filter val="R$ 274,621.30"/>
            <filter val="R$ 276,192.79"/>
            <filter val="R$ 279,989.85"/>
            <filter val="R$ 28,441.96"/>
            <filter val="R$ 28,721.07"/>
            <filter val="R$ 280,072.57"/>
            <filter val="R$ 281,372.59"/>
            <filter val="R$ 282,738.00"/>
            <filter val="R$ 286,860.28"/>
            <filter val="R$ 295,833.26"/>
            <filter val="R$ 3,118,395.57"/>
            <filter val="R$ 3,255,128.52"/>
            <filter val="R$ 3,297,963.12"/>
            <filter val="R$ 3,303,894.64"/>
            <filter val="R$ 3,417,528.18"/>
            <filter val="R$ 3,583,128.63"/>
            <filter val="R$ 3,764.58"/>
            <filter val="R$ 30,326.11"/>
            <filter val="R$ 30,883.77"/>
            <filter val="R$ 302,770.32"/>
            <filter val="R$ 304,671.28"/>
            <filter val="R$ 312,544.00"/>
            <filter val="R$ 312,644.16"/>
            <filter val="R$ 313,149.40"/>
            <filter val="R$ 313,732.45"/>
            <filter val="R$ 314,336.41"/>
            <filter val="R$ 314,906.04"/>
            <filter val="R$ 317,302.40"/>
            <filter val="R$ 32,117.36"/>
            <filter val="R$ 32,831.67"/>
            <filter val="R$ 320,613.61"/>
            <filter val="R$ 320,715.33"/>
            <filter val="R$ 33,570.75"/>
            <filter val="R$ 330,975.28"/>
            <filter val="R$ 338,304.64"/>
            <filter val="R$ 341,722.93"/>
            <filter val="R$ 342,580.44"/>
            <filter val="R$ 345,033.68"/>
            <filter val="R$ 346,952.70"/>
            <filter val="R$ 347,340.16"/>
            <filter val="R$ 347,862.28"/>
            <filter val="R$ 349,078.77"/>
            <filter val="R$ 35,253.69"/>
            <filter val="R$ 35,422.57"/>
            <filter val="R$ 35,709.37"/>
            <filter val="R$ 353,197.08"/>
            <filter val="R$ 353,259.52"/>
            <filter val="R$ 355,920.24"/>
            <filter val="R$ 357,015.53"/>
            <filter val="R$ 361,798.24"/>
            <filter val="R$ 363,060.22"/>
            <filter val="R$ 368,988.46"/>
            <filter val="R$ 370,316.11"/>
            <filter val="R$ 370,568.08"/>
            <filter val="R$ 376,086.90"/>
            <filter val="R$ 384,001.86"/>
            <filter val="R$ 394,420.72"/>
            <filter val="R$ 398,347.79"/>
            <filter val="R$ 4,028,279.21"/>
            <filter val="R$ 4,473.34"/>
            <filter val="R$ 4,760.49"/>
            <filter val="R$ 4,890,104.61"/>
            <filter val="R$ 40,553.65"/>
            <filter val="R$ 40,979.01"/>
            <filter val="R$ 401,081.80"/>
            <filter val="R$ 403,716.37"/>
            <filter val="R$ 41,056.47"/>
            <filter val="R$ 41,471.87"/>
            <filter val="R$ 410,402.21"/>
            <filter val="R$ 411,428.94"/>
            <filter val="R$ 413,199.93"/>
            <filter val="R$ 419,792.77"/>
            <filter val="R$ 42,756.62"/>
            <filter val="R$ 423,787.50"/>
            <filter val="R$ 43,329.27"/>
            <filter val="R$ 43,658.82"/>
            <filter val="R$ 43,803.84"/>
            <filter val="R$ 435,468.55"/>
            <filter val="R$ 436,082.42"/>
            <filter val="R$ 44,694.58"/>
            <filter val="R$ 447,413.88"/>
            <filter val="R$ 449,077.62"/>
            <filter val="R$ 451,876.08"/>
            <filter val="R$ 453,576.53"/>
            <filter val="R$ 458,776.15"/>
            <filter val="R$ 460,484.47"/>
            <filter val="R$ 467,877.68"/>
            <filter val="R$ 469,355.86"/>
            <filter val="R$ 47,341.05"/>
            <filter val="R$ 479,112.38"/>
            <filter val="R$ 480,581.05"/>
            <filter val="R$ 483,333.15"/>
            <filter val="R$ 483,870.82"/>
            <filter val="R$ 5,852.36"/>
            <filter val="R$ 5,935,459.35"/>
            <filter val="R$ 50,159.60"/>
            <filter val="R$ 50,227.21"/>
            <filter val="R$ 50,378.93"/>
            <filter val="R$ 50,609.72"/>
            <filter val="R$ 50,918.73"/>
            <filter val="R$ 50.26"/>
            <filter val="R$ 503,634.65"/>
            <filter val="R$ 507,721.03"/>
            <filter val="R$ 508,181.96"/>
            <filter val="R$ 51,041.15"/>
            <filter val="R$ 51,225.61"/>
            <filter val="R$ 51,761.90"/>
            <filter val="R$ 519,371.42"/>
            <filter val="R$ 52,409.24"/>
            <filter val="R$ 52,613.31"/>
            <filter val="R$ 524,784.14"/>
            <filter val="R$ 53,366.88"/>
            <filter val="R$ 532,488.02"/>
            <filter val="R$ 534,109.97"/>
            <filter val="R$ 556,458.33"/>
            <filter val="R$ 562,832.00"/>
            <filter val="R$ 564,875.41"/>
            <filter val="R$ 565,393.68"/>
            <filter val="R$ 565,993.39"/>
            <filter val="R$ 57,669.29"/>
            <filter val="R$ 572,321.15"/>
            <filter val="R$ 58,198.80"/>
            <filter val="R$ 58,614.75"/>
            <filter val="R$ 58,760.66"/>
            <filter val="R$ 584,594.91"/>
            <filter val="R$ 59,456.92"/>
            <filter val="R$ 598,857.52"/>
            <filter val="R$ 6,541.24"/>
            <filter val="R$ 6,927.27"/>
            <filter val="R$ 60,765.60"/>
            <filter val="R$ 601,397.66"/>
            <filter val="R$ 602,056.04"/>
            <filter val="R$ 61,652.23"/>
            <filter val="R$ 619,206.82"/>
            <filter val="R$ 625,244.89"/>
            <filter val="R$ 625,662.88"/>
            <filter val="R$ 626,680.78"/>
            <filter val="R$ 627,093.70"/>
            <filter val="R$ 628,230.14"/>
            <filter val="R$ 628,805.12"/>
            <filter val="R$ 64,110.84"/>
            <filter val="R$ 64,630.92"/>
            <filter val="R$ 64,644.78"/>
            <filter val="R$ 64,645.61"/>
            <filter val="R$ 641,342.23"/>
            <filter val="R$ 648,299.81"/>
            <filter val="R$ 65,383.65"/>
            <filter val="R$ 65,965.11"/>
            <filter val="R$ 650,405.77"/>
            <filter val="R$ 652,844.08"/>
            <filter val="R$ 655,818.74"/>
            <filter val="R$ 661,276.45"/>
            <filter val="R$ 68,884.14"/>
            <filter val="R$ 680,203.78"/>
            <filter val="R$ 681,159.69"/>
            <filter val="R$ 69,957.42"/>
            <filter val="R$ 7,194.80"/>
            <filter val="R$ 70,324.05"/>
            <filter val="R$ 70,636.99"/>
            <filter val="R$ 705,083.30"/>
            <filter val="R$ 71,598.24"/>
            <filter val="R$ 721,538.05"/>
            <filter val="R$ 729.09"/>
            <filter val="R$ 737,658.93"/>
            <filter val="R$ 74,859.75"/>
            <filter val="R$ 75,419.21"/>
            <filter val="R$ 75,863.42"/>
            <filter val="R$ 753,620.12"/>
            <filter val="R$ 755,370.21"/>
            <filter val="R$ 76,565.75"/>
            <filter val="R$ 77,220.32"/>
            <filter val="R$ 770,449.99"/>
            <filter val="R$ 78,226.19"/>
            <filter val="R$ 78,422.94"/>
            <filter val="R$ 788,355.82"/>
            <filter val="R$ 788,470.50"/>
            <filter val="R$ 790,313.84"/>
            <filter val="R$ 791,856.43"/>
            <filter val="R$ 8,956,806.00"/>
            <filter val="R$ 80,567.80"/>
            <filter val="R$ 806,756.24"/>
            <filter val="R$ 82,858.01"/>
            <filter val="R$ 83,258.80"/>
            <filter val="R$ 83,477.75"/>
            <filter val="R$ 831,994.21"/>
            <filter val="R$ 832,895.88"/>
            <filter val="R$ 84,064.34"/>
            <filter val="R$ 84,945.20"/>
            <filter val="R$ 85,646.08"/>
            <filter val="R$ 86,267.59"/>
            <filter val="R$ 86,692.70"/>
            <filter val="R$ 862,874.84"/>
            <filter val="R$ 87,914.05"/>
            <filter val="R$ 888,211.88"/>
            <filter val="R$ 89,551.90"/>
            <filter val="R$ 9,062,219.04"/>
            <filter val="R$ 9.68"/>
            <filter val="R$ 90,215.35"/>
            <filter val="R$ 904,259.97"/>
            <filter val="R$ 923,030.07"/>
            <filter val="R$ 925,915.22"/>
            <filter val="R$ 936,984.48"/>
            <filter val="R$ 946,529.43"/>
            <filter val="R$ 97,953.34"/>
            <filter val="R$ 971,845.22"/>
            <filter val="R$ 98,019.24"/>
            <filter val="R$ 98,285.69"/>
            <filter val="R$ 993,536.81"/>
            <filter val="R$ 994,494.78"/>
          </filters>
        </filterColumn>
      </autoFilter>
    </customSheetView>
    <customSheetView guid="{07518316-F8A7-4EB0-947D-572D32265DD6}" filter="1" showAutoFilter="1">
      <pageMargins left="0" right="0" top="0" bottom="0" header="0" footer="0"/>
      <autoFilter ref="K2:K1093" xr:uid="{FAD36990-F2AF-4F55-81FB-F9FDECBC7C4B}"/>
    </customSheetView>
  </customSheetViews>
  <conditionalFormatting sqref="I2:I142">
    <cfRule type="cellIs" dxfId="5" priority="1" operator="equal">
      <formula>"Conquest"</formula>
    </cfRule>
    <cfRule type="cellIs" dxfId="4" priority="2" operator="equal">
      <formula>"Voga"</formula>
    </cfRule>
  </conditionalFormatting>
  <dataValidations count="9">
    <dataValidation type="list" allowBlank="1" showErrorMessage="1" sqref="W131:X142 S2:U142 W2:X122" xr:uid="{7E05ADEF-906B-4B8C-BFD3-D5BEDE6EC5B1}">
      <formula1>"SIM,NÃO"</formula1>
    </dataValidation>
    <dataValidation type="list" allowBlank="1" showErrorMessage="1" sqref="E100 E103:E106 E108:E142 E2:E98" xr:uid="{00000000-0002-0000-0100-00000A000000}">
      <formula1>"PF,PJ"</formula1>
    </dataValidation>
    <dataValidation type="list" allowBlank="1" showErrorMessage="1" sqref="M121:M142 M119 M2:M98" xr:uid="{B571CED6-4C8C-4309-B97D-882D358D5390}">
      <formula1>"CONSERVADORA,MODERADA,ARROJADA, PERFIL PRÓPRIO"</formula1>
    </dataValidation>
    <dataValidation type="list" allowBlank="1" showErrorMessage="1" sqref="N122:N142 N2:N98" xr:uid="{6A49A2B5-7939-42F5-ABCE-62A75731815C}">
      <formula1>"CONSERVADOR,MODERADO,ARROJADO"</formula1>
    </dataValidation>
    <dataValidation type="list" allowBlank="1" showErrorMessage="1" sqref="Y131:Y142 Y2:Y122" xr:uid="{2877BC9A-30DB-4CD2-9FDA-EFB0FCF12AAD}">
      <formula1>"Não,Brasil,Offshore,Brasil e Offshore"</formula1>
    </dataValidation>
    <dataValidation type="list" allowBlank="1" showInputMessage="1" showErrorMessage="1" sqref="L122:L141 L86:L98 L2:L4 L6:L84" xr:uid="{A19A61EA-106D-4FEE-989B-053C7A038953}">
      <formula1>"Curva,Mercardo"</formula1>
    </dataValidation>
    <dataValidation type="list" allowBlank="1" showInputMessage="1" showErrorMessage="1" sqref="L85 L5 L142" xr:uid="{35446362-A3E4-483E-B03B-40757E1BC650}">
      <formula1>"CURVA,MERCADO"</formula1>
    </dataValidation>
    <dataValidation type="list" allowBlank="1" showErrorMessage="1" sqref="F2:F142" xr:uid="{C992A5C2-835D-4B1F-9EE0-9169D654933C}">
      <formula1>"MFO, Tesouraria, Wealth"</formula1>
    </dataValidation>
    <dataValidation type="list" allowBlank="1" showErrorMessage="1" sqref="I1:I1048576" xr:uid="{17B82492-A508-4AFE-A53A-1210F305F268}">
      <formula1>"NR,AC,AL,AP,AM,BA,CE,DF,ES,GO,MA,MT,MS,MG,PA,PB,PR,PE,PI,RJ,RN,RS,RO,RR,SC,SP,SE,TO"</formula1>
    </dataValidation>
  </dataValidations>
  <hyperlinks>
    <hyperlink ref="Z4" r:id="rId1" xr:uid="{B9FCAF39-7CD7-45D7-96BF-16A23A94DEB1}"/>
    <hyperlink ref="Z12" r:id="rId2" xr:uid="{CD7A95CA-E293-4E4C-846E-88481A882DC2}"/>
    <hyperlink ref="Z18" r:id="rId3" xr:uid="{29F3CA6B-7201-4135-A066-FACBACE58660}"/>
    <hyperlink ref="Z19" r:id="rId4" xr:uid="{AD0E2F89-B4C1-4C10-B3A6-EE720DC5BA2C}"/>
    <hyperlink ref="Z33" r:id="rId5" xr:uid="{E3A8BBA2-EB5C-411F-9449-AAA2F876F790}"/>
    <hyperlink ref="Z48" r:id="rId6" xr:uid="{220F73A3-4733-4AFF-9D5E-48A66C5E09BC}"/>
    <hyperlink ref="Z59" r:id="rId7" xr:uid="{65EB4768-3813-40A6-A00F-30B0CEF24DBE}"/>
    <hyperlink ref="Z61" r:id="rId8" xr:uid="{5518C222-3B1E-4BC9-9F26-DEE4B16DAD04}"/>
    <hyperlink ref="Z68" r:id="rId9" xr:uid="{D475446E-797E-4234-AF53-587211C90A7C}"/>
    <hyperlink ref="Z73" r:id="rId10" xr:uid="{5E440C11-46B7-4F8F-8CDD-E0790F4AD968}"/>
    <hyperlink ref="Z76" r:id="rId11" xr:uid="{F9C807A6-C7D5-47A9-84A6-8BC3103AAEB8}"/>
    <hyperlink ref="Z83" r:id="rId12" xr:uid="{2BBD4653-F5FB-4FE3-B779-50F692FCC8D3}"/>
    <hyperlink ref="Z29" r:id="rId13" xr:uid="{F5C882DB-3D8E-44E2-9CA2-2D12C1F4765C}"/>
    <hyperlink ref="Z87" r:id="rId14" xr:uid="{B3CAFE97-8F41-4B8A-80A6-AFC63859A031}"/>
    <hyperlink ref="Z89" r:id="rId15" xr:uid="{674A5C3A-4AC4-4EEB-A61A-6AADD52EFAD8}"/>
    <hyperlink ref="Z99" r:id="rId16" xr:uid="{BA2E8243-9685-449C-83FD-64121254232D}"/>
    <hyperlink ref="Z100" r:id="rId17" xr:uid="{0FA1CE01-079D-4C04-B9AC-C173FF36DB2F}"/>
    <hyperlink ref="Z117" r:id="rId18" xr:uid="{AA4E8949-227D-4585-BFB2-D6E5F448CB8E}"/>
    <hyperlink ref="Z123" r:id="rId19" xr:uid="{AEBAA265-5E91-4833-B267-47E5D77328F9}"/>
    <hyperlink ref="Z128" r:id="rId20" xr:uid="{6D866FF9-FBF0-4B60-8E53-F76874AFB6E5}"/>
    <hyperlink ref="Z110" r:id="rId21" xr:uid="{011248D5-BD06-47C8-B414-C449F1B2FB08}"/>
    <hyperlink ref="Z2" r:id="rId22" xr:uid="{52B7187C-2BA1-433C-BA02-FC44BF23C0AD}"/>
    <hyperlink ref="Z3" r:id="rId23" xr:uid="{9C01F2AB-1E4F-49D3-AAB9-AEAEFA87345A}"/>
    <hyperlink ref="Z9" r:id="rId24" xr:uid="{DF5A181B-F9E2-4D47-B8E6-3F985126272B}"/>
    <hyperlink ref="Z11" r:id="rId25" xr:uid="{1B7E6100-FA29-406B-9954-6C1798BD3890}"/>
    <hyperlink ref="Z16" r:id="rId26" xr:uid="{AF118693-2F89-4007-91FB-1313D45F3001}"/>
    <hyperlink ref="Z15" r:id="rId27" xr:uid="{6E1316FB-5E73-4E5F-A23B-33A6673C66DC}"/>
    <hyperlink ref="Z21" r:id="rId28" xr:uid="{AA214061-66D0-4380-9596-B2A2B56BF7D3}"/>
    <hyperlink ref="Z22" r:id="rId29" xr:uid="{185DBA1F-1986-4B28-BAE7-A1D9F58D0F8F}"/>
    <hyperlink ref="Z23" r:id="rId30" xr:uid="{86F794B8-4FE0-4D84-9291-D5837BF03B2E}"/>
    <hyperlink ref="Z27" r:id="rId31" xr:uid="{3F163013-026B-4679-9B47-F063F854EA8F}"/>
    <hyperlink ref="Z36" r:id="rId32" xr:uid="{9007D61A-FDDF-4336-98CE-95287DA763BA}"/>
    <hyperlink ref="Z32" r:id="rId33" xr:uid="{668D05BC-8766-4646-9264-98FCB5975985}"/>
    <hyperlink ref="Z34" r:id="rId34" xr:uid="{B09C5003-5122-4FCF-BDB3-E8886FAD41BB}"/>
    <hyperlink ref="Z40" r:id="rId35" xr:uid="{6DCB2B4F-E504-4C92-8895-41FFE0A3EC30}"/>
    <hyperlink ref="Z41" r:id="rId36" xr:uid="{0DB02CB1-44FF-4F62-BD53-C4B4C2643273}"/>
    <hyperlink ref="Z42" r:id="rId37" xr:uid="{B2288200-C85F-432E-B7E4-CC7DB1C7FD2B}"/>
    <hyperlink ref="Z43" r:id="rId38" xr:uid="{A3F32AC8-F8E4-40E0-9508-2B99673A053A}"/>
    <hyperlink ref="Z44" r:id="rId39" xr:uid="{98AB2018-000D-48DC-80A0-6249F9194149}"/>
    <hyperlink ref="Z37" r:id="rId40" xr:uid="{A13E1602-B269-4242-B8C7-07DD55005758}"/>
    <hyperlink ref="Z47" r:id="rId41" xr:uid="{8F29D2DF-E1A7-4AAB-93CF-C7EC63D1E85D}"/>
    <hyperlink ref="Z49" r:id="rId42" xr:uid="{D0BF54BC-FD41-4A5D-823E-114E814C3A6A}"/>
    <hyperlink ref="Z51" r:id="rId43" xr:uid="{DDB123A3-1F4F-4A03-9E89-8EF27840EB2C}"/>
    <hyperlink ref="Z52" r:id="rId44" xr:uid="{A7A46462-BA34-41B3-8D5C-C47025E0037A}"/>
    <hyperlink ref="Z53" r:id="rId45" xr:uid="{75195E44-B22F-47EE-8E1C-E29BBA1809B1}"/>
    <hyperlink ref="Z55" r:id="rId46" xr:uid="{468FB05A-12FF-4744-A448-1E125C9714CB}"/>
    <hyperlink ref="Z58" r:id="rId47" xr:uid="{2F99DCB8-BC67-49E9-90F1-C6B9F135E30C}"/>
    <hyperlink ref="Z38" r:id="rId48" xr:uid="{CC5DAD9D-FDB0-408B-BA5D-78C147491563}"/>
    <hyperlink ref="Z60" r:id="rId49" xr:uid="{B2D1551F-C743-4903-824E-B3278EECFB54}"/>
    <hyperlink ref="Z63" r:id="rId50" xr:uid="{5E7B1EB4-99B0-4BF1-96A7-F16C6AB4C6CB}"/>
    <hyperlink ref="Z64" r:id="rId51" xr:uid="{5EFD1FF6-FBF6-4348-AD9A-B88143F57D01}"/>
    <hyperlink ref="Z67" r:id="rId52" xr:uid="{9C6CF4F1-EF52-4822-8CD6-A94304A63449}"/>
    <hyperlink ref="Z71" r:id="rId53" xr:uid="{EDD8B315-92BE-48F9-B8D1-9B7DAEB6D40D}"/>
    <hyperlink ref="Z72" r:id="rId54" xr:uid="{AC648006-F4E5-4AD7-A594-EB0A1BE88194}"/>
    <hyperlink ref="Z74" r:id="rId55" xr:uid="{C4A92BD6-7F1C-4B07-814B-369C909C31AE}"/>
    <hyperlink ref="Z77" r:id="rId56" xr:uid="{C4E858D5-5C09-446E-923C-F80444EE6E3D}"/>
    <hyperlink ref="Z81" r:id="rId57" xr:uid="{51933888-D6BE-4D9D-85B3-357D891F3038}"/>
    <hyperlink ref="Z84" r:id="rId58" xr:uid="{1E711D40-8462-4AF0-94ED-587CD29A1B18}"/>
    <hyperlink ref="Z86" r:id="rId59" xr:uid="{ECBDF0A9-CCFC-418A-9250-85F68FDD54D4}"/>
    <hyperlink ref="Z91" r:id="rId60" xr:uid="{7A15663A-B735-4B27-8089-856F87D9C02D}"/>
    <hyperlink ref="Z94" r:id="rId61" xr:uid="{24FEC216-C531-432B-B932-8C3548D24036}"/>
    <hyperlink ref="Z102" r:id="rId62" xr:uid="{6D6A86A6-CC36-473E-99D4-D3B04F2B6C75}"/>
    <hyperlink ref="Z105" r:id="rId63" xr:uid="{BB07DAFE-F909-41F2-BBD3-452817D98B2B}"/>
    <hyperlink ref="Z109" r:id="rId64" xr:uid="{6B48430E-36FF-4173-9DE5-51764C699D96}"/>
    <hyperlink ref="Z111" r:id="rId65" xr:uid="{E26DC42E-CC57-46BE-8218-B3226EAA7D89}"/>
    <hyperlink ref="Z113" r:id="rId66" xr:uid="{5D84820E-78C7-411E-8702-1C26733B8271}"/>
    <hyperlink ref="Z115" r:id="rId67" xr:uid="{86175E58-0C44-4673-B504-06803F36EC19}"/>
    <hyperlink ref="Z119" r:id="rId68" xr:uid="{D00B4B46-EEB1-4907-A415-BE0ADEB385A1}"/>
    <hyperlink ref="Z120" r:id="rId69" xr:uid="{CA773925-C46D-4A9A-AFD0-32380F5D5371}"/>
    <hyperlink ref="Z126" r:id="rId70" xr:uid="{8A816843-2D12-47C4-9C5D-3EF95B127923}"/>
    <hyperlink ref="Z127" r:id="rId71" xr:uid="{4A61113A-F5D4-40D2-85E2-AD97B05FAABC}"/>
    <hyperlink ref="Z129" r:id="rId72" xr:uid="{9FAC421C-A7D3-4AC2-951C-650C702D46C0}"/>
    <hyperlink ref="Z133" r:id="rId73" xr:uid="{5E0802E2-F742-4109-9F69-A438623D71E3}"/>
    <hyperlink ref="Z135" r:id="rId74" xr:uid="{82BB5485-44E4-4155-865B-1F6CB6250CF1}"/>
    <hyperlink ref="Z136" r:id="rId75" xr:uid="{2727DFDB-C306-4E63-812B-06CC7E9E0EA5}"/>
    <hyperlink ref="Z138" r:id="rId76" xr:uid="{3AC87399-D892-4FB4-A7B9-F4B2C6A8B169}"/>
    <hyperlink ref="Z140" r:id="rId77" xr:uid="{2B8E3B0D-A451-4019-AF8A-91EC7F2BE7F7}"/>
    <hyperlink ref="Z142" r:id="rId78" xr:uid="{7746D76D-976E-474E-9761-506B525183B9}"/>
    <hyperlink ref="Z116" r:id="rId79" xr:uid="{C88F75B2-5A80-454F-B1BC-3D6E6BC8A59A}"/>
    <hyperlink ref="Z45" r:id="rId80" xr:uid="{B28D8030-DB92-4FEC-ACE3-0D569194ED62}"/>
    <hyperlink ref="Z13" r:id="rId81" xr:uid="{D28DB264-C09D-43F7-97E7-B22BEB30BDAF}"/>
    <hyperlink ref="Z131" r:id="rId82" xr:uid="{46A9A50F-74E7-41B2-8A6A-DE591DC46160}"/>
    <hyperlink ref="Z139" r:id="rId83" xr:uid="{08B706F0-A743-4D1C-AFB6-38A33C7B9C0F}"/>
    <hyperlink ref="Z137" r:id="rId84" xr:uid="{10B1E0D7-F509-48B8-BB98-88B11A744DB6}"/>
    <hyperlink ref="Z141" r:id="rId85" xr:uid="{2AB43130-9AC0-43BB-B311-7C63D9EB14ED}"/>
    <hyperlink ref="Z122" r:id="rId86" xr:uid="{B3605A86-1104-4CCB-A9E4-09DC11D52A61}"/>
    <hyperlink ref="Z26" r:id="rId87" xr:uid="{8DD7099F-C234-4C28-BD46-01AE2109277A}"/>
    <hyperlink ref="Z97" r:id="rId88" xr:uid="{CE5DAF6B-3CC1-4AD7-88C1-C972BB3CDF02}"/>
    <hyperlink ref="Z98" r:id="rId89" xr:uid="{B5748506-20A2-49A5-BDEF-AB626264F12A}"/>
    <hyperlink ref="Z7" r:id="rId90" xr:uid="{D05672D7-330E-40BF-8FD7-7C635296F49A}"/>
    <hyperlink ref="Z96" r:id="rId91" xr:uid="{800E355B-EB0D-4B35-875A-8DAC537E7B78}"/>
    <hyperlink ref="Z6" r:id="rId92" xr:uid="{EA8973E9-676D-42DA-A727-7F13197CD0BE}"/>
    <hyperlink ref="Z57" r:id="rId93" xr:uid="{0681882E-826E-49C0-B47A-4C39245485BB}"/>
    <hyperlink ref="Z10" r:id="rId94" xr:uid="{FD70D669-25CC-49CB-ADCD-5C592C592D3B}"/>
    <hyperlink ref="Z14" r:id="rId95" xr:uid="{A814B8DC-20B0-4B1D-B529-D09F86091C2C}"/>
    <hyperlink ref="Z17" r:id="rId96" xr:uid="{6673F47F-A9C5-4175-815B-88EECACEDA81}"/>
    <hyperlink ref="Z20" r:id="rId97" xr:uid="{1A2430AD-C1EE-4BC6-808D-F4D387FA10FC}"/>
    <hyperlink ref="Z25" r:id="rId98" xr:uid="{D820DC4E-AC7E-42E3-B10E-C79BADB99A97}"/>
    <hyperlink ref="Z31" r:id="rId99" xr:uid="{87BC4821-E34C-4B0A-8811-52D88E698731}"/>
    <hyperlink ref="Z30" r:id="rId100" xr:uid="{922A8E04-AF0C-4A4F-A722-3FA2BE5FEC23}"/>
    <hyperlink ref="Z35" r:id="rId101" xr:uid="{463526C9-D104-4B5F-BC1A-4F04B53DA05A}"/>
    <hyperlink ref="Z39" r:id="rId102" xr:uid="{8E02C545-EDAB-472E-BE93-0D1E50ECB77D}"/>
    <hyperlink ref="Z50" r:id="rId103" xr:uid="{F38F287A-F3C1-4B6A-B196-1EE1C8C3148B}"/>
    <hyperlink ref="Z62" r:id="rId104" xr:uid="{12E20717-ACD1-4EA3-B72D-F9C1FD58587B}"/>
    <hyperlink ref="Z65" r:id="rId105" xr:uid="{34554B54-1BE1-49F8-8B09-A8CA31E30EE1}"/>
    <hyperlink ref="Z66" r:id="rId106" xr:uid="{2A6AD629-E32F-41BD-9400-9AACC989DEF4}"/>
    <hyperlink ref="Z69" r:id="rId107" xr:uid="{DB60EE20-FA65-43E4-AFAA-969693F7F072}"/>
    <hyperlink ref="Z79" r:id="rId108" xr:uid="{B37AFA97-FA55-4E7B-B9A6-E99BCB2EAE38}"/>
    <hyperlink ref="Z78" r:id="rId109" xr:uid="{1655545F-EF8E-4B5B-A714-AB58FAD1F9CD}"/>
    <hyperlink ref="Z80" r:id="rId110" xr:uid="{F83F2F6D-7A15-44C4-9FAC-EE4A25D1869B}"/>
    <hyperlink ref="Z93" r:id="rId111" xr:uid="{F281B5ED-3BC2-4C01-B5FE-DDF13A2B73F9}"/>
    <hyperlink ref="Z92" r:id="rId112" xr:uid="{8E59DA51-C4B7-4D80-BBFC-491BC83F9981}"/>
    <hyperlink ref="Z101" r:id="rId113" xr:uid="{8E8162F5-3AB4-4ADE-AE85-53EA96601B59}"/>
    <hyperlink ref="Z104" r:id="rId114" xr:uid="{D369854B-4659-4F61-BF7C-A7C5098C82DC}"/>
    <hyperlink ref="Z106" r:id="rId115" xr:uid="{B36D1F15-8381-45D3-AF30-5FE762924397}"/>
    <hyperlink ref="Z108" r:id="rId116" xr:uid="{AEE6029D-B559-4EFE-9030-1B8072FDADCD}"/>
    <hyperlink ref="Z107" r:id="rId117" xr:uid="{036B22DA-F1AB-4F0A-B4ED-0A16E167E93D}"/>
    <hyperlink ref="Z112" r:id="rId118" xr:uid="{A2D79FF1-C152-4503-AC01-C76FC2F59277}"/>
    <hyperlink ref="Z114" r:id="rId119" xr:uid="{CF4E313D-AAFA-4FEB-AEF9-1A4EB5370BD1}"/>
    <hyperlink ref="Z118" r:id="rId120" xr:uid="{BCFD66D6-8196-4524-A479-703F64B2DDBE}"/>
    <hyperlink ref="Z121" r:id="rId121" xr:uid="{02E1F5AF-45F3-4197-8EBC-A3D916AD7D6A}"/>
    <hyperlink ref="Z125" r:id="rId122" xr:uid="{CE0E5089-6287-41B5-9C60-92FED0B69B59}"/>
    <hyperlink ref="Z132" r:id="rId123" xr:uid="{1271AC94-5E2F-4C16-AB5B-30E32910A028}"/>
    <hyperlink ref="Z130" r:id="rId124" xr:uid="{2A34B6B9-967B-4C5C-B856-B392A1A58279}"/>
    <hyperlink ref="Z95" r:id="rId125" xr:uid="{E6C8D973-E09A-4504-B6CE-C85576A801B1}"/>
    <hyperlink ref="Z56" r:id="rId126" xr:uid="{2A602D8D-4A1A-42F7-852F-5D58FC01B46D}"/>
    <hyperlink ref="Z75" r:id="rId127" xr:uid="{D9DA279C-A852-4352-B360-B590C87D0CA9}"/>
    <hyperlink ref="Z124" r:id="rId128" xr:uid="{68B0E4E7-C089-493A-B4C8-14D3B2506F79}"/>
    <hyperlink ref="Z70" r:id="rId129" xr:uid="{344448D5-7B48-40B8-8D09-2C96162191E4}"/>
    <hyperlink ref="Z46" r:id="rId130" xr:uid="{BFFCC851-0127-427D-AE1D-19F6081D9691}"/>
    <hyperlink ref="Z24" r:id="rId131" xr:uid="{53B48D50-4278-447D-A34B-756006280464}"/>
    <hyperlink ref="Z90" r:id="rId132" xr:uid="{27B7D91B-AED8-4131-98A4-532ADC9B2C09}"/>
    <hyperlink ref="Z5" r:id="rId133" xr:uid="{C191F96D-C351-469E-AB64-6124907B6D2D}"/>
    <hyperlink ref="Z28" r:id="rId134" xr:uid="{7F43D24B-9F16-41DC-840B-7FB322A09E3A}"/>
    <hyperlink ref="Z8" r:id="rId135" xr:uid="{2AEF5F81-3FDB-4B9E-81EC-0E0BECB3F21E}"/>
  </hyperlinks>
  <printOptions horizontalCentered="1" gridLines="1"/>
  <pageMargins left="0.7" right="0.7" top="0.75" bottom="0.75" header="0" footer="0"/>
  <pageSetup paperSize="9" fitToHeight="0" pageOrder="overThenDown" orientation="portrait" cellComments="atEnd"/>
  <drawing r:id="rId136"/>
  <legacyDrawing r:id="rId13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AAF3A-B2F6-4871-B617-C30CC53EC42D}">
  <dimension ref="A1:E68"/>
  <sheetViews>
    <sheetView workbookViewId="0">
      <selection activeCell="C42" sqref="C42"/>
    </sheetView>
  </sheetViews>
  <sheetFormatPr defaultRowHeight="12.75"/>
  <cols>
    <col min="1" max="1" width="51.28515625" customWidth="1"/>
    <col min="3" max="3" width="17.28515625" customWidth="1"/>
    <col min="4" max="4" width="22.28515625" customWidth="1"/>
    <col min="5" max="5" width="10.5703125" customWidth="1"/>
  </cols>
  <sheetData>
    <row r="1" spans="1:4">
      <c r="A1" t="s">
        <v>545</v>
      </c>
      <c r="B1" t="s">
        <v>546</v>
      </c>
      <c r="C1" t="s">
        <v>547</v>
      </c>
      <c r="D1" t="s">
        <v>548</v>
      </c>
    </row>
    <row r="2" spans="1:4">
      <c r="A2" s="5" t="s">
        <v>549</v>
      </c>
      <c r="B2" s="6" t="s">
        <v>550</v>
      </c>
      <c r="C2" t="s">
        <v>551</v>
      </c>
      <c r="D2" s="124"/>
    </row>
    <row r="3" spans="1:4">
      <c r="A3" s="5" t="s">
        <v>552</v>
      </c>
      <c r="B3" s="6" t="s">
        <v>553</v>
      </c>
      <c r="C3" t="s">
        <v>551</v>
      </c>
      <c r="D3" s="124"/>
    </row>
    <row r="4" spans="1:4">
      <c r="A4" s="5" t="s">
        <v>554</v>
      </c>
      <c r="B4" s="6" t="s">
        <v>555</v>
      </c>
      <c r="C4" t="s">
        <v>551</v>
      </c>
      <c r="D4" s="124"/>
    </row>
    <row r="5" spans="1:4">
      <c r="A5" s="5" t="s">
        <v>556</v>
      </c>
      <c r="B5" s="6" t="s">
        <v>557</v>
      </c>
      <c r="C5" s="125">
        <v>560000</v>
      </c>
      <c r="D5" s="124">
        <v>46568</v>
      </c>
    </row>
    <row r="6" spans="1:4">
      <c r="A6" s="5" t="s">
        <v>558</v>
      </c>
      <c r="B6" s="6" t="s">
        <v>145</v>
      </c>
      <c r="C6" s="125">
        <v>18648990.620000001</v>
      </c>
      <c r="D6" s="124">
        <v>46568</v>
      </c>
    </row>
    <row r="7" spans="1:4">
      <c r="A7" s="5" t="s">
        <v>559</v>
      </c>
      <c r="B7" s="6" t="s">
        <v>142</v>
      </c>
      <c r="C7" s="125">
        <v>18648990.620000001</v>
      </c>
      <c r="D7" s="124">
        <v>46568</v>
      </c>
    </row>
    <row r="8" spans="1:4">
      <c r="A8" s="5" t="s">
        <v>560</v>
      </c>
      <c r="B8" s="6" t="s">
        <v>561</v>
      </c>
      <c r="C8" t="s">
        <v>551</v>
      </c>
      <c r="D8" s="124"/>
    </row>
    <row r="9" spans="1:4">
      <c r="A9" s="5" t="s">
        <v>562</v>
      </c>
      <c r="B9" s="6" t="s">
        <v>563</v>
      </c>
      <c r="C9" t="s">
        <v>551</v>
      </c>
      <c r="D9" s="124"/>
    </row>
    <row r="10" spans="1:4">
      <c r="A10" s="5" t="s">
        <v>564</v>
      </c>
      <c r="B10" s="6" t="s">
        <v>565</v>
      </c>
      <c r="C10" t="s">
        <v>551</v>
      </c>
      <c r="D10" s="124"/>
    </row>
    <row r="11" spans="1:4">
      <c r="A11" s="5" t="s">
        <v>566</v>
      </c>
      <c r="B11" s="6" t="s">
        <v>567</v>
      </c>
      <c r="C11" s="125">
        <v>6515622.1699999999</v>
      </c>
      <c r="D11" s="124">
        <v>46568</v>
      </c>
    </row>
    <row r="12" spans="1:4">
      <c r="A12" s="5" t="s">
        <v>566</v>
      </c>
      <c r="B12" s="6" t="s">
        <v>568</v>
      </c>
      <c r="C12" s="125">
        <v>6515622.1699999999</v>
      </c>
      <c r="D12" s="124">
        <v>46568</v>
      </c>
    </row>
    <row r="13" spans="1:4">
      <c r="A13" s="5" t="s">
        <v>569</v>
      </c>
      <c r="B13" s="6">
        <v>500819</v>
      </c>
      <c r="C13" s="125">
        <v>980000</v>
      </c>
      <c r="D13" s="124">
        <v>46568</v>
      </c>
    </row>
    <row r="14" spans="1:4">
      <c r="A14" s="5" t="s">
        <v>570</v>
      </c>
      <c r="B14" s="6" t="s">
        <v>571</v>
      </c>
      <c r="C14" t="s">
        <v>551</v>
      </c>
      <c r="D14" s="124"/>
    </row>
    <row r="15" spans="1:4">
      <c r="A15" s="5" t="s">
        <v>572</v>
      </c>
      <c r="B15" s="6" t="s">
        <v>237</v>
      </c>
      <c r="C15" s="125">
        <v>1368089.17</v>
      </c>
      <c r="D15" s="124">
        <v>46568</v>
      </c>
    </row>
    <row r="16" spans="1:4">
      <c r="A16" s="5" t="s">
        <v>573</v>
      </c>
      <c r="B16" s="6" t="s">
        <v>574</v>
      </c>
      <c r="C16" t="s">
        <v>551</v>
      </c>
      <c r="D16" s="124"/>
    </row>
    <row r="17" spans="1:4">
      <c r="A17" s="5" t="s">
        <v>575</v>
      </c>
      <c r="B17" s="6">
        <v>6860829</v>
      </c>
      <c r="C17" t="s">
        <v>551</v>
      </c>
      <c r="D17" s="124"/>
    </row>
    <row r="18" spans="1:4">
      <c r="A18" s="5" t="s">
        <v>576</v>
      </c>
      <c r="B18" s="6">
        <v>3004033</v>
      </c>
      <c r="C18" t="s">
        <v>551</v>
      </c>
      <c r="D18" s="124"/>
    </row>
    <row r="19" spans="1:4">
      <c r="A19" s="5" t="s">
        <v>577</v>
      </c>
      <c r="B19" s="6">
        <v>9317618</v>
      </c>
      <c r="C19" t="s">
        <v>551</v>
      </c>
      <c r="D19" s="124"/>
    </row>
    <row r="20" spans="1:4">
      <c r="A20" s="5" t="s">
        <v>578</v>
      </c>
      <c r="B20" s="6">
        <v>15706583</v>
      </c>
      <c r="C20" s="125">
        <v>3161261.49</v>
      </c>
      <c r="D20" s="124">
        <v>46568</v>
      </c>
    </row>
    <row r="21" spans="1:4">
      <c r="A21" s="5" t="s">
        <v>578</v>
      </c>
      <c r="B21" s="6">
        <v>7777265</v>
      </c>
      <c r="C21" s="125">
        <v>3161261.49</v>
      </c>
      <c r="D21" s="124">
        <v>46568</v>
      </c>
    </row>
    <row r="22" spans="1:4">
      <c r="A22" s="5" t="s">
        <v>579</v>
      </c>
      <c r="B22" s="6" t="s">
        <v>580</v>
      </c>
      <c r="C22" s="125">
        <v>1202126.02</v>
      </c>
      <c r="D22" s="124">
        <v>46568</v>
      </c>
    </row>
    <row r="23" spans="1:4">
      <c r="A23" s="5" t="s">
        <v>581</v>
      </c>
      <c r="B23" s="6">
        <v>7983962</v>
      </c>
      <c r="C23" t="s">
        <v>551</v>
      </c>
      <c r="D23" s="124"/>
    </row>
    <row r="24" spans="1:4">
      <c r="A24" s="5" t="s">
        <v>582</v>
      </c>
      <c r="B24" s="6">
        <v>3686769</v>
      </c>
      <c r="C24" t="s">
        <v>551</v>
      </c>
      <c r="D24" s="124"/>
    </row>
    <row r="25" spans="1:4">
      <c r="A25" s="5" t="s">
        <v>274</v>
      </c>
      <c r="B25" s="6">
        <v>339991</v>
      </c>
      <c r="C25" s="125">
        <v>1489971.5</v>
      </c>
      <c r="D25" s="124">
        <v>46568</v>
      </c>
    </row>
    <row r="26" spans="1:4">
      <c r="A26" s="5" t="s">
        <v>583</v>
      </c>
      <c r="B26" s="6" t="s">
        <v>584</v>
      </c>
      <c r="C26" t="s">
        <v>551</v>
      </c>
      <c r="D26" s="124"/>
    </row>
    <row r="27" spans="1:4">
      <c r="A27" s="5" t="s">
        <v>585</v>
      </c>
      <c r="B27" s="6">
        <v>6696173</v>
      </c>
      <c r="C27" t="s">
        <v>551</v>
      </c>
      <c r="D27" s="124"/>
    </row>
    <row r="28" spans="1:4">
      <c r="A28" s="5" t="s">
        <v>586</v>
      </c>
      <c r="B28" s="6" t="s">
        <v>230</v>
      </c>
      <c r="C28" s="125">
        <v>2920440.07</v>
      </c>
      <c r="D28" s="124">
        <v>46568</v>
      </c>
    </row>
    <row r="29" spans="1:4">
      <c r="A29" s="5" t="s">
        <v>586</v>
      </c>
      <c r="B29" s="6">
        <v>17624003</v>
      </c>
      <c r="C29" s="125">
        <v>2920440.07</v>
      </c>
      <c r="D29" s="124">
        <v>46568</v>
      </c>
    </row>
    <row r="30" spans="1:4">
      <c r="A30" s="5" t="s">
        <v>587</v>
      </c>
      <c r="B30" s="6">
        <v>2497441</v>
      </c>
      <c r="C30" s="125">
        <v>980000</v>
      </c>
      <c r="D30" s="124">
        <v>46568</v>
      </c>
    </row>
    <row r="31" spans="1:4">
      <c r="A31" s="5" t="s">
        <v>588</v>
      </c>
      <c r="B31" s="6">
        <v>3133112</v>
      </c>
      <c r="C31" t="s">
        <v>551</v>
      </c>
      <c r="D31" s="124"/>
    </row>
    <row r="32" spans="1:4">
      <c r="A32" s="5" t="s">
        <v>589</v>
      </c>
      <c r="B32" s="6">
        <v>7758450</v>
      </c>
      <c r="C32" s="125">
        <v>0</v>
      </c>
      <c r="D32" s="124">
        <v>46568</v>
      </c>
    </row>
    <row r="33" spans="1:4">
      <c r="A33" s="5" t="s">
        <v>590</v>
      </c>
      <c r="B33" s="6">
        <v>3371553</v>
      </c>
      <c r="C33" s="125">
        <v>5419371.9400000004</v>
      </c>
      <c r="D33" s="124">
        <v>46568</v>
      </c>
    </row>
    <row r="34" spans="1:4">
      <c r="A34" s="5" t="s">
        <v>590</v>
      </c>
      <c r="B34" s="6">
        <v>4619413</v>
      </c>
      <c r="C34" s="125">
        <v>5419371.9400000004</v>
      </c>
      <c r="D34" s="124">
        <v>46568</v>
      </c>
    </row>
    <row r="35" spans="1:4">
      <c r="A35" s="5" t="s">
        <v>591</v>
      </c>
      <c r="B35" s="6">
        <v>10800085</v>
      </c>
      <c r="C35" t="s">
        <v>551</v>
      </c>
      <c r="D35" s="124"/>
    </row>
    <row r="36" spans="1:4">
      <c r="A36" s="5" t="s">
        <v>592</v>
      </c>
      <c r="B36" s="6">
        <v>3101560</v>
      </c>
      <c r="C36" s="125">
        <v>560000</v>
      </c>
      <c r="D36" s="124">
        <v>46568</v>
      </c>
    </row>
    <row r="37" spans="1:4">
      <c r="A37" s="5" t="s">
        <v>593</v>
      </c>
      <c r="B37" s="6" t="s">
        <v>594</v>
      </c>
      <c r="C37" s="125">
        <v>3456241.8</v>
      </c>
      <c r="D37" s="124">
        <v>46568</v>
      </c>
    </row>
    <row r="38" spans="1:4">
      <c r="A38" s="5" t="s">
        <v>595</v>
      </c>
      <c r="B38" s="6">
        <v>2068296</v>
      </c>
      <c r="C38" s="125">
        <v>1742252.29</v>
      </c>
      <c r="D38" s="124">
        <v>46568</v>
      </c>
    </row>
    <row r="39" spans="1:4">
      <c r="A39" s="5" t="s">
        <v>596</v>
      </c>
      <c r="B39" s="6">
        <v>4771941</v>
      </c>
      <c r="C39" t="s">
        <v>551</v>
      </c>
      <c r="D39" s="124"/>
    </row>
    <row r="40" spans="1:4">
      <c r="A40" s="5" t="s">
        <v>597</v>
      </c>
      <c r="B40" s="6">
        <v>19515384</v>
      </c>
      <c r="C40" s="125">
        <v>56000</v>
      </c>
      <c r="D40" s="124">
        <v>46568</v>
      </c>
    </row>
    <row r="41" spans="1:4">
      <c r="A41" s="5" t="s">
        <v>598</v>
      </c>
      <c r="B41" s="6">
        <v>3208501</v>
      </c>
      <c r="C41" s="125">
        <v>1422397.85</v>
      </c>
      <c r="D41" s="124">
        <v>46568</v>
      </c>
    </row>
    <row r="42" spans="1:4">
      <c r="A42" s="5" t="s">
        <v>599</v>
      </c>
      <c r="B42" s="6">
        <v>3997766</v>
      </c>
      <c r="C42" s="125">
        <v>560000</v>
      </c>
      <c r="D42" s="124">
        <v>46568</v>
      </c>
    </row>
    <row r="43" spans="1:4">
      <c r="A43" s="5" t="s">
        <v>600</v>
      </c>
      <c r="B43" s="6">
        <v>18850870</v>
      </c>
      <c r="C43" s="125">
        <v>2106542.56</v>
      </c>
      <c r="D43" s="124">
        <v>46568</v>
      </c>
    </row>
    <row r="44" spans="1:4">
      <c r="A44" s="5" t="s">
        <v>601</v>
      </c>
      <c r="B44" s="6">
        <v>292615</v>
      </c>
      <c r="C44" s="125">
        <v>2565551.3199999998</v>
      </c>
      <c r="D44" s="124">
        <v>46568</v>
      </c>
    </row>
    <row r="45" spans="1:4">
      <c r="A45" s="5" t="s">
        <v>601</v>
      </c>
      <c r="B45" s="118">
        <v>18818976</v>
      </c>
      <c r="C45" s="125">
        <v>2565551.3199999998</v>
      </c>
      <c r="D45" s="124">
        <v>46568</v>
      </c>
    </row>
    <row r="46" spans="1:4">
      <c r="A46" s="5" t="s">
        <v>602</v>
      </c>
      <c r="B46" s="6">
        <v>11210659</v>
      </c>
      <c r="C46" s="125">
        <v>1307521.83</v>
      </c>
      <c r="D46" s="124">
        <v>46568</v>
      </c>
    </row>
    <row r="47" spans="1:4">
      <c r="A47" s="5" t="s">
        <v>603</v>
      </c>
      <c r="B47" s="6">
        <v>579979</v>
      </c>
      <c r="C47" s="125">
        <v>1250055.98</v>
      </c>
      <c r="D47" s="124">
        <v>46568</v>
      </c>
    </row>
    <row r="48" spans="1:4">
      <c r="A48" s="5" t="s">
        <v>604</v>
      </c>
      <c r="B48" s="6">
        <v>2247004</v>
      </c>
      <c r="C48" s="125">
        <v>2980133.95</v>
      </c>
      <c r="D48" s="124">
        <v>46568</v>
      </c>
    </row>
    <row r="49" spans="1:4">
      <c r="A49" s="5" t="s">
        <v>605</v>
      </c>
      <c r="B49" s="6">
        <v>16917348</v>
      </c>
      <c r="C49" s="125">
        <v>56000</v>
      </c>
      <c r="D49" s="124">
        <v>46568</v>
      </c>
    </row>
    <row r="50" spans="1:4">
      <c r="A50" s="5" t="s">
        <v>606</v>
      </c>
      <c r="B50" s="6">
        <v>16424007</v>
      </c>
      <c r="C50" t="s">
        <v>551</v>
      </c>
      <c r="D50" s="124"/>
    </row>
    <row r="51" spans="1:4">
      <c r="A51" s="5" t="s">
        <v>607</v>
      </c>
      <c r="B51" s="6">
        <v>598451</v>
      </c>
      <c r="C51" t="s">
        <v>551</v>
      </c>
      <c r="D51" s="124"/>
    </row>
    <row r="52" spans="1:4">
      <c r="A52" s="5" t="s">
        <v>608</v>
      </c>
      <c r="B52" s="6">
        <v>68501</v>
      </c>
      <c r="C52" t="s">
        <v>551</v>
      </c>
      <c r="D52" s="124"/>
    </row>
    <row r="53" spans="1:4">
      <c r="A53" s="5" t="s">
        <v>609</v>
      </c>
      <c r="B53" s="6">
        <v>17866382</v>
      </c>
      <c r="C53" s="125">
        <v>980000</v>
      </c>
      <c r="D53" s="124">
        <v>46568</v>
      </c>
    </row>
    <row r="54" spans="1:4">
      <c r="A54" s="5" t="s">
        <v>610</v>
      </c>
      <c r="B54" s="6">
        <v>3093727</v>
      </c>
      <c r="C54" s="125">
        <v>560000</v>
      </c>
      <c r="D54" s="124">
        <v>46568</v>
      </c>
    </row>
    <row r="55" spans="1:4" s="128" customFormat="1">
      <c r="A55" s="127" t="s">
        <v>512</v>
      </c>
      <c r="B55" s="126">
        <v>14918710</v>
      </c>
      <c r="D55" s="129"/>
    </row>
    <row r="56" spans="1:4">
      <c r="A56" s="5" t="s">
        <v>611</v>
      </c>
      <c r="B56" s="6">
        <v>9445242</v>
      </c>
      <c r="C56" t="s">
        <v>551</v>
      </c>
      <c r="D56" s="124"/>
    </row>
    <row r="57" spans="1:4">
      <c r="A57" s="5" t="s">
        <v>612</v>
      </c>
      <c r="B57" s="6">
        <v>3588879</v>
      </c>
      <c r="C57" t="s">
        <v>551</v>
      </c>
      <c r="D57" s="124"/>
    </row>
    <row r="58" spans="1:4">
      <c r="A58" s="5" t="s">
        <v>613</v>
      </c>
      <c r="B58" s="6">
        <v>19082129</v>
      </c>
      <c r="C58" t="s">
        <v>551</v>
      </c>
      <c r="D58" s="124"/>
    </row>
    <row r="59" spans="1:4">
      <c r="A59" s="5" t="s">
        <v>614</v>
      </c>
      <c r="B59" s="6">
        <v>4163084</v>
      </c>
      <c r="C59" t="s">
        <v>551</v>
      </c>
      <c r="D59" s="124"/>
    </row>
    <row r="60" spans="1:4">
      <c r="A60" s="5" t="s">
        <v>615</v>
      </c>
      <c r="B60" s="6">
        <v>3257275</v>
      </c>
      <c r="C60" t="s">
        <v>551</v>
      </c>
      <c r="D60" s="124"/>
    </row>
    <row r="61" spans="1:4">
      <c r="A61" s="5" t="s">
        <v>616</v>
      </c>
      <c r="B61" s="118">
        <v>242411</v>
      </c>
      <c r="C61" t="s">
        <v>551</v>
      </c>
      <c r="D61" s="124"/>
    </row>
    <row r="62" spans="1:4">
      <c r="A62" s="5" t="s">
        <v>617</v>
      </c>
      <c r="B62" s="6">
        <v>576471</v>
      </c>
      <c r="C62" s="125">
        <v>56000</v>
      </c>
      <c r="D62" s="124">
        <v>46568</v>
      </c>
    </row>
    <row r="63" spans="1:4">
      <c r="A63" s="5" t="s">
        <v>618</v>
      </c>
      <c r="B63" s="118" t="s">
        <v>619</v>
      </c>
      <c r="C63" s="125">
        <v>565302787.22000003</v>
      </c>
      <c r="D63" s="124">
        <v>46568</v>
      </c>
    </row>
    <row r="64" spans="1:4">
      <c r="A64" s="5" t="s">
        <v>609</v>
      </c>
      <c r="B64" s="6">
        <v>7272031</v>
      </c>
      <c r="C64" s="125">
        <v>980000</v>
      </c>
      <c r="D64" s="124">
        <v>46568</v>
      </c>
    </row>
    <row r="65" spans="1:5">
      <c r="A65" s="5" t="s">
        <v>620</v>
      </c>
      <c r="B65" s="6" t="s">
        <v>621</v>
      </c>
      <c r="C65" s="125">
        <v>0</v>
      </c>
      <c r="D65" s="124">
        <v>46568</v>
      </c>
      <c r="E65" s="128" t="s">
        <v>622</v>
      </c>
    </row>
    <row r="66" spans="1:5">
      <c r="A66" s="5" t="s">
        <v>623</v>
      </c>
      <c r="B66" s="118">
        <v>18466421</v>
      </c>
      <c r="C66" t="s">
        <v>551</v>
      </c>
      <c r="D66" s="124"/>
    </row>
    <row r="67" spans="1:5">
      <c r="A67" s="5" t="s">
        <v>624</v>
      </c>
      <c r="B67" s="6">
        <v>19522034</v>
      </c>
      <c r="C67" t="s">
        <v>551</v>
      </c>
      <c r="D67" s="124"/>
    </row>
    <row r="68" spans="1:5">
      <c r="A68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  <pageSetUpPr fitToPage="1"/>
  </sheetPr>
  <dimension ref="A1:R1000"/>
  <sheetViews>
    <sheetView workbookViewId="0"/>
  </sheetViews>
  <sheetFormatPr defaultColWidth="12.5703125" defaultRowHeight="15" customHeight="1"/>
  <cols>
    <col min="1" max="1" width="44.28515625" customWidth="1"/>
    <col min="2" max="2" width="17.28515625" customWidth="1"/>
    <col min="3" max="3" width="16.140625" customWidth="1"/>
    <col min="4" max="4" width="16.28515625" customWidth="1"/>
    <col min="5" max="6" width="16.7109375" customWidth="1"/>
    <col min="7" max="7" width="13.85546875" customWidth="1"/>
    <col min="10" max="10" width="15.28515625" customWidth="1"/>
    <col min="13" max="13" width="13.85546875" customWidth="1"/>
    <col min="14" max="14" width="10.5703125" customWidth="1"/>
    <col min="17" max="17" width="15.28515625" customWidth="1"/>
  </cols>
  <sheetData>
    <row r="1" spans="1:17" ht="15.75" customHeight="1">
      <c r="A1" s="8" t="s">
        <v>625</v>
      </c>
      <c r="B1" s="8" t="s">
        <v>626</v>
      </c>
      <c r="C1" s="8" t="s">
        <v>627</v>
      </c>
      <c r="D1" s="8" t="s">
        <v>628</v>
      </c>
      <c r="E1" s="8" t="s">
        <v>629</v>
      </c>
      <c r="F1" s="8" t="s">
        <v>630</v>
      </c>
      <c r="G1" s="8" t="s">
        <v>631</v>
      </c>
    </row>
    <row r="2" spans="1:17" ht="15.75" customHeight="1">
      <c r="A2" s="9" t="s">
        <v>632</v>
      </c>
      <c r="B2" s="10" t="s">
        <v>633</v>
      </c>
      <c r="C2" s="11">
        <v>30271</v>
      </c>
      <c r="D2" s="10">
        <f t="shared" ref="D2:D14" si="0">DATEDIF(C2,$C$121,"Y")</f>
        <v>37</v>
      </c>
      <c r="E2" s="10" t="s">
        <v>634</v>
      </c>
      <c r="F2" s="10" t="s">
        <v>635</v>
      </c>
      <c r="G2" s="12">
        <v>326844</v>
      </c>
      <c r="J2" s="13" t="s">
        <v>626</v>
      </c>
      <c r="K2" s="10" t="s">
        <v>636</v>
      </c>
      <c r="L2" s="10" t="s">
        <v>637</v>
      </c>
      <c r="M2" s="10" t="s">
        <v>638</v>
      </c>
      <c r="N2" s="10" t="s">
        <v>637</v>
      </c>
      <c r="O2" s="10" t="s">
        <v>639</v>
      </c>
    </row>
    <row r="3" spans="1:17" ht="15.75" customHeight="1">
      <c r="A3" s="14" t="s">
        <v>640</v>
      </c>
      <c r="B3" s="10" t="s">
        <v>641</v>
      </c>
      <c r="C3" s="11">
        <v>20755</v>
      </c>
      <c r="D3" s="10">
        <f t="shared" si="0"/>
        <v>63</v>
      </c>
      <c r="E3" s="10" t="s">
        <v>642</v>
      </c>
      <c r="F3" s="10" t="s">
        <v>635</v>
      </c>
      <c r="G3" s="12">
        <v>100078.05</v>
      </c>
      <c r="J3" s="15" t="s">
        <v>643</v>
      </c>
      <c r="K3" s="10">
        <f>COUNTIF(B2:B118,"M")</f>
        <v>71</v>
      </c>
      <c r="L3" s="16">
        <f>K3/K5</f>
        <v>0.60683760683760679</v>
      </c>
      <c r="M3" s="17">
        <f>SUMIFS(G2:G118,B2:B118,"M")</f>
        <v>22181805.449999999</v>
      </c>
      <c r="N3" s="18">
        <f>M3/M5</f>
        <v>0.68090083812583502</v>
      </c>
      <c r="O3" s="17">
        <f>M3/COUNTIFS(G2:G118,"&gt;0",B2:B118,"M")</f>
        <v>331071.72313432832</v>
      </c>
      <c r="P3" s="83">
        <f>COUNTIFS(G2:G118,"&gt;0",B2:B118,"M")</f>
        <v>67</v>
      </c>
      <c r="Q3" s="19"/>
    </row>
    <row r="4" spans="1:17" ht="15.75" customHeight="1">
      <c r="A4" s="20" t="s">
        <v>644</v>
      </c>
      <c r="B4" s="10" t="s">
        <v>633</v>
      </c>
      <c r="C4" s="11">
        <v>28058</v>
      </c>
      <c r="D4" s="10">
        <f t="shared" si="0"/>
        <v>43</v>
      </c>
      <c r="E4" s="10" t="s">
        <v>645</v>
      </c>
      <c r="F4" s="10" t="s">
        <v>635</v>
      </c>
      <c r="G4" s="12">
        <v>49196.01</v>
      </c>
      <c r="J4" s="15" t="s">
        <v>646</v>
      </c>
      <c r="K4" s="10">
        <f>COUNTIF(B2:B118,"F")</f>
        <v>46</v>
      </c>
      <c r="L4" s="16">
        <f>K4/K5</f>
        <v>0.39316239316239315</v>
      </c>
      <c r="M4" s="17">
        <f>SUMIFS(G2:G118,B2:B118,"F")</f>
        <v>10395339.720000001</v>
      </c>
      <c r="N4" s="18">
        <f>M4/M5</f>
        <v>0.31909916187416493</v>
      </c>
      <c r="O4" s="17">
        <f>M4/COUNTIFS(G2:G118,"&gt;0",B2:B118,"F")</f>
        <v>253544.87121951222</v>
      </c>
      <c r="P4" s="83">
        <f>COUNTIFS(G2:G118,"&gt;0",B2:B118,"F")</f>
        <v>41</v>
      </c>
      <c r="Q4" s="19"/>
    </row>
    <row r="5" spans="1:17" ht="15.75" customHeight="1">
      <c r="A5" s="15" t="s">
        <v>647</v>
      </c>
      <c r="B5" s="10" t="s">
        <v>633</v>
      </c>
      <c r="C5" s="11">
        <v>29075</v>
      </c>
      <c r="D5" s="10">
        <f t="shared" si="0"/>
        <v>40</v>
      </c>
      <c r="E5" s="10" t="s">
        <v>645</v>
      </c>
      <c r="F5" s="10" t="s">
        <v>635</v>
      </c>
      <c r="G5" s="12">
        <v>100349</v>
      </c>
      <c r="J5" s="15" t="s">
        <v>636</v>
      </c>
      <c r="K5" s="10">
        <f t="shared" ref="K5:N5" si="1">SUM(K3:K4)</f>
        <v>117</v>
      </c>
      <c r="L5" s="16">
        <f t="shared" si="1"/>
        <v>1</v>
      </c>
      <c r="M5" s="17">
        <f t="shared" si="1"/>
        <v>32577145.170000002</v>
      </c>
      <c r="N5" s="18">
        <f t="shared" si="1"/>
        <v>1</v>
      </c>
      <c r="O5" s="17" t="s">
        <v>648</v>
      </c>
      <c r="P5" s="83">
        <f>SUM(P3:P4)</f>
        <v>108</v>
      </c>
    </row>
    <row r="6" spans="1:17" ht="15.75" customHeight="1">
      <c r="A6" s="14" t="s">
        <v>649</v>
      </c>
      <c r="B6" s="10" t="s">
        <v>633</v>
      </c>
      <c r="C6" s="11">
        <v>26364</v>
      </c>
      <c r="D6" s="10">
        <f t="shared" si="0"/>
        <v>47</v>
      </c>
      <c r="E6" s="10" t="s">
        <v>645</v>
      </c>
      <c r="F6" s="10" t="s">
        <v>635</v>
      </c>
      <c r="G6" s="12">
        <v>254439</v>
      </c>
      <c r="P6" s="83"/>
    </row>
    <row r="7" spans="1:17" ht="15.75" customHeight="1">
      <c r="A7" s="14" t="s">
        <v>650</v>
      </c>
      <c r="B7" s="10" t="s">
        <v>633</v>
      </c>
      <c r="C7" s="11">
        <v>30591</v>
      </c>
      <c r="D7" s="10">
        <f t="shared" si="0"/>
        <v>36</v>
      </c>
      <c r="E7" s="10" t="s">
        <v>634</v>
      </c>
      <c r="F7" s="10" t="s">
        <v>651</v>
      </c>
      <c r="G7" s="12">
        <v>105616</v>
      </c>
      <c r="J7" s="13" t="s">
        <v>628</v>
      </c>
      <c r="K7" s="10" t="s">
        <v>636</v>
      </c>
      <c r="L7" s="10" t="s">
        <v>637</v>
      </c>
      <c r="M7" s="10" t="s">
        <v>652</v>
      </c>
      <c r="N7" s="10" t="s">
        <v>637</v>
      </c>
      <c r="O7" s="10" t="s">
        <v>639</v>
      </c>
      <c r="P7" s="83"/>
    </row>
    <row r="8" spans="1:17" ht="15.75" customHeight="1">
      <c r="A8" s="15" t="s">
        <v>653</v>
      </c>
      <c r="B8" s="10" t="s">
        <v>633</v>
      </c>
      <c r="C8" s="11">
        <v>28792</v>
      </c>
      <c r="D8" s="10">
        <f t="shared" si="0"/>
        <v>41</v>
      </c>
      <c r="E8" s="10" t="s">
        <v>654</v>
      </c>
      <c r="F8" s="10" t="s">
        <v>635</v>
      </c>
      <c r="G8" s="12">
        <v>1013833</v>
      </c>
      <c r="J8" s="15" t="s">
        <v>655</v>
      </c>
      <c r="K8" s="10">
        <f>COUNTIFS(D2:D118,"&gt;=18",D2:D118,"&lt;30")</f>
        <v>5</v>
      </c>
      <c r="L8" s="16">
        <f t="shared" ref="L8:L15" si="2">K8/$K$15</f>
        <v>4.5045045045045043E-2</v>
      </c>
      <c r="M8" s="17">
        <f>SUMIFS(G2:G118,D2:D118,"&gt;=18",D2:D118,"&lt;30")</f>
        <v>580732.40999999992</v>
      </c>
      <c r="N8" s="18">
        <f t="shared" ref="N8:N15" si="3">M8/$M$15</f>
        <v>1.8124633245364289E-2</v>
      </c>
      <c r="O8" s="17">
        <f>M8/COUNTIFS(D2:D118,"&gt;=18",D2:D118,"&lt;30",G2:G118,"&gt;0")</f>
        <v>116146.48199999999</v>
      </c>
      <c r="P8" s="83">
        <f>COUNTIFS(D2:D118,"&gt;=18",D2:D118,"&lt;30",G2:G118,"&gt;0")</f>
        <v>5</v>
      </c>
    </row>
    <row r="9" spans="1:17" ht="15.75" customHeight="1">
      <c r="A9" s="15" t="s">
        <v>656</v>
      </c>
      <c r="B9" s="10" t="s">
        <v>633</v>
      </c>
      <c r="C9" s="11">
        <v>33605</v>
      </c>
      <c r="D9" s="10">
        <f t="shared" si="0"/>
        <v>28</v>
      </c>
      <c r="E9" s="10" t="s">
        <v>657</v>
      </c>
      <c r="F9" s="10" t="s">
        <v>635</v>
      </c>
      <c r="G9" s="12">
        <v>5158.12</v>
      </c>
      <c r="J9" s="15" t="s">
        <v>658</v>
      </c>
      <c r="K9" s="10">
        <f>COUNTIFS(D2:D118,"&gt;=30",D2:D118,"&lt;40")</f>
        <v>33</v>
      </c>
      <c r="L9" s="16">
        <f t="shared" si="2"/>
        <v>0.29729729729729731</v>
      </c>
      <c r="M9" s="17">
        <f>SUMIFS(G2:G118,D2:D118,"&gt;=30",D2:D118,"&lt;40")</f>
        <v>8235964.8899999997</v>
      </c>
      <c r="N9" s="18">
        <f t="shared" si="3"/>
        <v>0.25704410582654935</v>
      </c>
      <c r="O9" s="17">
        <f>M9/COUNTIFS(D2:D118,"&gt;=30",D2:D118,"&lt;40",G2:G118,"&gt;0")</f>
        <v>265676.28677419352</v>
      </c>
      <c r="P9" s="83">
        <f>COUNTIFS(D2:D118,"&gt;=30",D2:D118,"&lt;40",G2:G118,"&gt;0")</f>
        <v>31</v>
      </c>
    </row>
    <row r="10" spans="1:17" ht="15.75" customHeight="1">
      <c r="A10" s="14" t="s">
        <v>659</v>
      </c>
      <c r="B10" s="10" t="s">
        <v>641</v>
      </c>
      <c r="C10" s="11">
        <v>23623</v>
      </c>
      <c r="D10" s="10">
        <f t="shared" si="0"/>
        <v>55</v>
      </c>
      <c r="E10" s="10" t="s">
        <v>660</v>
      </c>
      <c r="F10" s="10" t="s">
        <v>635</v>
      </c>
      <c r="G10" s="12">
        <v>928015</v>
      </c>
      <c r="J10" s="15" t="s">
        <v>661</v>
      </c>
      <c r="K10" s="10">
        <f>COUNTIFS(D2:D118,"&gt;=40",D2:D118,"&lt;50")</f>
        <v>30</v>
      </c>
      <c r="L10" s="16">
        <f t="shared" si="2"/>
        <v>0.27027027027027029</v>
      </c>
      <c r="M10" s="17">
        <f>SUMIFS(G2:G118,D2:D118,"&gt;=40",D2:D118,"&lt;50")</f>
        <v>10741488.870000001</v>
      </c>
      <c r="N10" s="18">
        <f t="shared" si="3"/>
        <v>0.33524140021376203</v>
      </c>
      <c r="O10" s="17">
        <f>M10/COUNTIFS(D2:D118,"&gt;=40",D2:D118,"&lt;50",G2:G118,"&gt;0")</f>
        <v>370396.16793103452</v>
      </c>
      <c r="P10" s="83">
        <f>COUNTIFS(D2:D118,"&gt;=40",D2:D118,"&lt;50",G2:G118,"&gt;0")</f>
        <v>29</v>
      </c>
    </row>
    <row r="11" spans="1:17" ht="15.75" customHeight="1">
      <c r="A11" s="14" t="s">
        <v>662</v>
      </c>
      <c r="B11" s="10" t="s">
        <v>641</v>
      </c>
      <c r="C11" s="11">
        <v>31602</v>
      </c>
      <c r="D11" s="10">
        <f t="shared" si="0"/>
        <v>33</v>
      </c>
      <c r="E11" s="10" t="s">
        <v>663</v>
      </c>
      <c r="F11" s="10" t="s">
        <v>635</v>
      </c>
      <c r="G11" s="12">
        <v>449686</v>
      </c>
      <c r="J11" s="15" t="s">
        <v>664</v>
      </c>
      <c r="K11" s="10">
        <f>COUNTIFS(D2:D118,"&gt;=50",D2:D118,"&lt;60")</f>
        <v>22</v>
      </c>
      <c r="L11" s="16">
        <f t="shared" si="2"/>
        <v>0.1981981981981982</v>
      </c>
      <c r="M11" s="17">
        <f>SUMIFS(G2:G118,D2:D118,"&gt;=50",D2:D118,"&lt;60")</f>
        <v>7064823.4100000001</v>
      </c>
      <c r="N11" s="18">
        <f t="shared" si="3"/>
        <v>0.2204928311983034</v>
      </c>
      <c r="O11" s="17">
        <f>M11/COUNTIFS(D2:D118,"&gt;=50",D2:D118,"&lt;60",G2:G118,"&gt;0")</f>
        <v>336420.16238095239</v>
      </c>
      <c r="P11" s="21">
        <f>COUNTIFS(D2:D118,"&gt;=50",D2:D118,"&lt;60",G2:G118,"&gt;0")</f>
        <v>21</v>
      </c>
    </row>
    <row r="12" spans="1:17" ht="15.75" customHeight="1">
      <c r="A12" s="14" t="s">
        <v>665</v>
      </c>
      <c r="B12" s="10" t="s">
        <v>641</v>
      </c>
      <c r="C12" s="11">
        <v>24295</v>
      </c>
      <c r="D12" s="10">
        <f t="shared" si="0"/>
        <v>53</v>
      </c>
      <c r="E12" s="10" t="s">
        <v>666</v>
      </c>
      <c r="F12" s="10" t="s">
        <v>635</v>
      </c>
      <c r="G12" s="12">
        <v>174816</v>
      </c>
      <c r="J12" s="15" t="s">
        <v>667</v>
      </c>
      <c r="K12" s="10">
        <f>COUNTIFS(D2:D118,"&gt;=60",D2:D118,"&lt;70")</f>
        <v>16</v>
      </c>
      <c r="L12" s="16">
        <f t="shared" si="2"/>
        <v>0.14414414414414414</v>
      </c>
      <c r="M12" s="17">
        <f>SUMIFS(G2:G118,D2:D118,"&gt;=60",D2:D118,"&lt;70")</f>
        <v>3714393.58</v>
      </c>
      <c r="N12" s="18">
        <f t="shared" si="3"/>
        <v>0.11592606199890874</v>
      </c>
      <c r="O12" s="17">
        <f>M12/COUNTIFS(D2:D118,"&gt;=60",D2:D118,"&lt;70",G2:G118,"&gt;0")</f>
        <v>247626.23866666667</v>
      </c>
      <c r="P12" s="21">
        <f>COUNTIFS(D2:D118,"&gt;=60",D2:D118,"&lt;70",G2:G118,"&gt;0")</f>
        <v>15</v>
      </c>
    </row>
    <row r="13" spans="1:17" ht="15.75" customHeight="1">
      <c r="A13" s="14" t="s">
        <v>668</v>
      </c>
      <c r="B13" s="10" t="s">
        <v>633</v>
      </c>
      <c r="C13" s="11">
        <v>13520</v>
      </c>
      <c r="D13" s="10">
        <f t="shared" si="0"/>
        <v>82</v>
      </c>
      <c r="E13" s="10" t="s">
        <v>669</v>
      </c>
      <c r="F13" s="10" t="s">
        <v>670</v>
      </c>
      <c r="G13" s="12">
        <v>147417</v>
      </c>
      <c r="J13" s="15" t="s">
        <v>671</v>
      </c>
      <c r="K13" s="10">
        <f>COUNTIFS(D2:D118,"&gt;70",D2:D118,"&lt;80")</f>
        <v>3</v>
      </c>
      <c r="L13" s="16">
        <f t="shared" si="2"/>
        <v>2.7027027027027029E-2</v>
      </c>
      <c r="M13" s="17">
        <f>SUMIFS(G2:G118,D2:D118,"&gt;=70",D2:D118,"&lt;80")</f>
        <v>1436366.01</v>
      </c>
      <c r="N13" s="18">
        <f t="shared" si="3"/>
        <v>4.4828920668225247E-2</v>
      </c>
      <c r="O13" s="17">
        <f>M13/COUNTIFS(D2:D118,"&gt;=70",D2:D118,"&lt;80",G2:G118,"&gt;0")</f>
        <v>478788.67</v>
      </c>
      <c r="P13" s="21">
        <f>COUNTIFS(D2:D118,"&gt;=70",D2:D118,"&lt;80",G2:G118,"&gt;0")</f>
        <v>3</v>
      </c>
    </row>
    <row r="14" spans="1:17" ht="15.75" customHeight="1">
      <c r="A14" s="14" t="s">
        <v>672</v>
      </c>
      <c r="B14" s="10" t="s">
        <v>633</v>
      </c>
      <c r="C14" s="11">
        <v>23066</v>
      </c>
      <c r="D14" s="10">
        <f t="shared" si="0"/>
        <v>56</v>
      </c>
      <c r="E14" s="10" t="s">
        <v>634</v>
      </c>
      <c r="F14" s="10" t="s">
        <v>635</v>
      </c>
      <c r="G14" s="12">
        <v>31376</v>
      </c>
      <c r="J14" s="15" t="s">
        <v>673</v>
      </c>
      <c r="K14" s="10">
        <f>COUNTIFS(D2:D118,"&gt;80",D2:D118,"&lt;90")</f>
        <v>2</v>
      </c>
      <c r="L14" s="16">
        <f t="shared" si="2"/>
        <v>1.8018018018018018E-2</v>
      </c>
      <c r="M14" s="17">
        <f>SUMIFS(G2:G118,D2:D118,"&gt;=80",D2:D118,"&lt;90")</f>
        <v>267288</v>
      </c>
      <c r="N14" s="18">
        <f t="shared" si="3"/>
        <v>8.3420468488867895E-3</v>
      </c>
      <c r="O14" s="17">
        <f>M14/COUNTIFS(D2:D118,"&gt;=80",D2:D118,"&lt;90",G2:G118,"&gt;0")</f>
        <v>133644</v>
      </c>
      <c r="P14" s="21">
        <f>COUNTIFS(D2:D118,"&gt;=80",D2:D118,"&lt;90",G2:G118,"&gt;0")</f>
        <v>2</v>
      </c>
      <c r="Q14" s="21" t="s">
        <v>674</v>
      </c>
    </row>
    <row r="15" spans="1:17" ht="15.75" customHeight="1">
      <c r="A15" s="22" t="s">
        <v>675</v>
      </c>
      <c r="B15" s="10" t="s">
        <v>633</v>
      </c>
      <c r="C15" s="11"/>
      <c r="D15" s="10"/>
      <c r="E15" s="10" t="s">
        <v>654</v>
      </c>
      <c r="F15" s="10"/>
      <c r="G15" s="12">
        <v>0</v>
      </c>
      <c r="J15" s="15" t="s">
        <v>636</v>
      </c>
      <c r="K15" s="10">
        <f>SUM(K8:K14)</f>
        <v>111</v>
      </c>
      <c r="L15" s="16">
        <f t="shared" si="2"/>
        <v>1</v>
      </c>
      <c r="M15" s="17">
        <f>SUM(M8:M14)</f>
        <v>32041057.170000006</v>
      </c>
      <c r="N15" s="18">
        <f t="shared" si="3"/>
        <v>1</v>
      </c>
      <c r="O15" s="17">
        <f>M15/COUNTIFS(G2:G118,"&gt;0")</f>
        <v>296676.4552777778</v>
      </c>
      <c r="P15" s="21">
        <f>SUM(P8:P14)</f>
        <v>106</v>
      </c>
    </row>
    <row r="16" spans="1:17" ht="15.75" customHeight="1">
      <c r="A16" s="15" t="s">
        <v>676</v>
      </c>
      <c r="B16" s="10" t="s">
        <v>641</v>
      </c>
      <c r="C16" s="11">
        <v>29816</v>
      </c>
      <c r="D16" s="10">
        <f t="shared" ref="D16:D53" si="4">DATEDIF(C16,$C$121,"Y")</f>
        <v>38</v>
      </c>
      <c r="E16" s="10" t="s">
        <v>663</v>
      </c>
      <c r="F16" s="10" t="s">
        <v>635</v>
      </c>
      <c r="G16" s="12">
        <v>101819</v>
      </c>
    </row>
    <row r="17" spans="1:18" ht="15.75" customHeight="1">
      <c r="A17" s="14" t="s">
        <v>677</v>
      </c>
      <c r="B17" s="10" t="s">
        <v>641</v>
      </c>
      <c r="C17" s="11">
        <v>31091</v>
      </c>
      <c r="D17" s="10">
        <f t="shared" si="4"/>
        <v>34</v>
      </c>
      <c r="E17" s="10" t="s">
        <v>663</v>
      </c>
      <c r="F17" s="10" t="s">
        <v>635</v>
      </c>
      <c r="G17" s="12">
        <v>35841.42</v>
      </c>
      <c r="J17" s="8" t="s">
        <v>629</v>
      </c>
      <c r="K17" s="10" t="s">
        <v>636</v>
      </c>
      <c r="L17" s="10" t="s">
        <v>637</v>
      </c>
      <c r="M17" s="10" t="s">
        <v>678</v>
      </c>
      <c r="N17" s="10" t="s">
        <v>637</v>
      </c>
      <c r="O17" s="10" t="s">
        <v>639</v>
      </c>
      <c r="R17" s="21" t="s">
        <v>674</v>
      </c>
    </row>
    <row r="18" spans="1:18" ht="15.75" customHeight="1">
      <c r="A18" s="14" t="s">
        <v>679</v>
      </c>
      <c r="B18" s="10" t="s">
        <v>633</v>
      </c>
      <c r="C18" s="11">
        <v>31386</v>
      </c>
      <c r="D18" s="10">
        <f t="shared" si="4"/>
        <v>34</v>
      </c>
      <c r="E18" s="10" t="s">
        <v>680</v>
      </c>
      <c r="F18" s="10" t="s">
        <v>635</v>
      </c>
      <c r="G18" s="12">
        <v>215750</v>
      </c>
      <c r="J18" s="15" t="s">
        <v>634</v>
      </c>
      <c r="K18" s="10">
        <f>COUNTIF(E2:E118,"Funcionário Público")+COUNTIF(E2:E118,"Funcionária Pública")</f>
        <v>20</v>
      </c>
      <c r="L18" s="16">
        <f t="shared" ref="L18:L28" si="5">K18/$K$28</f>
        <v>0.21978021978021978</v>
      </c>
      <c r="M18" s="17">
        <f>SUMIFS(G2:G118,E2:E118,"Funcionária Pública")+SUMIFS(G2:G118,E2:E118,"Funcionário Público")</f>
        <v>4127437.4699999997</v>
      </c>
      <c r="N18" s="18">
        <f t="shared" ref="N18:N28" si="6">M18/$M$28</f>
        <v>0.12958903055072343</v>
      </c>
      <c r="O18" s="17">
        <f>M18/(COUNTIFS(G2:G118,"&gt;0",E2:E118,"Funcionário Público")+COUNTIFS(G2:G118,"&gt;0",E2:E118,"Funcionária Pública"))</f>
        <v>206371.87349999999</v>
      </c>
      <c r="P18" s="21">
        <f>(COUNTIFS(G2:G118,"&gt;0",E2:E118,"Funcionário Público")+COUNTIFS(G2:G118,"&gt;0",E2:E118,"Funcionária Pública"))</f>
        <v>20</v>
      </c>
    </row>
    <row r="19" spans="1:18" ht="15.75" customHeight="1">
      <c r="A19" s="14" t="s">
        <v>681</v>
      </c>
      <c r="B19" s="10" t="s">
        <v>633</v>
      </c>
      <c r="C19" s="11">
        <v>23072</v>
      </c>
      <c r="D19" s="10">
        <f t="shared" si="4"/>
        <v>56</v>
      </c>
      <c r="E19" s="10" t="s">
        <v>682</v>
      </c>
      <c r="F19" s="10" t="s">
        <v>635</v>
      </c>
      <c r="G19" s="12">
        <v>132923</v>
      </c>
      <c r="J19" s="15" t="s">
        <v>654</v>
      </c>
      <c r="K19" s="10">
        <f>COUNTIF(E2:E118,"Empresário")+COUNTIF(E2:E118,"Empresária")</f>
        <v>0</v>
      </c>
      <c r="L19" s="16">
        <f t="shared" si="5"/>
        <v>0</v>
      </c>
      <c r="M19" s="17">
        <f>SUMIFS(G2:G118,E2:E118,"Empresária")+SUMIFS(G2:G118,E2:E118,"Empresário")</f>
        <v>0</v>
      </c>
      <c r="N19" s="18">
        <f t="shared" si="6"/>
        <v>0</v>
      </c>
      <c r="O19" s="17" t="e">
        <f>M19/(COUNTIFS(G2:G118,"&gt;0",E2:E118,"Empresário")+COUNTIFS(G2:G118,"&gt;0",E2:E118,"Empresária"))</f>
        <v>#DIV/0!</v>
      </c>
    </row>
    <row r="20" spans="1:18" ht="15.75" customHeight="1">
      <c r="A20" s="14" t="s">
        <v>683</v>
      </c>
      <c r="B20" s="10" t="s">
        <v>633</v>
      </c>
      <c r="C20" s="11">
        <v>29186</v>
      </c>
      <c r="D20" s="10">
        <f t="shared" si="4"/>
        <v>40</v>
      </c>
      <c r="E20" s="10" t="s">
        <v>657</v>
      </c>
      <c r="F20" s="10" t="s">
        <v>635</v>
      </c>
      <c r="G20" s="12">
        <f>707418+847182</f>
        <v>1554600</v>
      </c>
      <c r="J20" s="15" t="s">
        <v>657</v>
      </c>
      <c r="K20" s="10">
        <f>COUNTIF(E4:E120,"Advogado")+COUNTIF(E4:E120,"Advogada")</f>
        <v>12</v>
      </c>
      <c r="L20" s="16">
        <f t="shared" si="5"/>
        <v>0.13186813186813187</v>
      </c>
      <c r="M20" s="17">
        <f>SUMIFS(G2:G118,E2:E118,"Advogado")+SUMIFS(G2:G118,E2:E118,"Advogada")</f>
        <v>4618016.6900000004</v>
      </c>
      <c r="N20" s="18">
        <f t="shared" si="6"/>
        <v>0.14499173161893131</v>
      </c>
      <c r="O20" s="17">
        <f>M20/(COUNTIFS(G2:G118,"&gt;0",E2:E118,"Advogada")+COUNTIFS(G2:G118,"&gt;0",E2:E118,"Advogado"))</f>
        <v>384834.72416666668</v>
      </c>
    </row>
    <row r="21" spans="1:18" ht="15.75" customHeight="1">
      <c r="A21" s="15" t="s">
        <v>684</v>
      </c>
      <c r="B21" s="10" t="s">
        <v>641</v>
      </c>
      <c r="C21" s="11">
        <v>30936</v>
      </c>
      <c r="D21" s="10">
        <f t="shared" si="4"/>
        <v>35</v>
      </c>
      <c r="E21" s="10" t="s">
        <v>685</v>
      </c>
      <c r="F21" s="10" t="s">
        <v>635</v>
      </c>
      <c r="G21" s="12">
        <v>511766</v>
      </c>
      <c r="H21" s="21"/>
      <c r="I21" s="21"/>
      <c r="J21" s="15" t="s">
        <v>645</v>
      </c>
      <c r="K21" s="10">
        <f>COUNTIF(E5:E121,"Dentista")</f>
        <v>8</v>
      </c>
      <c r="L21" s="16">
        <f t="shared" si="5"/>
        <v>8.7912087912087919E-2</v>
      </c>
      <c r="M21" s="17">
        <f>SUMIFS(G2:G118,E2:E118,"Dentista")</f>
        <v>1244788.1099999999</v>
      </c>
      <c r="N21" s="18">
        <f t="shared" si="6"/>
        <v>3.9082574984707706E-2</v>
      </c>
      <c r="O21" s="17">
        <f>M21/(COUNTIFS(G2:G118,"&gt;0",E2:E118,"Dentista"))</f>
        <v>155598.51374999998</v>
      </c>
    </row>
    <row r="22" spans="1:18" ht="15.75" customHeight="1">
      <c r="A22" s="14" t="s">
        <v>686</v>
      </c>
      <c r="B22" s="10" t="s">
        <v>633</v>
      </c>
      <c r="C22" s="11">
        <v>26191</v>
      </c>
      <c r="D22" s="10">
        <f t="shared" si="4"/>
        <v>48</v>
      </c>
      <c r="E22" s="10" t="s">
        <v>687</v>
      </c>
      <c r="F22" s="10" t="s">
        <v>635</v>
      </c>
      <c r="G22" s="12">
        <v>916562</v>
      </c>
      <c r="J22" s="15" t="s">
        <v>680</v>
      </c>
      <c r="K22" s="10">
        <f>COUNTIF(E6:E122,"Médico")+COUNTIF(E6:E122,"Médica")</f>
        <v>13</v>
      </c>
      <c r="L22" s="16">
        <f t="shared" si="5"/>
        <v>0.14285714285714285</v>
      </c>
      <c r="M22" s="17">
        <f>SUMIFS(G2:G118,E2:E118,"Médico")+SUMIFS(G2:G118,E2:E118,"Médica")</f>
        <v>4432285.66</v>
      </c>
      <c r="N22" s="18">
        <f t="shared" si="6"/>
        <v>0.13916034003618072</v>
      </c>
      <c r="O22" s="17">
        <f>M22/(COUNTIFS(G2:G118,"&gt;0",E2:E118,"Médico")+COUNTIFS(G2:G118,"&gt;0",E2:E118,"Médica"))</f>
        <v>369357.13833333337</v>
      </c>
    </row>
    <row r="23" spans="1:18" ht="15.75" customHeight="1">
      <c r="A23" s="14" t="s">
        <v>688</v>
      </c>
      <c r="B23" s="10" t="s">
        <v>633</v>
      </c>
      <c r="C23" s="11">
        <v>32417</v>
      </c>
      <c r="D23" s="10">
        <f t="shared" si="4"/>
        <v>31</v>
      </c>
      <c r="E23" s="10" t="s">
        <v>654</v>
      </c>
      <c r="F23" s="10" t="s">
        <v>635</v>
      </c>
      <c r="G23" s="12">
        <v>332795</v>
      </c>
      <c r="J23" s="15" t="s">
        <v>689</v>
      </c>
      <c r="K23" s="10">
        <f>COUNTIF(E7:E123,"Administrador")+COUNTIF(E7:E123,"Administradora")</f>
        <v>4</v>
      </c>
      <c r="L23" s="16">
        <f t="shared" si="5"/>
        <v>4.3956043956043959E-2</v>
      </c>
      <c r="M23" s="17">
        <f>SUMIFS(G2:G118,E2:E118,"Administradora")+SUMIFS(G2:G118,E2:E118,"Administrador")</f>
        <v>1272485.1700000002</v>
      </c>
      <c r="N23" s="18">
        <f t="shared" si="6"/>
        <v>3.9952178747476585E-2</v>
      </c>
      <c r="O23" s="17">
        <f>M23/(COUNTIFS(G2:G118,"&gt;0",E2:E118,"Administrador")+COUNTIFS(G2:G118,"&gt;0",E2:E118,"Administradora"))</f>
        <v>318121.29250000004</v>
      </c>
      <c r="Q23" s="21" t="s">
        <v>674</v>
      </c>
    </row>
    <row r="24" spans="1:18" ht="15.75" customHeight="1">
      <c r="A24" s="14" t="s">
        <v>690</v>
      </c>
      <c r="B24" s="10" t="s">
        <v>641</v>
      </c>
      <c r="C24" s="11">
        <v>26324</v>
      </c>
      <c r="D24" s="10">
        <f t="shared" si="4"/>
        <v>47</v>
      </c>
      <c r="E24" s="10" t="s">
        <v>663</v>
      </c>
      <c r="F24" s="10" t="s">
        <v>635</v>
      </c>
      <c r="G24" s="12">
        <v>191406</v>
      </c>
      <c r="J24" s="15" t="s">
        <v>682</v>
      </c>
      <c r="K24" s="10">
        <f>COUNTIF(E8:E124,"Engenheiro")+COUNTIF(E8:E124,"Engenheira")</f>
        <v>6</v>
      </c>
      <c r="L24" s="16">
        <f t="shared" si="5"/>
        <v>6.5934065934065936E-2</v>
      </c>
      <c r="M24" s="17">
        <f>SUMIFS(G2:G118,E2:E118,"Engenheira")+SUMIFS(G2:G118,E2:E118,"Engenheiro")</f>
        <v>1370551.77</v>
      </c>
      <c r="N24" s="18">
        <f t="shared" si="6"/>
        <v>4.3031172848725943E-2</v>
      </c>
      <c r="O24" s="17">
        <f>M24/(COUNTIFS(G2:G118,"&gt;0",E2:E118,"Engenheiro")+COUNTIFS(G2:G118,"&gt;0",E2:E118,"Engenheira"))</f>
        <v>228425.29500000001</v>
      </c>
      <c r="Q24" s="21" t="s">
        <v>674</v>
      </c>
    </row>
    <row r="25" spans="1:18" ht="15.75" customHeight="1">
      <c r="A25" s="14" t="s">
        <v>691</v>
      </c>
      <c r="B25" s="10" t="s">
        <v>641</v>
      </c>
      <c r="C25" s="11">
        <v>24529</v>
      </c>
      <c r="D25" s="10">
        <f t="shared" si="4"/>
        <v>52</v>
      </c>
      <c r="E25" s="10" t="s">
        <v>692</v>
      </c>
      <c r="F25" s="10" t="s">
        <v>635</v>
      </c>
      <c r="G25" s="12">
        <v>91137</v>
      </c>
      <c r="J25" s="15" t="s">
        <v>669</v>
      </c>
      <c r="K25" s="10">
        <f>COUNTIF(E9:E125,"Aposentado")+COUNTIF(E9:E125,"Aposentada")</f>
        <v>8</v>
      </c>
      <c r="L25" s="16">
        <f t="shared" si="5"/>
        <v>8.7912087912087919E-2</v>
      </c>
      <c r="M25" s="17">
        <f>SUMIFS(G2:G118,E2:E118,"Aposentada")+SUMIFS(G2:G118,E2:E118,"Aposentado")</f>
        <v>2458722</v>
      </c>
      <c r="N25" s="18">
        <f t="shared" si="6"/>
        <v>7.7196420948743252E-2</v>
      </c>
      <c r="O25" s="17">
        <f>M25/(COUNTIFS(G2:G118,"&gt;0",E2:E118,"Aposentado")+COUNTIFS(G2:G118,"&gt;0",E2:E118,"Aposentada"))</f>
        <v>351246</v>
      </c>
    </row>
    <row r="26" spans="1:18" ht="15.75" customHeight="1">
      <c r="A26" s="20" t="s">
        <v>693</v>
      </c>
      <c r="B26" s="10" t="s">
        <v>633</v>
      </c>
      <c r="C26" s="11">
        <v>28883</v>
      </c>
      <c r="D26" s="10">
        <f t="shared" si="4"/>
        <v>40</v>
      </c>
      <c r="E26" s="10" t="s">
        <v>680</v>
      </c>
      <c r="F26" s="10" t="s">
        <v>635</v>
      </c>
      <c r="G26" s="12">
        <v>271013.45</v>
      </c>
      <c r="J26" s="15" t="s">
        <v>694</v>
      </c>
      <c r="K26" s="10">
        <f>COUNTIF(E9:E125,"Autônomo")+COUNTIF(E9:E125,"Autônoma")</f>
        <v>4</v>
      </c>
      <c r="L26" s="16">
        <f t="shared" si="5"/>
        <v>4.3956043956043959E-2</v>
      </c>
      <c r="M26" s="17">
        <f>SUMIFS(G2:G118,E2:E118,"Autônomo")+SUMIFS(G2:G118,E2:E118,"Autônoma")</f>
        <v>1175824.71</v>
      </c>
      <c r="N26" s="18">
        <f t="shared" si="6"/>
        <v>3.691733318166672E-2</v>
      </c>
      <c r="O26" s="17">
        <f>M26/(COUNTIFS(G2:G118,"&gt;0",E2:E118,"Autônomo")+COUNTIFS(G2:G118,"&gt;0",E2:E118,"Autônoma"))</f>
        <v>293956.17749999999</v>
      </c>
    </row>
    <row r="27" spans="1:18" ht="15.75" customHeight="1">
      <c r="A27" s="14" t="s">
        <v>695</v>
      </c>
      <c r="B27" s="10" t="s">
        <v>641</v>
      </c>
      <c r="C27" s="11">
        <v>22919</v>
      </c>
      <c r="D27" s="10">
        <f t="shared" si="4"/>
        <v>57</v>
      </c>
      <c r="E27" s="10" t="s">
        <v>663</v>
      </c>
      <c r="F27" s="10" t="s">
        <v>635</v>
      </c>
      <c r="G27" s="12">
        <v>187575</v>
      </c>
      <c r="J27" s="15" t="s">
        <v>696</v>
      </c>
      <c r="K27" s="10">
        <v>16</v>
      </c>
      <c r="L27" s="16">
        <f t="shared" si="5"/>
        <v>0.17582417582417584</v>
      </c>
      <c r="M27" s="17">
        <f>M28-SUM(M18:M26)</f>
        <v>11150095.589999992</v>
      </c>
      <c r="N27" s="18">
        <f t="shared" si="6"/>
        <v>0.35007921708284429</v>
      </c>
      <c r="O27" s="17">
        <f>M27/15</f>
        <v>743339.70599999954</v>
      </c>
    </row>
    <row r="28" spans="1:18" ht="15.75" customHeight="1">
      <c r="A28" s="22" t="s">
        <v>697</v>
      </c>
      <c r="B28" s="10" t="s">
        <v>641</v>
      </c>
      <c r="C28" s="11">
        <v>25781</v>
      </c>
      <c r="D28" s="10">
        <f t="shared" si="4"/>
        <v>49</v>
      </c>
      <c r="E28" s="10"/>
      <c r="F28" s="10" t="s">
        <v>635</v>
      </c>
      <c r="G28" s="12">
        <v>0</v>
      </c>
      <c r="J28" s="15" t="s">
        <v>636</v>
      </c>
      <c r="K28" s="10">
        <f>SUM(K18:K27)</f>
        <v>91</v>
      </c>
      <c r="L28" s="16">
        <f t="shared" si="5"/>
        <v>1</v>
      </c>
      <c r="M28" s="17">
        <f>SUMIFS(G2:G118,E2:E118,"&lt;&gt;")</f>
        <v>31850207.169999994</v>
      </c>
      <c r="N28" s="18">
        <f t="shared" si="6"/>
        <v>1</v>
      </c>
      <c r="O28" s="17">
        <f>M28/K28</f>
        <v>350002.27659340651</v>
      </c>
    </row>
    <row r="29" spans="1:18" ht="15.75" customHeight="1">
      <c r="A29" s="15" t="s">
        <v>698</v>
      </c>
      <c r="B29" s="10" t="s">
        <v>633</v>
      </c>
      <c r="C29" s="11">
        <v>27513</v>
      </c>
      <c r="D29" s="10">
        <f t="shared" si="4"/>
        <v>44</v>
      </c>
      <c r="E29" s="10" t="s">
        <v>657</v>
      </c>
      <c r="F29" s="10"/>
      <c r="G29" s="12">
        <v>57062.68</v>
      </c>
    </row>
    <row r="30" spans="1:18" ht="15.75" customHeight="1">
      <c r="A30" s="15" t="s">
        <v>699</v>
      </c>
      <c r="B30" s="10" t="s">
        <v>641</v>
      </c>
      <c r="C30" s="11">
        <v>22401</v>
      </c>
      <c r="D30" s="10">
        <f t="shared" si="4"/>
        <v>58</v>
      </c>
      <c r="E30" s="10" t="s">
        <v>663</v>
      </c>
      <c r="F30" s="10" t="s">
        <v>635</v>
      </c>
      <c r="G30" s="12">
        <v>163478</v>
      </c>
    </row>
    <row r="31" spans="1:18" ht="15.75" customHeight="1">
      <c r="A31" s="22" t="s">
        <v>700</v>
      </c>
      <c r="B31" s="10" t="s">
        <v>641</v>
      </c>
      <c r="C31" s="11">
        <v>19484</v>
      </c>
      <c r="D31" s="10">
        <f t="shared" si="4"/>
        <v>66</v>
      </c>
      <c r="E31" s="10" t="s">
        <v>701</v>
      </c>
      <c r="F31" s="10" t="s">
        <v>635</v>
      </c>
      <c r="G31" s="12">
        <v>0</v>
      </c>
      <c r="J31" s="8" t="s">
        <v>631</v>
      </c>
    </row>
    <row r="32" spans="1:18" ht="15.75" customHeight="1">
      <c r="A32" s="14" t="s">
        <v>702</v>
      </c>
      <c r="B32" s="10" t="s">
        <v>633</v>
      </c>
      <c r="C32" s="11">
        <v>25747</v>
      </c>
      <c r="D32" s="10">
        <f t="shared" si="4"/>
        <v>49</v>
      </c>
      <c r="E32" s="10" t="s">
        <v>645</v>
      </c>
      <c r="F32" s="10" t="s">
        <v>635</v>
      </c>
      <c r="G32" s="12">
        <f>205400+183458</f>
        <v>388858</v>
      </c>
    </row>
    <row r="33" spans="1:12" ht="15.75" customHeight="1">
      <c r="A33" s="14" t="s">
        <v>703</v>
      </c>
      <c r="B33" s="10" t="s">
        <v>633</v>
      </c>
      <c r="C33" s="11">
        <v>28151</v>
      </c>
      <c r="D33" s="10">
        <f t="shared" si="4"/>
        <v>42</v>
      </c>
      <c r="E33" s="10" t="s">
        <v>645</v>
      </c>
      <c r="F33" s="10" t="s">
        <v>635</v>
      </c>
      <c r="G33" s="12">
        <v>56328</v>
      </c>
    </row>
    <row r="34" spans="1:12" ht="15.75" customHeight="1">
      <c r="A34" s="15" t="s">
        <v>704</v>
      </c>
      <c r="B34" s="10" t="s">
        <v>633</v>
      </c>
      <c r="C34" s="11">
        <v>27906</v>
      </c>
      <c r="D34" s="10">
        <f t="shared" si="4"/>
        <v>43</v>
      </c>
      <c r="E34" s="10" t="s">
        <v>694</v>
      </c>
      <c r="F34" s="10" t="s">
        <v>635</v>
      </c>
      <c r="G34" s="12">
        <v>257451</v>
      </c>
    </row>
    <row r="35" spans="1:12" ht="15.75" customHeight="1">
      <c r="A35" s="15" t="s">
        <v>705</v>
      </c>
      <c r="B35" s="10" t="s">
        <v>633</v>
      </c>
      <c r="C35" s="11">
        <v>28906</v>
      </c>
      <c r="D35" s="10">
        <f t="shared" si="4"/>
        <v>40</v>
      </c>
      <c r="E35" s="10" t="s">
        <v>657</v>
      </c>
      <c r="F35" s="10" t="s">
        <v>635</v>
      </c>
      <c r="G35" s="12">
        <v>402433</v>
      </c>
    </row>
    <row r="36" spans="1:12" ht="15.75" customHeight="1">
      <c r="A36" s="14" t="s">
        <v>706</v>
      </c>
      <c r="B36" s="10" t="s">
        <v>633</v>
      </c>
      <c r="C36" s="11">
        <v>30587</v>
      </c>
      <c r="D36" s="10">
        <f t="shared" si="4"/>
        <v>36</v>
      </c>
      <c r="E36" s="10" t="s">
        <v>680</v>
      </c>
      <c r="F36" s="10" t="s">
        <v>635</v>
      </c>
      <c r="G36" s="12">
        <f>458323+1000228</f>
        <v>1458551</v>
      </c>
    </row>
    <row r="37" spans="1:12" ht="15.75" customHeight="1">
      <c r="A37" s="14" t="s">
        <v>707</v>
      </c>
      <c r="B37" s="10" t="s">
        <v>641</v>
      </c>
      <c r="C37" s="11">
        <v>15096</v>
      </c>
      <c r="D37" s="10">
        <f t="shared" si="4"/>
        <v>78</v>
      </c>
      <c r="E37" s="10" t="s">
        <v>701</v>
      </c>
      <c r="F37" s="10" t="s">
        <v>635</v>
      </c>
      <c r="G37" s="12">
        <v>179256</v>
      </c>
    </row>
    <row r="38" spans="1:12" ht="15.75" customHeight="1">
      <c r="A38" s="14" t="s">
        <v>708</v>
      </c>
      <c r="B38" s="10" t="s">
        <v>633</v>
      </c>
      <c r="C38" s="11">
        <v>27655</v>
      </c>
      <c r="D38" s="10">
        <f t="shared" si="4"/>
        <v>44</v>
      </c>
      <c r="E38" s="10" t="s">
        <v>682</v>
      </c>
      <c r="F38" s="10" t="s">
        <v>709</v>
      </c>
      <c r="G38" s="12">
        <v>769189</v>
      </c>
      <c r="J38" s="21" t="s">
        <v>674</v>
      </c>
    </row>
    <row r="39" spans="1:12" ht="15.75" customHeight="1">
      <c r="A39" s="14" t="s">
        <v>710</v>
      </c>
      <c r="B39" s="10" t="s">
        <v>633</v>
      </c>
      <c r="C39" s="11">
        <v>31245</v>
      </c>
      <c r="D39" s="10">
        <f t="shared" si="4"/>
        <v>34</v>
      </c>
      <c r="E39" s="10" t="s">
        <v>657</v>
      </c>
      <c r="F39" s="10" t="s">
        <v>635</v>
      </c>
      <c r="G39" s="12">
        <v>166417</v>
      </c>
      <c r="J39" s="21" t="s">
        <v>674</v>
      </c>
      <c r="K39" s="21" t="s">
        <v>674</v>
      </c>
    </row>
    <row r="40" spans="1:12" ht="15.75" customHeight="1">
      <c r="A40" s="15" t="s">
        <v>711</v>
      </c>
      <c r="B40" s="10" t="s">
        <v>633</v>
      </c>
      <c r="C40" s="11">
        <v>28270</v>
      </c>
      <c r="D40" s="10">
        <f t="shared" si="4"/>
        <v>42</v>
      </c>
      <c r="E40" s="10" t="s">
        <v>680</v>
      </c>
      <c r="F40" s="10" t="s">
        <v>635</v>
      </c>
      <c r="G40" s="12">
        <v>208601</v>
      </c>
    </row>
    <row r="41" spans="1:12" ht="15.75" customHeight="1">
      <c r="A41" s="20" t="s">
        <v>712</v>
      </c>
      <c r="B41" s="10" t="s">
        <v>633</v>
      </c>
      <c r="C41" s="11">
        <v>23924</v>
      </c>
      <c r="D41" s="10">
        <f t="shared" si="4"/>
        <v>54</v>
      </c>
      <c r="E41" s="10" t="s">
        <v>657</v>
      </c>
      <c r="F41" s="10"/>
      <c r="G41" s="12">
        <v>278844.53000000003</v>
      </c>
      <c r="J41" s="21" t="s">
        <v>674</v>
      </c>
    </row>
    <row r="42" spans="1:12" ht="15.75" customHeight="1">
      <c r="A42" s="20" t="s">
        <v>713</v>
      </c>
      <c r="B42" s="10" t="s">
        <v>633</v>
      </c>
      <c r="C42" s="11">
        <v>33469</v>
      </c>
      <c r="D42" s="10">
        <f t="shared" si="4"/>
        <v>28</v>
      </c>
      <c r="E42" s="10" t="s">
        <v>634</v>
      </c>
      <c r="F42" s="10" t="s">
        <v>714</v>
      </c>
      <c r="G42" s="12">
        <v>131927</v>
      </c>
      <c r="J42" s="21" t="s">
        <v>674</v>
      </c>
    </row>
    <row r="43" spans="1:12" ht="15.75" customHeight="1">
      <c r="A43" s="14" t="s">
        <v>715</v>
      </c>
      <c r="B43" s="10" t="s">
        <v>633</v>
      </c>
      <c r="C43" s="11">
        <v>25643</v>
      </c>
      <c r="D43" s="10">
        <f t="shared" si="4"/>
        <v>49</v>
      </c>
      <c r="E43" s="10" t="s">
        <v>680</v>
      </c>
      <c r="F43" s="10" t="s">
        <v>635</v>
      </c>
      <c r="G43" s="12">
        <v>506417</v>
      </c>
      <c r="K43" s="21" t="s">
        <v>674</v>
      </c>
      <c r="L43" s="21" t="s">
        <v>674</v>
      </c>
    </row>
    <row r="44" spans="1:12" ht="15.75" customHeight="1">
      <c r="A44" s="20" t="s">
        <v>716</v>
      </c>
      <c r="B44" s="10" t="s">
        <v>633</v>
      </c>
      <c r="C44" s="11">
        <v>32920</v>
      </c>
      <c r="D44" s="10">
        <f t="shared" si="4"/>
        <v>29</v>
      </c>
      <c r="E44" s="10" t="s">
        <v>657</v>
      </c>
      <c r="F44" s="10" t="s">
        <v>635</v>
      </c>
      <c r="G44" s="12">
        <v>123215.73</v>
      </c>
      <c r="K44" s="21" t="s">
        <v>674</v>
      </c>
    </row>
    <row r="45" spans="1:12" ht="15.75" customHeight="1">
      <c r="A45" s="14" t="s">
        <v>717</v>
      </c>
      <c r="B45" s="10" t="s">
        <v>633</v>
      </c>
      <c r="C45" s="11">
        <v>30264</v>
      </c>
      <c r="D45" s="10">
        <f t="shared" si="4"/>
        <v>37</v>
      </c>
      <c r="E45" s="10" t="s">
        <v>654</v>
      </c>
      <c r="F45" s="10" t="s">
        <v>635</v>
      </c>
      <c r="G45" s="12">
        <v>141649</v>
      </c>
    </row>
    <row r="46" spans="1:12" ht="15.75" customHeight="1">
      <c r="A46" s="14" t="s">
        <v>718</v>
      </c>
      <c r="B46" s="10" t="s">
        <v>641</v>
      </c>
      <c r="C46" s="11">
        <v>18097</v>
      </c>
      <c r="D46" s="10">
        <f t="shared" si="4"/>
        <v>70</v>
      </c>
      <c r="E46" s="10" t="s">
        <v>701</v>
      </c>
      <c r="F46" s="10" t="s">
        <v>635</v>
      </c>
      <c r="G46" s="12">
        <f>913577+225360</f>
        <v>1138937</v>
      </c>
    </row>
    <row r="47" spans="1:12" ht="15.75" customHeight="1">
      <c r="A47" s="20" t="s">
        <v>719</v>
      </c>
      <c r="B47" s="10" t="s">
        <v>633</v>
      </c>
      <c r="C47" s="11">
        <v>24085</v>
      </c>
      <c r="D47" s="10">
        <f t="shared" si="4"/>
        <v>54</v>
      </c>
      <c r="E47" s="10" t="s">
        <v>720</v>
      </c>
      <c r="F47" s="10"/>
      <c r="G47" s="12">
        <v>611765.67000000004</v>
      </c>
      <c r="L47" s="21" t="s">
        <v>674</v>
      </c>
    </row>
    <row r="48" spans="1:12" ht="15.75" customHeight="1">
      <c r="A48" s="23" t="s">
        <v>721</v>
      </c>
      <c r="B48" s="10" t="s">
        <v>641</v>
      </c>
      <c r="C48" s="11">
        <v>31943</v>
      </c>
      <c r="D48" s="10">
        <f t="shared" si="4"/>
        <v>32</v>
      </c>
      <c r="E48" s="10" t="s">
        <v>722</v>
      </c>
      <c r="F48" s="10" t="s">
        <v>635</v>
      </c>
      <c r="G48" s="12">
        <v>275126</v>
      </c>
    </row>
    <row r="49" spans="1:11" ht="15.75" customHeight="1">
      <c r="A49" s="23" t="s">
        <v>723</v>
      </c>
      <c r="B49" s="10" t="s">
        <v>633</v>
      </c>
      <c r="C49" s="11">
        <v>26994</v>
      </c>
      <c r="D49" s="10">
        <f t="shared" si="4"/>
        <v>46</v>
      </c>
      <c r="E49" s="10" t="s">
        <v>654</v>
      </c>
      <c r="F49" s="10" t="s">
        <v>635</v>
      </c>
      <c r="G49" s="12">
        <v>395619</v>
      </c>
    </row>
    <row r="50" spans="1:11" ht="15.75" customHeight="1">
      <c r="A50" s="23" t="s">
        <v>724</v>
      </c>
      <c r="B50" s="10" t="s">
        <v>633</v>
      </c>
      <c r="C50" s="11">
        <v>32175</v>
      </c>
      <c r="D50" s="10">
        <f t="shared" si="4"/>
        <v>31</v>
      </c>
      <c r="E50" s="10" t="s">
        <v>654</v>
      </c>
      <c r="F50" s="10" t="s">
        <v>635</v>
      </c>
      <c r="G50" s="12">
        <v>125506</v>
      </c>
      <c r="J50" s="21" t="s">
        <v>674</v>
      </c>
    </row>
    <row r="51" spans="1:11" ht="15.75" customHeight="1">
      <c r="A51" s="24" t="s">
        <v>725</v>
      </c>
      <c r="B51" s="10" t="s">
        <v>633</v>
      </c>
      <c r="C51" s="11">
        <v>29879</v>
      </c>
      <c r="D51" s="10">
        <f t="shared" si="4"/>
        <v>38</v>
      </c>
      <c r="E51" s="10" t="s">
        <v>680</v>
      </c>
      <c r="F51" s="10" t="s">
        <v>635</v>
      </c>
      <c r="G51" s="12">
        <f>165123+165077</f>
        <v>330200</v>
      </c>
      <c r="J51" s="21" t="s">
        <v>674</v>
      </c>
    </row>
    <row r="52" spans="1:11" ht="15.75" customHeight="1">
      <c r="A52" s="14" t="s">
        <v>726</v>
      </c>
      <c r="B52" s="10" t="s">
        <v>633</v>
      </c>
      <c r="C52" s="11">
        <v>22158</v>
      </c>
      <c r="D52" s="10">
        <f t="shared" si="4"/>
        <v>59</v>
      </c>
      <c r="E52" s="10" t="s">
        <v>727</v>
      </c>
      <c r="F52" s="10" t="s">
        <v>635</v>
      </c>
      <c r="G52" s="12">
        <v>167058</v>
      </c>
    </row>
    <row r="53" spans="1:11" ht="15.75" customHeight="1">
      <c r="A53" s="23" t="s">
        <v>728</v>
      </c>
      <c r="B53" s="10" t="s">
        <v>633</v>
      </c>
      <c r="C53" s="11">
        <v>13343</v>
      </c>
      <c r="D53" s="10">
        <f t="shared" si="4"/>
        <v>83</v>
      </c>
      <c r="E53" s="10" t="s">
        <v>669</v>
      </c>
      <c r="F53" s="10" t="s">
        <v>635</v>
      </c>
      <c r="G53" s="12">
        <v>119871</v>
      </c>
      <c r="J53" s="21" t="s">
        <v>674</v>
      </c>
    </row>
    <row r="54" spans="1:11" ht="15.75" customHeight="1">
      <c r="A54" s="25" t="s">
        <v>729</v>
      </c>
      <c r="B54" s="10" t="s">
        <v>641</v>
      </c>
      <c r="C54" s="11"/>
      <c r="D54" s="10"/>
      <c r="E54" s="10" t="s">
        <v>730</v>
      </c>
      <c r="F54" s="10"/>
      <c r="G54" s="12">
        <v>0</v>
      </c>
    </row>
    <row r="55" spans="1:11" ht="15.75" customHeight="1">
      <c r="A55" s="24" t="s">
        <v>731</v>
      </c>
      <c r="B55" s="10" t="s">
        <v>633</v>
      </c>
      <c r="C55" s="11">
        <v>23916</v>
      </c>
      <c r="D55" s="10">
        <f t="shared" ref="D55:D78" si="7">DATEDIF(C55,$C$121,"Y")</f>
        <v>54</v>
      </c>
      <c r="E55" s="10" t="s">
        <v>654</v>
      </c>
      <c r="F55" s="10" t="s">
        <v>635</v>
      </c>
      <c r="G55" s="12">
        <v>314725</v>
      </c>
    </row>
    <row r="56" spans="1:11" ht="15.75" customHeight="1">
      <c r="A56" s="24" t="s">
        <v>732</v>
      </c>
      <c r="B56" s="10" t="s">
        <v>633</v>
      </c>
      <c r="C56" s="11">
        <v>29508</v>
      </c>
      <c r="D56" s="10">
        <f t="shared" si="7"/>
        <v>39</v>
      </c>
      <c r="E56" s="10" t="s">
        <v>687</v>
      </c>
      <c r="F56" s="10" t="s">
        <v>635</v>
      </c>
      <c r="G56" s="12">
        <v>105215.56</v>
      </c>
    </row>
    <row r="57" spans="1:11" ht="15.75" customHeight="1">
      <c r="A57" s="23" t="s">
        <v>733</v>
      </c>
      <c r="B57" s="10" t="s">
        <v>633</v>
      </c>
      <c r="C57" s="11">
        <v>31417</v>
      </c>
      <c r="D57" s="10">
        <f t="shared" si="7"/>
        <v>33</v>
      </c>
      <c r="E57" s="10" t="s">
        <v>654</v>
      </c>
      <c r="F57" s="10" t="s">
        <v>635</v>
      </c>
      <c r="G57" s="12">
        <f>360253+251068</f>
        <v>611321</v>
      </c>
    </row>
    <row r="58" spans="1:11" ht="15.75" customHeight="1">
      <c r="A58" s="23" t="s">
        <v>734</v>
      </c>
      <c r="B58" s="10" t="s">
        <v>641</v>
      </c>
      <c r="C58" s="11">
        <v>27619</v>
      </c>
      <c r="D58" s="10">
        <f t="shared" si="7"/>
        <v>44</v>
      </c>
      <c r="E58" s="10" t="s">
        <v>663</v>
      </c>
      <c r="F58" s="10" t="s">
        <v>635</v>
      </c>
      <c r="G58" s="12">
        <v>189120</v>
      </c>
    </row>
    <row r="59" spans="1:11" ht="15.75" customHeight="1">
      <c r="A59" s="24" t="s">
        <v>735</v>
      </c>
      <c r="B59" s="10" t="s">
        <v>641</v>
      </c>
      <c r="C59" s="11">
        <v>21213</v>
      </c>
      <c r="D59" s="10">
        <f t="shared" si="7"/>
        <v>61</v>
      </c>
      <c r="E59" s="10" t="s">
        <v>645</v>
      </c>
      <c r="F59" s="10" t="s">
        <v>709</v>
      </c>
      <c r="G59" s="12">
        <v>16764.63</v>
      </c>
    </row>
    <row r="60" spans="1:11" ht="15.75" customHeight="1">
      <c r="A60" s="23" t="s">
        <v>736</v>
      </c>
      <c r="B60" s="10" t="s">
        <v>633</v>
      </c>
      <c r="C60" s="11">
        <v>20736</v>
      </c>
      <c r="D60" s="10">
        <f t="shared" si="7"/>
        <v>63</v>
      </c>
      <c r="E60" s="10"/>
      <c r="F60" s="10" t="s">
        <v>635</v>
      </c>
      <c r="G60" s="12">
        <v>129393</v>
      </c>
    </row>
    <row r="61" spans="1:11" ht="15.75" customHeight="1">
      <c r="A61" s="26" t="s">
        <v>737</v>
      </c>
      <c r="B61" s="10" t="s">
        <v>633</v>
      </c>
      <c r="C61" s="11">
        <v>21535</v>
      </c>
      <c r="D61" s="10">
        <f t="shared" si="7"/>
        <v>61</v>
      </c>
      <c r="E61" s="10" t="s">
        <v>634</v>
      </c>
      <c r="F61" s="10" t="s">
        <v>635</v>
      </c>
      <c r="G61" s="12">
        <v>69611</v>
      </c>
      <c r="K61" s="21"/>
    </row>
    <row r="62" spans="1:11" ht="15.75" customHeight="1">
      <c r="A62" s="14" t="s">
        <v>738</v>
      </c>
      <c r="B62" s="10" t="s">
        <v>641</v>
      </c>
      <c r="C62" s="11">
        <v>28071</v>
      </c>
      <c r="D62" s="10">
        <f t="shared" si="7"/>
        <v>43</v>
      </c>
      <c r="E62" s="10" t="s">
        <v>739</v>
      </c>
      <c r="F62" s="10" t="s">
        <v>635</v>
      </c>
      <c r="G62" s="12">
        <f>419503+311767</f>
        <v>731270</v>
      </c>
    </row>
    <row r="63" spans="1:11" ht="15.75" customHeight="1">
      <c r="A63" s="20" t="s">
        <v>740</v>
      </c>
      <c r="B63" s="10" t="s">
        <v>633</v>
      </c>
      <c r="C63" s="11">
        <v>27745</v>
      </c>
      <c r="D63" s="10">
        <f t="shared" si="7"/>
        <v>44</v>
      </c>
      <c r="E63" s="10" t="s">
        <v>657</v>
      </c>
      <c r="F63" s="10" t="s">
        <v>635</v>
      </c>
      <c r="G63" s="12">
        <f>994319.81+157168</f>
        <v>1151487.81</v>
      </c>
      <c r="J63" s="21" t="s">
        <v>674</v>
      </c>
    </row>
    <row r="64" spans="1:11" ht="15.75" customHeight="1">
      <c r="A64" s="14" t="s">
        <v>741</v>
      </c>
      <c r="B64" s="10" t="s">
        <v>641</v>
      </c>
      <c r="C64" s="11">
        <v>24999</v>
      </c>
      <c r="D64" s="10">
        <f t="shared" si="7"/>
        <v>51</v>
      </c>
      <c r="E64" s="10" t="s">
        <v>742</v>
      </c>
      <c r="F64" s="10" t="s">
        <v>635</v>
      </c>
      <c r="G64" s="12">
        <v>108326</v>
      </c>
      <c r="J64" s="21" t="s">
        <v>674</v>
      </c>
    </row>
    <row r="65" spans="1:12" ht="15.75" customHeight="1">
      <c r="A65" s="14" t="s">
        <v>743</v>
      </c>
      <c r="B65" s="10" t="s">
        <v>641</v>
      </c>
      <c r="C65" s="11">
        <v>18771</v>
      </c>
      <c r="D65" s="10">
        <f t="shared" si="7"/>
        <v>68</v>
      </c>
      <c r="E65" s="10" t="s">
        <v>701</v>
      </c>
      <c r="F65" s="10" t="s">
        <v>635</v>
      </c>
      <c r="G65" s="12">
        <v>92609</v>
      </c>
    </row>
    <row r="66" spans="1:12" ht="15.75" customHeight="1">
      <c r="A66" s="15" t="s">
        <v>744</v>
      </c>
      <c r="B66" s="10" t="s">
        <v>641</v>
      </c>
      <c r="C66" s="11">
        <v>27098</v>
      </c>
      <c r="D66" s="10">
        <f t="shared" si="7"/>
        <v>45</v>
      </c>
      <c r="E66" s="10" t="s">
        <v>663</v>
      </c>
      <c r="F66" s="10" t="s">
        <v>635</v>
      </c>
      <c r="G66" s="12">
        <v>44491.05</v>
      </c>
      <c r="L66" s="21" t="s">
        <v>674</v>
      </c>
    </row>
    <row r="67" spans="1:12" ht="15.75" customHeight="1">
      <c r="A67" s="14" t="s">
        <v>745</v>
      </c>
      <c r="B67" s="10" t="s">
        <v>641</v>
      </c>
      <c r="C67" s="11">
        <v>21881</v>
      </c>
      <c r="D67" s="10">
        <f t="shared" si="7"/>
        <v>60</v>
      </c>
      <c r="E67" s="10" t="s">
        <v>746</v>
      </c>
      <c r="F67" s="10" t="s">
        <v>635</v>
      </c>
      <c r="G67" s="12">
        <v>253693</v>
      </c>
      <c r="J67" s="21" t="s">
        <v>674</v>
      </c>
    </row>
    <row r="68" spans="1:12" ht="15.75" customHeight="1">
      <c r="A68" s="15" t="s">
        <v>747</v>
      </c>
      <c r="B68" s="10" t="s">
        <v>641</v>
      </c>
      <c r="C68" s="11">
        <v>20961</v>
      </c>
      <c r="D68" s="10">
        <f t="shared" si="7"/>
        <v>62</v>
      </c>
      <c r="E68" s="10" t="s">
        <v>748</v>
      </c>
      <c r="F68" s="10" t="s">
        <v>635</v>
      </c>
      <c r="G68" s="12">
        <v>268632.52</v>
      </c>
      <c r="J68" s="21" t="s">
        <v>674</v>
      </c>
    </row>
    <row r="69" spans="1:12" ht="15.75" customHeight="1">
      <c r="A69" s="22" t="s">
        <v>749</v>
      </c>
      <c r="B69" s="10" t="s">
        <v>641</v>
      </c>
      <c r="C69" s="11">
        <v>16541</v>
      </c>
      <c r="D69" s="10">
        <f t="shared" si="7"/>
        <v>74</v>
      </c>
      <c r="E69" s="10" t="s">
        <v>750</v>
      </c>
      <c r="F69" s="10" t="s">
        <v>635</v>
      </c>
      <c r="G69" s="12">
        <v>0</v>
      </c>
      <c r="L69" s="21" t="s">
        <v>674</v>
      </c>
    </row>
    <row r="70" spans="1:12" ht="15.75" customHeight="1">
      <c r="A70" s="15" t="s">
        <v>751</v>
      </c>
      <c r="B70" s="10" t="s">
        <v>641</v>
      </c>
      <c r="C70" s="11">
        <v>17371</v>
      </c>
      <c r="D70" s="10">
        <f t="shared" si="7"/>
        <v>72</v>
      </c>
      <c r="E70" s="10" t="s">
        <v>730</v>
      </c>
      <c r="F70" s="10" t="s">
        <v>709</v>
      </c>
      <c r="G70" s="12">
        <v>118173.01</v>
      </c>
    </row>
    <row r="71" spans="1:12" ht="15.75" customHeight="1">
      <c r="A71" s="14" t="s">
        <v>752</v>
      </c>
      <c r="B71" s="10" t="s">
        <v>641</v>
      </c>
      <c r="C71" s="11">
        <v>22041</v>
      </c>
      <c r="D71" s="10">
        <f t="shared" si="7"/>
        <v>59</v>
      </c>
      <c r="E71" s="10" t="s">
        <v>730</v>
      </c>
      <c r="F71" s="10" t="s">
        <v>635</v>
      </c>
      <c r="G71" s="12">
        <v>177455</v>
      </c>
      <c r="K71" s="21" t="s">
        <v>674</v>
      </c>
    </row>
    <row r="72" spans="1:12" ht="15.75" customHeight="1">
      <c r="A72" s="14" t="s">
        <v>753</v>
      </c>
      <c r="B72" s="10" t="s">
        <v>633</v>
      </c>
      <c r="C72" s="11">
        <v>28553</v>
      </c>
      <c r="D72" s="10">
        <f t="shared" si="7"/>
        <v>41</v>
      </c>
      <c r="E72" s="10" t="s">
        <v>680</v>
      </c>
      <c r="F72" s="10" t="s">
        <v>635</v>
      </c>
      <c r="G72" s="12">
        <v>115496</v>
      </c>
      <c r="J72" s="21" t="s">
        <v>674</v>
      </c>
    </row>
    <row r="73" spans="1:12" ht="15.75" customHeight="1">
      <c r="A73" s="14" t="s">
        <v>754</v>
      </c>
      <c r="B73" s="10" t="s">
        <v>633</v>
      </c>
      <c r="C73" s="11">
        <v>28738</v>
      </c>
      <c r="D73" s="10">
        <f t="shared" si="7"/>
        <v>41</v>
      </c>
      <c r="E73" s="10" t="s">
        <v>657</v>
      </c>
      <c r="F73" s="10" t="s">
        <v>635</v>
      </c>
      <c r="G73" s="12">
        <v>261709</v>
      </c>
    </row>
    <row r="74" spans="1:12" ht="15.75" customHeight="1">
      <c r="A74" s="15" t="s">
        <v>755</v>
      </c>
      <c r="B74" s="10" t="s">
        <v>633</v>
      </c>
      <c r="C74" s="11">
        <v>24095</v>
      </c>
      <c r="D74" s="10">
        <f t="shared" si="7"/>
        <v>54</v>
      </c>
      <c r="E74" s="10" t="s">
        <v>654</v>
      </c>
      <c r="F74" s="10" t="s">
        <v>635</v>
      </c>
      <c r="G74" s="12">
        <v>0</v>
      </c>
    </row>
    <row r="75" spans="1:12" ht="15.75" customHeight="1">
      <c r="A75" s="20" t="s">
        <v>756</v>
      </c>
      <c r="B75" s="10" t="s">
        <v>641</v>
      </c>
      <c r="C75" s="11">
        <v>25216</v>
      </c>
      <c r="D75" s="10">
        <f t="shared" si="7"/>
        <v>50</v>
      </c>
      <c r="E75" s="10" t="s">
        <v>757</v>
      </c>
      <c r="F75" s="10"/>
      <c r="G75" s="12">
        <v>695297.71</v>
      </c>
      <c r="J75" s="21" t="s">
        <v>674</v>
      </c>
    </row>
    <row r="76" spans="1:12" ht="15.75" customHeight="1">
      <c r="A76" s="15" t="s">
        <v>758</v>
      </c>
      <c r="B76" s="10" t="s">
        <v>633</v>
      </c>
      <c r="C76" s="11">
        <v>32329</v>
      </c>
      <c r="D76" s="10">
        <f t="shared" si="7"/>
        <v>31</v>
      </c>
      <c r="E76" s="10" t="s">
        <v>654</v>
      </c>
      <c r="F76" s="10" t="s">
        <v>635</v>
      </c>
      <c r="G76" s="12">
        <v>184409</v>
      </c>
      <c r="J76" s="21" t="s">
        <v>674</v>
      </c>
    </row>
    <row r="77" spans="1:12" ht="15.75" customHeight="1">
      <c r="A77" s="14" t="s">
        <v>759</v>
      </c>
      <c r="B77" s="10" t="s">
        <v>641</v>
      </c>
      <c r="C77" s="11">
        <v>30849</v>
      </c>
      <c r="D77" s="10">
        <f t="shared" si="7"/>
        <v>35</v>
      </c>
      <c r="E77" s="10" t="s">
        <v>663</v>
      </c>
      <c r="F77" s="10" t="s">
        <v>635</v>
      </c>
      <c r="G77" s="12">
        <v>117498</v>
      </c>
      <c r="K77" s="21" t="s">
        <v>674</v>
      </c>
    </row>
    <row r="78" spans="1:12" ht="15.75" customHeight="1">
      <c r="A78" s="14" t="s">
        <v>760</v>
      </c>
      <c r="B78" s="10" t="s">
        <v>641</v>
      </c>
      <c r="C78" s="11">
        <v>31945</v>
      </c>
      <c r="D78" s="10">
        <f t="shared" si="7"/>
        <v>32</v>
      </c>
      <c r="E78" s="10" t="s">
        <v>663</v>
      </c>
      <c r="F78" s="10" t="s">
        <v>635</v>
      </c>
      <c r="G78" s="12">
        <f>286683+108380</f>
        <v>395063</v>
      </c>
      <c r="J78" s="21" t="s">
        <v>674</v>
      </c>
    </row>
    <row r="79" spans="1:12" ht="15.75" customHeight="1">
      <c r="A79" s="14" t="s">
        <v>761</v>
      </c>
      <c r="B79" s="10" t="s">
        <v>641</v>
      </c>
      <c r="C79" s="11"/>
      <c r="D79" s="10"/>
      <c r="E79" s="10"/>
      <c r="F79" s="10" t="s">
        <v>635</v>
      </c>
      <c r="G79" s="12">
        <v>422200</v>
      </c>
    </row>
    <row r="80" spans="1:12" ht="15.75" customHeight="1">
      <c r="A80" s="20" t="s">
        <v>762</v>
      </c>
      <c r="B80" s="10" t="s">
        <v>633</v>
      </c>
      <c r="C80" s="11">
        <v>34492</v>
      </c>
      <c r="D80" s="10">
        <f t="shared" ref="D80:D83" si="8">DATEDIF(C80,$C$121,"Y")</f>
        <v>25</v>
      </c>
      <c r="E80" s="10" t="s">
        <v>680</v>
      </c>
      <c r="F80" s="10" t="s">
        <v>763</v>
      </c>
      <c r="G80" s="12">
        <v>82175.56</v>
      </c>
      <c r="K80" s="21" t="s">
        <v>674</v>
      </c>
    </row>
    <row r="81" spans="1:11" ht="15.75" customHeight="1">
      <c r="A81" s="15" t="s">
        <v>764</v>
      </c>
      <c r="B81" s="10" t="s">
        <v>633</v>
      </c>
      <c r="C81" s="11">
        <v>20947</v>
      </c>
      <c r="D81" s="10">
        <f t="shared" si="8"/>
        <v>62</v>
      </c>
      <c r="E81" s="10" t="s">
        <v>654</v>
      </c>
      <c r="F81" s="10" t="s">
        <v>765</v>
      </c>
      <c r="G81" s="12">
        <v>100737.25</v>
      </c>
    </row>
    <row r="82" spans="1:11" ht="15.75" customHeight="1">
      <c r="A82" s="20" t="s">
        <v>766</v>
      </c>
      <c r="B82" s="10" t="s">
        <v>633</v>
      </c>
      <c r="C82" s="11">
        <v>29139</v>
      </c>
      <c r="D82" s="10">
        <f t="shared" si="8"/>
        <v>40</v>
      </c>
      <c r="E82" s="10" t="s">
        <v>657</v>
      </c>
      <c r="F82" s="10"/>
      <c r="G82" s="12">
        <v>310286.32</v>
      </c>
    </row>
    <row r="83" spans="1:11" ht="15.75" customHeight="1">
      <c r="A83" s="14" t="s">
        <v>767</v>
      </c>
      <c r="B83" s="10" t="s">
        <v>633</v>
      </c>
      <c r="C83" s="11">
        <v>31630</v>
      </c>
      <c r="D83" s="10">
        <f t="shared" si="8"/>
        <v>33</v>
      </c>
      <c r="E83" s="10" t="s">
        <v>680</v>
      </c>
      <c r="F83" s="10" t="s">
        <v>635</v>
      </c>
      <c r="G83" s="12">
        <v>0</v>
      </c>
      <c r="J83" s="21" t="s">
        <v>674</v>
      </c>
    </row>
    <row r="84" spans="1:11" ht="15.75" customHeight="1">
      <c r="A84" s="14" t="s">
        <v>768</v>
      </c>
      <c r="B84" s="10" t="s">
        <v>633</v>
      </c>
      <c r="C84" s="11"/>
      <c r="D84" s="10"/>
      <c r="E84" s="10"/>
      <c r="F84" s="10" t="s">
        <v>635</v>
      </c>
      <c r="G84" s="12">
        <v>113888</v>
      </c>
      <c r="K84" s="21" t="s">
        <v>674</v>
      </c>
    </row>
    <row r="85" spans="1:11" ht="15.75" customHeight="1">
      <c r="A85" s="14" t="s">
        <v>769</v>
      </c>
      <c r="B85" s="10" t="s">
        <v>633</v>
      </c>
      <c r="C85" s="11">
        <v>28975</v>
      </c>
      <c r="D85" s="10">
        <f t="shared" ref="D85:D89" si="9">DATEDIF(C85,$C$121,"Y")</f>
        <v>40</v>
      </c>
      <c r="E85" s="10" t="s">
        <v>682</v>
      </c>
      <c r="F85" s="10" t="s">
        <v>635</v>
      </c>
      <c r="G85" s="12">
        <v>126001</v>
      </c>
    </row>
    <row r="86" spans="1:11" ht="15.75" customHeight="1">
      <c r="A86" s="14" t="s">
        <v>770</v>
      </c>
      <c r="B86" s="10" t="s">
        <v>633</v>
      </c>
      <c r="C86" s="11">
        <v>23401</v>
      </c>
      <c r="D86" s="10">
        <f t="shared" si="9"/>
        <v>55</v>
      </c>
      <c r="E86" s="10" t="s">
        <v>654</v>
      </c>
      <c r="F86" s="10" t="s">
        <v>635</v>
      </c>
      <c r="G86" s="12">
        <f>532885+733156+661796</f>
        <v>1927837</v>
      </c>
      <c r="J86" s="21" t="s">
        <v>674</v>
      </c>
    </row>
    <row r="87" spans="1:11" ht="15.75" customHeight="1">
      <c r="A87" s="14" t="s">
        <v>771</v>
      </c>
      <c r="B87" s="10" t="s">
        <v>633</v>
      </c>
      <c r="C87" s="11">
        <v>31878</v>
      </c>
      <c r="D87" s="10">
        <f t="shared" si="9"/>
        <v>32</v>
      </c>
      <c r="E87" s="10" t="s">
        <v>772</v>
      </c>
      <c r="F87" s="10" t="s">
        <v>635</v>
      </c>
      <c r="G87" s="12">
        <v>377504</v>
      </c>
      <c r="K87" s="21" t="s">
        <v>674</v>
      </c>
    </row>
    <row r="88" spans="1:11" ht="15.75" customHeight="1">
      <c r="A88" s="22" t="s">
        <v>773</v>
      </c>
      <c r="B88" s="10" t="s">
        <v>633</v>
      </c>
      <c r="C88" s="11">
        <v>31643</v>
      </c>
      <c r="D88" s="10">
        <f t="shared" si="9"/>
        <v>33</v>
      </c>
      <c r="E88" s="10" t="s">
        <v>645</v>
      </c>
      <c r="F88" s="10" t="s">
        <v>648</v>
      </c>
      <c r="G88" s="12">
        <v>0</v>
      </c>
      <c r="J88" s="21" t="s">
        <v>674</v>
      </c>
    </row>
    <row r="89" spans="1:11" ht="15.75" customHeight="1">
      <c r="A89" s="15" t="s">
        <v>774</v>
      </c>
      <c r="B89" s="10" t="s">
        <v>633</v>
      </c>
      <c r="C89" s="11">
        <v>32438</v>
      </c>
      <c r="D89" s="10">
        <f t="shared" si="9"/>
        <v>31</v>
      </c>
      <c r="E89" s="10" t="s">
        <v>694</v>
      </c>
      <c r="F89" s="10" t="s">
        <v>635</v>
      </c>
      <c r="G89" s="12">
        <v>119890</v>
      </c>
      <c r="J89" s="21" t="s">
        <v>674</v>
      </c>
    </row>
    <row r="90" spans="1:11" ht="15.75" customHeight="1">
      <c r="A90" s="15" t="s">
        <v>775</v>
      </c>
      <c r="B90" s="10" t="s">
        <v>641</v>
      </c>
      <c r="C90" s="11"/>
      <c r="D90" s="10"/>
      <c r="E90" s="10" t="s">
        <v>642</v>
      </c>
      <c r="F90" s="10"/>
      <c r="G90" s="12"/>
      <c r="J90" s="21"/>
    </row>
    <row r="91" spans="1:11" ht="15.75" customHeight="1">
      <c r="A91" s="20" t="s">
        <v>776</v>
      </c>
      <c r="B91" s="10" t="s">
        <v>633</v>
      </c>
      <c r="C91" s="11">
        <v>31537</v>
      </c>
      <c r="D91" s="10">
        <f t="shared" ref="D91:D118" si="10">DATEDIF(C91,$C$121,"Y")</f>
        <v>33</v>
      </c>
      <c r="E91" s="10" t="s">
        <v>654</v>
      </c>
      <c r="F91" s="10"/>
      <c r="G91" s="12">
        <v>403425.55</v>
      </c>
      <c r="J91" s="21" t="s">
        <v>674</v>
      </c>
    </row>
    <row r="92" spans="1:11" ht="15.75" customHeight="1">
      <c r="A92" s="14" t="s">
        <v>777</v>
      </c>
      <c r="B92" s="10" t="s">
        <v>633</v>
      </c>
      <c r="C92" s="11">
        <v>32791</v>
      </c>
      <c r="D92" s="10">
        <f t="shared" si="10"/>
        <v>30</v>
      </c>
      <c r="E92" s="10" t="s">
        <v>680</v>
      </c>
      <c r="F92" s="10" t="s">
        <v>635</v>
      </c>
      <c r="G92" s="12">
        <v>153385</v>
      </c>
      <c r="J92" s="21" t="s">
        <v>674</v>
      </c>
    </row>
    <row r="93" spans="1:11" ht="15.75" customHeight="1">
      <c r="A93" s="15" t="s">
        <v>778</v>
      </c>
      <c r="B93" s="10" t="s">
        <v>641</v>
      </c>
      <c r="C93" s="11">
        <v>32384</v>
      </c>
      <c r="D93" s="10">
        <f t="shared" si="10"/>
        <v>31</v>
      </c>
      <c r="E93" s="10" t="s">
        <v>666</v>
      </c>
      <c r="F93" s="10" t="s">
        <v>635</v>
      </c>
      <c r="G93" s="12">
        <v>96201.29</v>
      </c>
      <c r="J93" s="21" t="s">
        <v>674</v>
      </c>
      <c r="K93" s="21" t="s">
        <v>674</v>
      </c>
    </row>
    <row r="94" spans="1:11" ht="15.75" customHeight="1">
      <c r="A94" s="14" t="s">
        <v>779</v>
      </c>
      <c r="B94" s="10" t="s">
        <v>641</v>
      </c>
      <c r="C94" s="11">
        <v>25391</v>
      </c>
      <c r="D94" s="10">
        <f t="shared" si="10"/>
        <v>50</v>
      </c>
      <c r="E94" s="10" t="s">
        <v>663</v>
      </c>
      <c r="F94" s="10" t="s">
        <v>635</v>
      </c>
      <c r="G94" s="12">
        <v>59844</v>
      </c>
      <c r="J94" s="21" t="s">
        <v>674</v>
      </c>
    </row>
    <row r="95" spans="1:11" ht="15.75" customHeight="1">
      <c r="A95" s="14" t="s">
        <v>780</v>
      </c>
      <c r="B95" s="10" t="s">
        <v>633</v>
      </c>
      <c r="C95" s="11">
        <v>24203</v>
      </c>
      <c r="D95" s="10">
        <f t="shared" si="10"/>
        <v>53</v>
      </c>
      <c r="E95" s="10" t="s">
        <v>654</v>
      </c>
      <c r="F95" s="10" t="s">
        <v>635</v>
      </c>
      <c r="G95" s="12">
        <v>308040</v>
      </c>
    </row>
    <row r="96" spans="1:11" ht="15.75" customHeight="1">
      <c r="A96" s="14" t="s">
        <v>781</v>
      </c>
      <c r="B96" s="10" t="s">
        <v>633</v>
      </c>
      <c r="C96" s="11">
        <v>20888</v>
      </c>
      <c r="D96" s="10">
        <f t="shared" si="10"/>
        <v>62</v>
      </c>
      <c r="E96" s="10" t="s">
        <v>634</v>
      </c>
      <c r="F96" s="10" t="s">
        <v>635</v>
      </c>
      <c r="G96" s="12">
        <v>1017197</v>
      </c>
      <c r="J96" s="21" t="s">
        <v>674</v>
      </c>
      <c r="K96" s="21" t="s">
        <v>674</v>
      </c>
    </row>
    <row r="97" spans="1:13" ht="15.75" customHeight="1">
      <c r="A97" s="15" t="s">
        <v>782</v>
      </c>
      <c r="B97" s="10" t="s">
        <v>633</v>
      </c>
      <c r="C97" s="11">
        <v>21799</v>
      </c>
      <c r="D97" s="10">
        <f t="shared" si="10"/>
        <v>60</v>
      </c>
      <c r="E97" s="10" t="s">
        <v>682</v>
      </c>
      <c r="F97" s="10" t="s">
        <v>635</v>
      </c>
      <c r="G97" s="12">
        <v>71421.48</v>
      </c>
    </row>
    <row r="98" spans="1:13" ht="15.75" customHeight="1">
      <c r="A98" s="14" t="s">
        <v>783</v>
      </c>
      <c r="B98" s="10" t="s">
        <v>641</v>
      </c>
      <c r="C98" s="11">
        <v>21043</v>
      </c>
      <c r="D98" s="10">
        <f t="shared" si="10"/>
        <v>62</v>
      </c>
      <c r="E98" s="10" t="s">
        <v>730</v>
      </c>
      <c r="F98" s="10" t="s">
        <v>635</v>
      </c>
      <c r="G98" s="12">
        <v>67969</v>
      </c>
      <c r="J98" s="21" t="s">
        <v>674</v>
      </c>
    </row>
    <row r="99" spans="1:13" ht="15.75" customHeight="1">
      <c r="A99" s="14" t="s">
        <v>784</v>
      </c>
      <c r="B99" s="10" t="s">
        <v>633</v>
      </c>
      <c r="C99" s="11">
        <v>29136</v>
      </c>
      <c r="D99" s="10">
        <f t="shared" si="10"/>
        <v>40</v>
      </c>
      <c r="E99" s="10" t="s">
        <v>634</v>
      </c>
      <c r="F99" s="10" t="s">
        <v>635</v>
      </c>
      <c r="G99" s="12">
        <v>62757</v>
      </c>
    </row>
    <row r="100" spans="1:13" ht="15.75" customHeight="1">
      <c r="A100" s="14" t="s">
        <v>785</v>
      </c>
      <c r="B100" s="10" t="s">
        <v>633</v>
      </c>
      <c r="C100" s="11">
        <v>32029</v>
      </c>
      <c r="D100" s="10">
        <f t="shared" si="10"/>
        <v>32</v>
      </c>
      <c r="E100" s="10" t="s">
        <v>634</v>
      </c>
      <c r="F100" s="10" t="s">
        <v>635</v>
      </c>
      <c r="G100" s="12">
        <f>133946+176866</f>
        <v>310812</v>
      </c>
      <c r="J100" s="21" t="s">
        <v>674</v>
      </c>
    </row>
    <row r="101" spans="1:13" ht="15.75" customHeight="1">
      <c r="A101" s="14" t="s">
        <v>786</v>
      </c>
      <c r="B101" s="10" t="s">
        <v>633</v>
      </c>
      <c r="C101" s="11">
        <v>24485</v>
      </c>
      <c r="D101" s="10">
        <f t="shared" si="10"/>
        <v>52</v>
      </c>
      <c r="E101" s="10" t="s">
        <v>680</v>
      </c>
      <c r="F101" s="10" t="s">
        <v>635</v>
      </c>
      <c r="G101" s="12">
        <v>60784</v>
      </c>
    </row>
    <row r="102" spans="1:13" ht="15.75" customHeight="1">
      <c r="A102" s="20" t="s">
        <v>787</v>
      </c>
      <c r="B102" s="10" t="s">
        <v>641</v>
      </c>
      <c r="C102" s="11">
        <v>21939</v>
      </c>
      <c r="D102" s="10">
        <f t="shared" si="10"/>
        <v>59</v>
      </c>
      <c r="E102" s="10" t="s">
        <v>742</v>
      </c>
      <c r="F102" s="10"/>
      <c r="G102" s="12">
        <v>198476.5</v>
      </c>
    </row>
    <row r="103" spans="1:13" ht="15.75" customHeight="1">
      <c r="A103" s="20" t="s">
        <v>788</v>
      </c>
      <c r="B103" s="10" t="s">
        <v>633</v>
      </c>
      <c r="C103" s="11">
        <v>27955</v>
      </c>
      <c r="D103" s="10">
        <f t="shared" si="10"/>
        <v>43</v>
      </c>
      <c r="E103" s="10" t="s">
        <v>687</v>
      </c>
      <c r="F103" s="10" t="s">
        <v>635</v>
      </c>
      <c r="G103" s="12">
        <v>150629.56</v>
      </c>
      <c r="M103" s="21" t="s">
        <v>674</v>
      </c>
    </row>
    <row r="104" spans="1:13" ht="15.75" customHeight="1">
      <c r="A104" s="14" t="s">
        <v>789</v>
      </c>
      <c r="B104" s="10" t="s">
        <v>641</v>
      </c>
      <c r="C104" s="11">
        <v>28704</v>
      </c>
      <c r="D104" s="10">
        <f t="shared" si="10"/>
        <v>41</v>
      </c>
      <c r="E104" s="10" t="s">
        <v>645</v>
      </c>
      <c r="F104" s="10" t="s">
        <v>709</v>
      </c>
      <c r="G104" s="12">
        <v>100118.47</v>
      </c>
      <c r="H104" s="21"/>
      <c r="I104" s="21"/>
    </row>
    <row r="105" spans="1:13" ht="15.75" customHeight="1">
      <c r="A105" s="20" t="s">
        <v>790</v>
      </c>
      <c r="B105" s="10" t="s">
        <v>641</v>
      </c>
      <c r="C105" s="11">
        <v>29520</v>
      </c>
      <c r="D105" s="10">
        <f t="shared" si="10"/>
        <v>39</v>
      </c>
      <c r="E105" s="10" t="s">
        <v>791</v>
      </c>
      <c r="F105" s="10"/>
      <c r="G105" s="12">
        <v>354808.07</v>
      </c>
      <c r="L105" s="21" t="s">
        <v>674</v>
      </c>
    </row>
    <row r="106" spans="1:13" ht="15.75" customHeight="1">
      <c r="A106" s="15" t="s">
        <v>792</v>
      </c>
      <c r="B106" s="10" t="s">
        <v>641</v>
      </c>
      <c r="C106" s="11">
        <v>29544</v>
      </c>
      <c r="D106" s="10">
        <f t="shared" si="10"/>
        <v>39</v>
      </c>
      <c r="E106" s="10" t="s">
        <v>757</v>
      </c>
      <c r="F106" s="10" t="s">
        <v>635</v>
      </c>
      <c r="G106" s="12">
        <v>103186</v>
      </c>
      <c r="K106" s="21" t="s">
        <v>674</v>
      </c>
    </row>
    <row r="107" spans="1:13" ht="15.75" customHeight="1">
      <c r="A107" s="14" t="s">
        <v>793</v>
      </c>
      <c r="B107" s="10" t="s">
        <v>641</v>
      </c>
      <c r="C107" s="11">
        <v>21261</v>
      </c>
      <c r="D107" s="10">
        <f t="shared" si="10"/>
        <v>61</v>
      </c>
      <c r="E107" s="10" t="s">
        <v>794</v>
      </c>
      <c r="F107" s="10" t="s">
        <v>670</v>
      </c>
      <c r="G107" s="12">
        <v>210352</v>
      </c>
      <c r="J107" s="21" t="s">
        <v>674</v>
      </c>
    </row>
    <row r="108" spans="1:13" ht="15.75" customHeight="1">
      <c r="A108" s="20" t="s">
        <v>795</v>
      </c>
      <c r="B108" s="10" t="s">
        <v>633</v>
      </c>
      <c r="C108" s="11">
        <v>21704</v>
      </c>
      <c r="D108" s="10">
        <f t="shared" si="10"/>
        <v>60</v>
      </c>
      <c r="E108" s="10" t="s">
        <v>680</v>
      </c>
      <c r="F108" s="10"/>
      <c r="G108" s="12">
        <v>518146.65</v>
      </c>
      <c r="K108" s="21" t="s">
        <v>674</v>
      </c>
    </row>
    <row r="109" spans="1:13" ht="15.75" customHeight="1">
      <c r="A109" s="15" t="s">
        <v>796</v>
      </c>
      <c r="B109" s="10" t="s">
        <v>641</v>
      </c>
      <c r="C109" s="11">
        <v>21926</v>
      </c>
      <c r="D109" s="10">
        <f t="shared" si="10"/>
        <v>59</v>
      </c>
      <c r="E109" s="10" t="s">
        <v>701</v>
      </c>
      <c r="F109" s="10" t="s">
        <v>635</v>
      </c>
      <c r="G109" s="12">
        <v>168315</v>
      </c>
    </row>
    <row r="110" spans="1:13" ht="15.75" customHeight="1">
      <c r="A110" s="14" t="s">
        <v>797</v>
      </c>
      <c r="B110" s="10" t="s">
        <v>641</v>
      </c>
      <c r="C110" s="11">
        <v>31805</v>
      </c>
      <c r="D110" s="10">
        <f t="shared" si="10"/>
        <v>32</v>
      </c>
      <c r="E110" s="10" t="s">
        <v>798</v>
      </c>
      <c r="F110" s="10" t="s">
        <v>635</v>
      </c>
      <c r="G110" s="12">
        <v>123497</v>
      </c>
    </row>
    <row r="111" spans="1:13" ht="15.75" customHeight="1">
      <c r="A111" s="14" t="s">
        <v>799</v>
      </c>
      <c r="B111" s="10" t="s">
        <v>641</v>
      </c>
      <c r="C111" s="11">
        <v>32080</v>
      </c>
      <c r="D111" s="10">
        <f t="shared" si="10"/>
        <v>32</v>
      </c>
      <c r="E111" s="10" t="s">
        <v>663</v>
      </c>
      <c r="F111" s="10" t="s">
        <v>635</v>
      </c>
      <c r="G111" s="12">
        <v>135476</v>
      </c>
    </row>
    <row r="112" spans="1:13" ht="15.75" customHeight="1">
      <c r="A112" s="14" t="s">
        <v>800</v>
      </c>
      <c r="B112" s="10" t="s">
        <v>641</v>
      </c>
      <c r="C112" s="11">
        <v>32700</v>
      </c>
      <c r="D112" s="10">
        <f t="shared" si="10"/>
        <v>30</v>
      </c>
      <c r="E112" s="10" t="s">
        <v>801</v>
      </c>
      <c r="F112" s="10" t="s">
        <v>635</v>
      </c>
      <c r="G112" s="12">
        <v>5250</v>
      </c>
      <c r="J112" s="21" t="s">
        <v>674</v>
      </c>
    </row>
    <row r="113" spans="1:12" ht="15.75" customHeight="1">
      <c r="A113" s="14" t="s">
        <v>802</v>
      </c>
      <c r="B113" s="10" t="s">
        <v>633</v>
      </c>
      <c r="C113" s="11">
        <v>29491</v>
      </c>
      <c r="D113" s="10">
        <f t="shared" si="10"/>
        <v>39</v>
      </c>
      <c r="E113" s="10"/>
      <c r="F113" s="10" t="s">
        <v>635</v>
      </c>
      <c r="G113" s="12">
        <v>61457</v>
      </c>
      <c r="J113" s="21" t="s">
        <v>674</v>
      </c>
    </row>
    <row r="114" spans="1:12" ht="15.75" customHeight="1">
      <c r="A114" s="22" t="s">
        <v>803</v>
      </c>
      <c r="B114" s="10" t="s">
        <v>633</v>
      </c>
      <c r="C114" s="11">
        <v>20383</v>
      </c>
      <c r="D114" s="10">
        <f t="shared" si="10"/>
        <v>64</v>
      </c>
      <c r="E114" s="10" t="s">
        <v>804</v>
      </c>
      <c r="F114" s="10" t="s">
        <v>635</v>
      </c>
      <c r="G114" s="12">
        <v>185472</v>
      </c>
      <c r="J114" s="21" t="s">
        <v>674</v>
      </c>
      <c r="K114" s="21" t="s">
        <v>674</v>
      </c>
    </row>
    <row r="115" spans="1:12" ht="15.75" customHeight="1">
      <c r="A115" s="15" t="s">
        <v>805</v>
      </c>
      <c r="B115" s="10" t="s">
        <v>633</v>
      </c>
      <c r="C115" s="11">
        <v>36924</v>
      </c>
      <c r="D115" s="10">
        <f t="shared" si="10"/>
        <v>18</v>
      </c>
      <c r="E115" s="10" t="s">
        <v>654</v>
      </c>
      <c r="F115" s="10" t="s">
        <v>635</v>
      </c>
      <c r="G115" s="12">
        <v>238256</v>
      </c>
      <c r="L115" s="21" t="s">
        <v>674</v>
      </c>
    </row>
    <row r="116" spans="1:12" ht="15.75" customHeight="1">
      <c r="A116" s="14" t="s">
        <v>806</v>
      </c>
      <c r="B116" s="10" t="s">
        <v>641</v>
      </c>
      <c r="C116" s="11">
        <v>21111</v>
      </c>
      <c r="D116" s="10">
        <f t="shared" si="10"/>
        <v>62</v>
      </c>
      <c r="E116" s="10" t="s">
        <v>701</v>
      </c>
      <c r="F116" s="10" t="s">
        <v>635</v>
      </c>
      <c r="G116" s="12">
        <v>612317</v>
      </c>
    </row>
    <row r="117" spans="1:12" ht="15.75" customHeight="1">
      <c r="A117" s="14" t="s">
        <v>807</v>
      </c>
      <c r="B117" s="10" t="s">
        <v>633</v>
      </c>
      <c r="C117" s="11">
        <v>24865</v>
      </c>
      <c r="D117" s="10">
        <f t="shared" si="10"/>
        <v>51</v>
      </c>
      <c r="E117" s="10" t="s">
        <v>645</v>
      </c>
      <c r="F117" s="10" t="s">
        <v>635</v>
      </c>
      <c r="G117" s="12">
        <v>278735</v>
      </c>
    </row>
    <row r="118" spans="1:12" ht="15.75" customHeight="1">
      <c r="A118" s="20" t="s">
        <v>808</v>
      </c>
      <c r="B118" s="10" t="s">
        <v>633</v>
      </c>
      <c r="C118" s="11">
        <v>28041</v>
      </c>
      <c r="D118" s="10">
        <f t="shared" si="10"/>
        <v>43</v>
      </c>
      <c r="E118" s="10" t="s">
        <v>809</v>
      </c>
      <c r="F118" s="10"/>
      <c r="G118" s="12">
        <v>104765.52</v>
      </c>
    </row>
    <row r="119" spans="1:12" ht="15.75" customHeight="1">
      <c r="B119" s="27"/>
      <c r="C119" s="27" t="s">
        <v>810</v>
      </c>
      <c r="D119" s="27"/>
      <c r="E119" s="27" t="s">
        <v>810</v>
      </c>
      <c r="F119" s="27"/>
      <c r="G119" s="27" t="s">
        <v>636</v>
      </c>
    </row>
    <row r="120" spans="1:12" ht="15.75" customHeight="1">
      <c r="B120" s="27"/>
      <c r="C120" s="27">
        <f>COUNTIF(C2:C118,"")</f>
        <v>5</v>
      </c>
      <c r="D120" s="27"/>
      <c r="E120" s="27">
        <f>COUNTIF(E2:E118,"")</f>
        <v>5</v>
      </c>
      <c r="F120" s="27"/>
      <c r="G120" s="28">
        <f>SUM(G2:G119)</f>
        <v>32577145.169999994</v>
      </c>
      <c r="J120" s="21" t="s">
        <v>674</v>
      </c>
    </row>
    <row r="121" spans="1:12" ht="15.75" customHeight="1">
      <c r="B121" s="27"/>
      <c r="C121" s="29">
        <v>43833</v>
      </c>
      <c r="D121" s="27"/>
      <c r="E121" s="27"/>
      <c r="F121" s="27"/>
    </row>
    <row r="122" spans="1:12" ht="15.75" customHeight="1">
      <c r="B122" s="27"/>
      <c r="C122" s="27"/>
      <c r="D122" s="27"/>
      <c r="E122" s="27"/>
      <c r="F122" s="27"/>
    </row>
    <row r="123" spans="1:12" ht="15.75" customHeight="1">
      <c r="B123" s="27"/>
      <c r="C123" s="27"/>
      <c r="D123" s="27"/>
      <c r="E123" s="27"/>
      <c r="F123" s="27"/>
    </row>
    <row r="124" spans="1:12" ht="15.75" customHeight="1">
      <c r="B124" s="27"/>
      <c r="C124" s="27"/>
      <c r="D124" s="27"/>
      <c r="E124" s="27"/>
      <c r="F124" s="27"/>
    </row>
    <row r="125" spans="1:12" ht="15.75" customHeight="1">
      <c r="A125" s="15" t="s">
        <v>811</v>
      </c>
      <c r="B125" s="17">
        <v>32622060.02</v>
      </c>
      <c r="C125" s="17">
        <v>799508.4</v>
      </c>
      <c r="D125" s="17">
        <v>7162789.7199999997</v>
      </c>
      <c r="E125" s="30">
        <f t="shared" ref="E125:E127" si="11">SUM(B125:D125)</f>
        <v>40584358.140000001</v>
      </c>
      <c r="F125" s="27"/>
    </row>
    <row r="126" spans="1:12" ht="15.75" customHeight="1">
      <c r="A126" s="15" t="s">
        <v>812</v>
      </c>
      <c r="B126" s="17">
        <v>35079752.100000001</v>
      </c>
      <c r="C126" s="17">
        <v>1206943.1499999999</v>
      </c>
      <c r="D126" s="17">
        <v>7539307.3899999997</v>
      </c>
      <c r="E126" s="30">
        <f t="shared" si="11"/>
        <v>43826002.640000001</v>
      </c>
      <c r="F126" s="27"/>
    </row>
    <row r="127" spans="1:12" ht="15.75" customHeight="1">
      <c r="A127" s="15" t="s">
        <v>813</v>
      </c>
      <c r="B127" s="17">
        <v>32362436.780000001</v>
      </c>
      <c r="C127" s="17">
        <v>1197314.5900000001</v>
      </c>
      <c r="D127" s="17">
        <v>6426195.5899999999</v>
      </c>
      <c r="E127" s="30">
        <f t="shared" si="11"/>
        <v>39985946.960000008</v>
      </c>
      <c r="F127" s="27"/>
    </row>
    <row r="128" spans="1:12" ht="15.75" customHeight="1">
      <c r="B128" s="27"/>
      <c r="C128" s="27"/>
      <c r="D128" s="27"/>
      <c r="E128" s="27"/>
      <c r="F128" s="27"/>
    </row>
    <row r="129" spans="2:6" ht="15.75" customHeight="1">
      <c r="B129" s="27"/>
      <c r="C129" s="27"/>
      <c r="D129" s="27"/>
      <c r="E129" s="27"/>
      <c r="F129" s="27"/>
    </row>
    <row r="130" spans="2:6" ht="15.75" customHeight="1">
      <c r="B130" s="27"/>
      <c r="C130" s="27"/>
      <c r="D130" s="27"/>
      <c r="E130" s="27"/>
      <c r="F130" s="27"/>
    </row>
    <row r="131" spans="2:6" ht="15.75" customHeight="1">
      <c r="B131" s="27"/>
      <c r="C131" s="27"/>
      <c r="D131" s="27"/>
      <c r="E131" s="27"/>
      <c r="F131" s="27"/>
    </row>
    <row r="132" spans="2:6" ht="15.75" customHeight="1">
      <c r="B132" s="27"/>
      <c r="C132" s="27"/>
      <c r="D132" s="27"/>
      <c r="E132" s="27"/>
      <c r="F132" s="27"/>
    </row>
    <row r="133" spans="2:6" ht="15.75" customHeight="1">
      <c r="B133" s="27"/>
      <c r="C133" s="27"/>
      <c r="D133" s="27"/>
      <c r="E133" s="27"/>
      <c r="F133" s="27"/>
    </row>
    <row r="134" spans="2:6" ht="15.75" customHeight="1">
      <c r="B134" s="27"/>
      <c r="C134" s="27"/>
      <c r="D134" s="27"/>
      <c r="E134" s="27"/>
      <c r="F134" s="27"/>
    </row>
    <row r="135" spans="2:6" ht="15.75" customHeight="1">
      <c r="B135" s="27"/>
      <c r="C135" s="27"/>
      <c r="D135" s="27"/>
      <c r="E135" s="27"/>
      <c r="F135" s="27"/>
    </row>
    <row r="136" spans="2:6" ht="15.75" customHeight="1">
      <c r="B136" s="27"/>
      <c r="C136" s="27"/>
      <c r="D136" s="27"/>
      <c r="E136" s="27"/>
      <c r="F136" s="27"/>
    </row>
    <row r="137" spans="2:6" ht="15.75" customHeight="1">
      <c r="B137" s="27"/>
      <c r="C137" s="27"/>
      <c r="D137" s="27"/>
      <c r="E137" s="27"/>
      <c r="F137" s="27"/>
    </row>
    <row r="138" spans="2:6" ht="15.75" customHeight="1">
      <c r="B138" s="27"/>
      <c r="C138" s="27"/>
      <c r="D138" s="27"/>
      <c r="E138" s="27"/>
      <c r="F138" s="27"/>
    </row>
    <row r="139" spans="2:6" ht="15.75" customHeight="1">
      <c r="B139" s="27"/>
      <c r="C139" s="27"/>
      <c r="D139" s="27"/>
      <c r="E139" s="27"/>
      <c r="F139" s="27"/>
    </row>
    <row r="140" spans="2:6" ht="15.75" customHeight="1">
      <c r="B140" s="27"/>
      <c r="C140" s="27"/>
      <c r="D140" s="27"/>
      <c r="E140" s="27"/>
      <c r="F140" s="27"/>
    </row>
    <row r="141" spans="2:6" ht="15.75" customHeight="1">
      <c r="B141" s="27"/>
      <c r="C141" s="27"/>
      <c r="D141" s="27"/>
      <c r="E141" s="27"/>
      <c r="F141" s="27"/>
    </row>
    <row r="142" spans="2:6" ht="15.75" customHeight="1">
      <c r="B142" s="27"/>
      <c r="C142" s="27"/>
      <c r="D142" s="27"/>
      <c r="E142" s="27"/>
      <c r="F142" s="27"/>
    </row>
    <row r="143" spans="2:6" ht="15.75" customHeight="1">
      <c r="B143" s="27"/>
      <c r="C143" s="27"/>
      <c r="D143" s="27"/>
      <c r="E143" s="27"/>
      <c r="F143" s="27"/>
    </row>
    <row r="144" spans="2:6" ht="15.75" customHeight="1">
      <c r="B144" s="27"/>
      <c r="C144" s="27"/>
      <c r="D144" s="27"/>
      <c r="E144" s="27"/>
      <c r="F144" s="27"/>
    </row>
    <row r="145" spans="2:6" ht="15.75" customHeight="1">
      <c r="B145" s="27"/>
      <c r="C145" s="27"/>
      <c r="D145" s="27"/>
      <c r="E145" s="27"/>
      <c r="F145" s="27"/>
    </row>
    <row r="146" spans="2:6" ht="15.75" customHeight="1">
      <c r="B146" s="27"/>
      <c r="C146" s="27"/>
      <c r="D146" s="27"/>
      <c r="E146" s="27"/>
      <c r="F146" s="27"/>
    </row>
    <row r="147" spans="2:6" ht="15.75" customHeight="1">
      <c r="B147" s="27"/>
      <c r="C147" s="27"/>
      <c r="D147" s="27"/>
      <c r="E147" s="27"/>
      <c r="F147" s="27"/>
    </row>
    <row r="148" spans="2:6" ht="15.75" customHeight="1">
      <c r="B148" s="27"/>
      <c r="C148" s="27"/>
      <c r="D148" s="27"/>
      <c r="E148" s="27"/>
      <c r="F148" s="27"/>
    </row>
    <row r="149" spans="2:6" ht="15.75" customHeight="1">
      <c r="B149" s="27"/>
      <c r="C149" s="27"/>
      <c r="D149" s="27"/>
      <c r="E149" s="27"/>
      <c r="F149" s="27"/>
    </row>
    <row r="150" spans="2:6" ht="15.75" customHeight="1">
      <c r="B150" s="27"/>
      <c r="C150" s="27"/>
      <c r="D150" s="27"/>
      <c r="E150" s="27"/>
      <c r="F150" s="27"/>
    </row>
    <row r="151" spans="2:6" ht="15.75" customHeight="1">
      <c r="B151" s="27"/>
      <c r="C151" s="27"/>
      <c r="D151" s="27"/>
      <c r="E151" s="27"/>
      <c r="F151" s="27"/>
    </row>
    <row r="152" spans="2:6" ht="15.75" customHeight="1">
      <c r="B152" s="27"/>
      <c r="C152" s="27"/>
      <c r="D152" s="27"/>
      <c r="E152" s="27"/>
      <c r="F152" s="27"/>
    </row>
    <row r="153" spans="2:6" ht="15.75" customHeight="1">
      <c r="B153" s="27"/>
      <c r="C153" s="27"/>
      <c r="D153" s="27"/>
      <c r="E153" s="27"/>
      <c r="F153" s="27"/>
    </row>
    <row r="154" spans="2:6" ht="15.75" customHeight="1">
      <c r="B154" s="27"/>
      <c r="C154" s="27"/>
      <c r="D154" s="27"/>
      <c r="E154" s="27"/>
      <c r="F154" s="27"/>
    </row>
    <row r="155" spans="2:6" ht="15.75" customHeight="1">
      <c r="B155" s="27"/>
      <c r="C155" s="27"/>
      <c r="D155" s="27"/>
      <c r="E155" s="27"/>
      <c r="F155" s="27"/>
    </row>
    <row r="156" spans="2:6" ht="15.75" customHeight="1">
      <c r="B156" s="27"/>
      <c r="C156" s="27"/>
      <c r="D156" s="27"/>
      <c r="E156" s="27"/>
      <c r="F156" s="27"/>
    </row>
    <row r="157" spans="2:6" ht="15.75" customHeight="1">
      <c r="B157" s="27"/>
      <c r="C157" s="27"/>
      <c r="D157" s="27"/>
      <c r="E157" s="27"/>
      <c r="F157" s="27"/>
    </row>
    <row r="158" spans="2:6" ht="15.75" customHeight="1">
      <c r="B158" s="27"/>
      <c r="C158" s="27"/>
      <c r="D158" s="27"/>
      <c r="E158" s="27"/>
      <c r="F158" s="27"/>
    </row>
    <row r="159" spans="2:6" ht="15.75" customHeight="1">
      <c r="B159" s="27"/>
      <c r="C159" s="27"/>
      <c r="D159" s="27"/>
      <c r="E159" s="27"/>
      <c r="F159" s="27"/>
    </row>
    <row r="160" spans="2:6" ht="15.75" customHeight="1">
      <c r="B160" s="27"/>
      <c r="C160" s="27"/>
      <c r="D160" s="27"/>
      <c r="E160" s="27"/>
      <c r="F160" s="27"/>
    </row>
    <row r="161" spans="2:6" ht="15.75" customHeight="1">
      <c r="B161" s="27"/>
      <c r="C161" s="27"/>
      <c r="D161" s="27"/>
      <c r="E161" s="27"/>
      <c r="F161" s="27"/>
    </row>
    <row r="162" spans="2:6" ht="15.75" customHeight="1">
      <c r="B162" s="27"/>
      <c r="C162" s="27"/>
      <c r="D162" s="27"/>
      <c r="E162" s="27"/>
      <c r="F162" s="27"/>
    </row>
    <row r="163" spans="2:6" ht="15.75" customHeight="1">
      <c r="B163" s="27"/>
      <c r="C163" s="27"/>
      <c r="D163" s="27"/>
      <c r="E163" s="27"/>
      <c r="F163" s="27"/>
    </row>
    <row r="164" spans="2:6" ht="15.75" customHeight="1">
      <c r="B164" s="27"/>
      <c r="C164" s="27"/>
      <c r="D164" s="27"/>
      <c r="E164" s="27"/>
      <c r="F164" s="27"/>
    </row>
    <row r="165" spans="2:6" ht="15.75" customHeight="1">
      <c r="B165" s="27"/>
      <c r="C165" s="27"/>
      <c r="D165" s="27"/>
      <c r="E165" s="27"/>
      <c r="F165" s="27"/>
    </row>
    <row r="166" spans="2:6" ht="15.75" customHeight="1">
      <c r="B166" s="27"/>
      <c r="C166" s="27"/>
      <c r="D166" s="27"/>
      <c r="E166" s="27"/>
      <c r="F166" s="27"/>
    </row>
    <row r="167" spans="2:6" ht="15.75" customHeight="1">
      <c r="B167" s="27"/>
      <c r="C167" s="27"/>
      <c r="D167" s="27"/>
      <c r="E167" s="27"/>
      <c r="F167" s="27"/>
    </row>
    <row r="168" spans="2:6" ht="15.75" customHeight="1">
      <c r="B168" s="27"/>
      <c r="C168" s="27"/>
      <c r="D168" s="27"/>
      <c r="E168" s="27"/>
      <c r="F168" s="27"/>
    </row>
    <row r="169" spans="2:6" ht="15.75" customHeight="1">
      <c r="B169" s="27"/>
      <c r="C169" s="27"/>
      <c r="D169" s="27"/>
      <c r="E169" s="27"/>
      <c r="F169" s="27"/>
    </row>
    <row r="170" spans="2:6" ht="15.75" customHeight="1">
      <c r="B170" s="27"/>
      <c r="C170" s="27"/>
      <c r="D170" s="27"/>
      <c r="E170" s="27"/>
      <c r="F170" s="27"/>
    </row>
    <row r="171" spans="2:6" ht="15.75" customHeight="1">
      <c r="B171" s="27"/>
      <c r="C171" s="27"/>
      <c r="D171" s="27"/>
      <c r="E171" s="27"/>
      <c r="F171" s="27"/>
    </row>
    <row r="172" spans="2:6" ht="15.75" customHeight="1">
      <c r="B172" s="27"/>
      <c r="C172" s="27"/>
      <c r="D172" s="27"/>
      <c r="E172" s="27"/>
      <c r="F172" s="27"/>
    </row>
    <row r="173" spans="2:6" ht="15.75" customHeight="1">
      <c r="B173" s="27"/>
      <c r="C173" s="27"/>
      <c r="D173" s="27"/>
      <c r="E173" s="27"/>
      <c r="F173" s="27"/>
    </row>
    <row r="174" spans="2:6" ht="15.75" customHeight="1">
      <c r="B174" s="27"/>
      <c r="C174" s="27"/>
      <c r="D174" s="27"/>
      <c r="E174" s="27"/>
      <c r="F174" s="27"/>
    </row>
    <row r="175" spans="2:6" ht="15.75" customHeight="1">
      <c r="B175" s="27"/>
      <c r="C175" s="27"/>
      <c r="D175" s="27"/>
      <c r="E175" s="27"/>
      <c r="F175" s="27"/>
    </row>
    <row r="176" spans="2:6" ht="15.75" customHeight="1">
      <c r="B176" s="27"/>
      <c r="C176" s="27"/>
      <c r="D176" s="27"/>
      <c r="E176" s="27"/>
      <c r="F176" s="27"/>
    </row>
    <row r="177" spans="2:6" ht="15.75" customHeight="1">
      <c r="B177" s="27"/>
      <c r="C177" s="27"/>
      <c r="D177" s="27"/>
      <c r="E177" s="27"/>
      <c r="F177" s="27"/>
    </row>
    <row r="178" spans="2:6" ht="15.75" customHeight="1">
      <c r="B178" s="27"/>
      <c r="C178" s="27"/>
      <c r="D178" s="27"/>
      <c r="E178" s="27"/>
      <c r="F178" s="27"/>
    </row>
    <row r="179" spans="2:6" ht="15.75" customHeight="1">
      <c r="B179" s="27"/>
      <c r="C179" s="27"/>
      <c r="D179" s="27"/>
      <c r="E179" s="27"/>
      <c r="F179" s="27"/>
    </row>
    <row r="180" spans="2:6" ht="15.75" customHeight="1">
      <c r="B180" s="27"/>
      <c r="C180" s="27"/>
      <c r="D180" s="27"/>
      <c r="E180" s="27"/>
      <c r="F180" s="27"/>
    </row>
    <row r="181" spans="2:6" ht="15.75" customHeight="1">
      <c r="B181" s="27"/>
      <c r="C181" s="27"/>
      <c r="D181" s="27"/>
      <c r="E181" s="27"/>
      <c r="F181" s="27"/>
    </row>
    <row r="182" spans="2:6" ht="15.75" customHeight="1">
      <c r="B182" s="27"/>
      <c r="C182" s="27"/>
      <c r="D182" s="27"/>
      <c r="E182" s="27"/>
      <c r="F182" s="27"/>
    </row>
    <row r="183" spans="2:6" ht="15.75" customHeight="1">
      <c r="B183" s="27"/>
      <c r="C183" s="27"/>
      <c r="D183" s="27"/>
      <c r="E183" s="27"/>
      <c r="F183" s="27"/>
    </row>
    <row r="184" spans="2:6" ht="15.75" customHeight="1">
      <c r="B184" s="27"/>
      <c r="C184" s="27"/>
      <c r="D184" s="27"/>
      <c r="E184" s="27"/>
      <c r="F184" s="27"/>
    </row>
    <row r="185" spans="2:6" ht="15.75" customHeight="1">
      <c r="B185" s="27"/>
      <c r="C185" s="27"/>
      <c r="D185" s="27"/>
      <c r="E185" s="27"/>
      <c r="F185" s="27"/>
    </row>
    <row r="186" spans="2:6" ht="15.75" customHeight="1">
      <c r="B186" s="27"/>
      <c r="C186" s="27"/>
      <c r="D186" s="27"/>
      <c r="E186" s="27"/>
      <c r="F186" s="27"/>
    </row>
    <row r="187" spans="2:6" ht="15.75" customHeight="1">
      <c r="B187" s="27"/>
      <c r="C187" s="27"/>
      <c r="D187" s="27"/>
      <c r="E187" s="27"/>
      <c r="F187" s="27"/>
    </row>
    <row r="188" spans="2:6" ht="15.75" customHeight="1">
      <c r="B188" s="27"/>
      <c r="C188" s="27"/>
      <c r="D188" s="27"/>
      <c r="E188" s="27"/>
      <c r="F188" s="27"/>
    </row>
    <row r="189" spans="2:6" ht="15.75" customHeight="1">
      <c r="B189" s="27"/>
      <c r="C189" s="27"/>
      <c r="D189" s="27"/>
      <c r="E189" s="27"/>
      <c r="F189" s="27"/>
    </row>
    <row r="190" spans="2:6" ht="15.75" customHeight="1">
      <c r="B190" s="27"/>
      <c r="C190" s="27"/>
      <c r="D190" s="27"/>
      <c r="E190" s="27"/>
      <c r="F190" s="27"/>
    </row>
    <row r="191" spans="2:6" ht="15.75" customHeight="1">
      <c r="B191" s="27"/>
      <c r="C191" s="27"/>
      <c r="D191" s="27"/>
      <c r="E191" s="27"/>
      <c r="F191" s="27"/>
    </row>
    <row r="192" spans="2:6" ht="15.75" customHeight="1">
      <c r="B192" s="27"/>
      <c r="C192" s="27"/>
      <c r="D192" s="27"/>
      <c r="E192" s="27"/>
      <c r="F192" s="27"/>
    </row>
    <row r="193" spans="2:6" ht="15.75" customHeight="1">
      <c r="B193" s="27"/>
      <c r="C193" s="27"/>
      <c r="D193" s="27"/>
      <c r="E193" s="27"/>
      <c r="F193" s="27"/>
    </row>
    <row r="194" spans="2:6" ht="15.75" customHeight="1">
      <c r="B194" s="27"/>
      <c r="C194" s="27"/>
      <c r="D194" s="27"/>
      <c r="E194" s="27"/>
      <c r="F194" s="27"/>
    </row>
    <row r="195" spans="2:6" ht="15.75" customHeight="1">
      <c r="B195" s="27"/>
      <c r="C195" s="27"/>
      <c r="D195" s="27"/>
      <c r="E195" s="27"/>
      <c r="F195" s="27"/>
    </row>
    <row r="196" spans="2:6" ht="15.75" customHeight="1">
      <c r="B196" s="27"/>
      <c r="C196" s="27"/>
      <c r="D196" s="27"/>
      <c r="E196" s="27"/>
      <c r="F196" s="27"/>
    </row>
    <row r="197" spans="2:6" ht="15.75" customHeight="1">
      <c r="B197" s="27"/>
      <c r="C197" s="27"/>
      <c r="D197" s="27"/>
      <c r="E197" s="27"/>
      <c r="F197" s="27"/>
    </row>
    <row r="198" spans="2:6" ht="15.75" customHeight="1">
      <c r="B198" s="27"/>
      <c r="C198" s="27"/>
      <c r="D198" s="27"/>
      <c r="E198" s="27"/>
      <c r="F198" s="27"/>
    </row>
    <row r="199" spans="2:6" ht="15.75" customHeight="1">
      <c r="B199" s="27"/>
      <c r="C199" s="27"/>
      <c r="D199" s="27"/>
      <c r="E199" s="27"/>
      <c r="F199" s="27"/>
    </row>
    <row r="200" spans="2:6" ht="15.75" customHeight="1">
      <c r="B200" s="27"/>
      <c r="C200" s="27"/>
      <c r="D200" s="27"/>
      <c r="E200" s="27"/>
      <c r="F200" s="27"/>
    </row>
    <row r="201" spans="2:6" ht="15.75" customHeight="1">
      <c r="B201" s="27"/>
      <c r="C201" s="27"/>
      <c r="D201" s="27"/>
      <c r="E201" s="27"/>
      <c r="F201" s="27"/>
    </row>
    <row r="202" spans="2:6" ht="15.75" customHeight="1">
      <c r="B202" s="27"/>
      <c r="C202" s="27"/>
      <c r="D202" s="27"/>
      <c r="E202" s="27"/>
      <c r="F202" s="27"/>
    </row>
    <row r="203" spans="2:6" ht="15.75" customHeight="1">
      <c r="B203" s="27"/>
      <c r="C203" s="27"/>
      <c r="D203" s="27"/>
      <c r="E203" s="27"/>
      <c r="F203" s="27"/>
    </row>
    <row r="204" spans="2:6" ht="15.75" customHeight="1">
      <c r="B204" s="27"/>
      <c r="C204" s="27"/>
      <c r="D204" s="27"/>
      <c r="E204" s="27"/>
      <c r="F204" s="27"/>
    </row>
    <row r="205" spans="2:6" ht="15.75" customHeight="1">
      <c r="B205" s="27"/>
      <c r="C205" s="27"/>
      <c r="D205" s="27"/>
      <c r="E205" s="27"/>
      <c r="F205" s="27"/>
    </row>
    <row r="206" spans="2:6" ht="15.75" customHeight="1">
      <c r="B206" s="27"/>
      <c r="C206" s="27"/>
      <c r="D206" s="27"/>
      <c r="E206" s="27"/>
      <c r="F206" s="27"/>
    </row>
    <row r="207" spans="2:6" ht="15.75" customHeight="1">
      <c r="B207" s="27"/>
      <c r="C207" s="27"/>
      <c r="D207" s="27"/>
      <c r="E207" s="27"/>
      <c r="F207" s="27"/>
    </row>
    <row r="208" spans="2:6" ht="15.75" customHeight="1">
      <c r="B208" s="27"/>
      <c r="C208" s="27"/>
      <c r="D208" s="27"/>
      <c r="E208" s="27"/>
      <c r="F208" s="27"/>
    </row>
    <row r="209" spans="2:6" ht="15.75" customHeight="1">
      <c r="B209" s="27"/>
      <c r="C209" s="27"/>
      <c r="D209" s="27"/>
      <c r="E209" s="27"/>
      <c r="F209" s="27"/>
    </row>
    <row r="210" spans="2:6" ht="15.75" customHeight="1">
      <c r="B210" s="27"/>
      <c r="C210" s="27"/>
      <c r="D210" s="27"/>
      <c r="E210" s="27"/>
      <c r="F210" s="27"/>
    </row>
    <row r="211" spans="2:6" ht="15.75" customHeight="1">
      <c r="B211" s="27"/>
      <c r="C211" s="27"/>
      <c r="D211" s="27"/>
      <c r="E211" s="27"/>
      <c r="F211" s="27"/>
    </row>
    <row r="212" spans="2:6" ht="15.75" customHeight="1">
      <c r="B212" s="27"/>
      <c r="C212" s="27"/>
      <c r="D212" s="27"/>
      <c r="E212" s="27"/>
      <c r="F212" s="27"/>
    </row>
    <row r="213" spans="2:6" ht="15.75" customHeight="1">
      <c r="B213" s="27"/>
      <c r="C213" s="27"/>
      <c r="D213" s="27"/>
      <c r="E213" s="27"/>
      <c r="F213" s="27"/>
    </row>
    <row r="214" spans="2:6" ht="15.75" customHeight="1">
      <c r="B214" s="27"/>
      <c r="C214" s="27"/>
      <c r="D214" s="27"/>
      <c r="E214" s="27"/>
      <c r="F214" s="27"/>
    </row>
    <row r="215" spans="2:6" ht="15.75" customHeight="1">
      <c r="B215" s="27"/>
      <c r="C215" s="27"/>
      <c r="D215" s="27"/>
      <c r="E215" s="27"/>
      <c r="F215" s="27"/>
    </row>
    <row r="216" spans="2:6" ht="15.75" customHeight="1">
      <c r="B216" s="27"/>
      <c r="C216" s="27"/>
      <c r="D216" s="27"/>
      <c r="E216" s="27"/>
      <c r="F216" s="27"/>
    </row>
    <row r="217" spans="2:6" ht="15.75" customHeight="1">
      <c r="B217" s="27"/>
      <c r="C217" s="27"/>
      <c r="D217" s="27"/>
      <c r="E217" s="27"/>
      <c r="F217" s="27"/>
    </row>
    <row r="218" spans="2:6" ht="15.75" customHeight="1">
      <c r="B218" s="27"/>
      <c r="C218" s="27"/>
      <c r="D218" s="27"/>
      <c r="E218" s="27"/>
      <c r="F218" s="27"/>
    </row>
    <row r="219" spans="2:6" ht="15.75" customHeight="1">
      <c r="B219" s="27"/>
      <c r="C219" s="27"/>
      <c r="D219" s="27"/>
      <c r="E219" s="27"/>
      <c r="F219" s="27"/>
    </row>
    <row r="220" spans="2:6" ht="15.75" customHeight="1">
      <c r="B220" s="27"/>
      <c r="C220" s="27"/>
      <c r="D220" s="27"/>
      <c r="E220" s="27"/>
      <c r="F220" s="27"/>
    </row>
    <row r="221" spans="2:6" ht="15.75" customHeight="1">
      <c r="B221" s="27"/>
      <c r="C221" s="27"/>
      <c r="D221" s="27"/>
      <c r="E221" s="27"/>
      <c r="F221" s="27"/>
    </row>
    <row r="222" spans="2:6" ht="15.75" customHeight="1">
      <c r="B222" s="27"/>
      <c r="C222" s="27"/>
      <c r="D222" s="27"/>
      <c r="E222" s="27"/>
      <c r="F222" s="27"/>
    </row>
    <row r="223" spans="2:6" ht="15.75" customHeight="1">
      <c r="B223" s="27"/>
      <c r="C223" s="27"/>
      <c r="D223" s="27"/>
      <c r="E223" s="27"/>
      <c r="F223" s="27"/>
    </row>
    <row r="224" spans="2:6" ht="15.75" customHeight="1">
      <c r="B224" s="27"/>
      <c r="C224" s="27"/>
      <c r="D224" s="27"/>
      <c r="E224" s="27"/>
      <c r="F224" s="27"/>
    </row>
    <row r="225" spans="2:6" ht="15.75" customHeight="1">
      <c r="B225" s="27"/>
      <c r="C225" s="27"/>
      <c r="D225" s="27"/>
      <c r="E225" s="27"/>
      <c r="F225" s="27"/>
    </row>
    <row r="226" spans="2:6" ht="15.75" customHeight="1">
      <c r="B226" s="27"/>
      <c r="C226" s="27"/>
      <c r="D226" s="27"/>
      <c r="E226" s="27"/>
      <c r="F226" s="27"/>
    </row>
    <row r="227" spans="2:6" ht="15.75" customHeight="1">
      <c r="B227" s="27"/>
      <c r="C227" s="27"/>
      <c r="D227" s="27"/>
      <c r="E227" s="27"/>
      <c r="F227" s="27"/>
    </row>
    <row r="228" spans="2:6" ht="15.75" customHeight="1">
      <c r="B228" s="27"/>
      <c r="C228" s="27"/>
      <c r="D228" s="27"/>
      <c r="E228" s="27"/>
      <c r="F228" s="27"/>
    </row>
    <row r="229" spans="2:6" ht="15.75" customHeight="1">
      <c r="B229" s="27"/>
      <c r="C229" s="27"/>
      <c r="D229" s="27"/>
      <c r="E229" s="27"/>
      <c r="F229" s="27"/>
    </row>
    <row r="230" spans="2:6" ht="15.75" customHeight="1">
      <c r="B230" s="27"/>
      <c r="C230" s="27"/>
      <c r="D230" s="27"/>
      <c r="E230" s="27"/>
      <c r="F230" s="27"/>
    </row>
    <row r="231" spans="2:6" ht="15.75" customHeight="1">
      <c r="B231" s="27"/>
      <c r="C231" s="27"/>
      <c r="D231" s="27"/>
      <c r="E231" s="27"/>
      <c r="F231" s="27"/>
    </row>
    <row r="232" spans="2:6" ht="15.75" customHeight="1">
      <c r="B232" s="27"/>
      <c r="C232" s="27"/>
      <c r="D232" s="27"/>
      <c r="E232" s="27"/>
      <c r="F232" s="27"/>
    </row>
    <row r="233" spans="2:6" ht="15.75" customHeight="1">
      <c r="B233" s="27"/>
      <c r="C233" s="27"/>
      <c r="D233" s="27"/>
      <c r="E233" s="27"/>
      <c r="F233" s="27"/>
    </row>
    <row r="234" spans="2:6" ht="15.75" customHeight="1">
      <c r="B234" s="27"/>
      <c r="C234" s="27"/>
      <c r="D234" s="27"/>
      <c r="E234" s="27"/>
      <c r="F234" s="27"/>
    </row>
    <row r="235" spans="2:6" ht="15.75" customHeight="1">
      <c r="B235" s="27"/>
      <c r="C235" s="27"/>
      <c r="D235" s="27"/>
      <c r="E235" s="27"/>
      <c r="F235" s="27"/>
    </row>
    <row r="236" spans="2:6" ht="15.75" customHeight="1">
      <c r="B236" s="27"/>
      <c r="C236" s="27"/>
      <c r="D236" s="27"/>
      <c r="E236" s="27"/>
      <c r="F236" s="27"/>
    </row>
    <row r="237" spans="2:6" ht="15.75" customHeight="1">
      <c r="B237" s="27"/>
      <c r="C237" s="27"/>
      <c r="D237" s="27"/>
      <c r="E237" s="27"/>
      <c r="F237" s="27"/>
    </row>
    <row r="238" spans="2:6" ht="15.75" customHeight="1">
      <c r="B238" s="27"/>
      <c r="C238" s="27"/>
      <c r="D238" s="27"/>
      <c r="E238" s="27"/>
      <c r="F238" s="27"/>
    </row>
    <row r="239" spans="2:6" ht="15.75" customHeight="1">
      <c r="B239" s="27"/>
      <c r="C239" s="27"/>
      <c r="D239" s="27"/>
      <c r="E239" s="27"/>
      <c r="F239" s="27"/>
    </row>
    <row r="240" spans="2:6" ht="15.75" customHeight="1">
      <c r="B240" s="27"/>
      <c r="C240" s="27"/>
      <c r="D240" s="27"/>
      <c r="E240" s="27"/>
      <c r="F240" s="27"/>
    </row>
    <row r="241" spans="2:6" ht="15.75" customHeight="1">
      <c r="B241" s="27"/>
      <c r="C241" s="27"/>
      <c r="D241" s="27"/>
      <c r="E241" s="27"/>
      <c r="F241" s="27"/>
    </row>
    <row r="242" spans="2:6" ht="15.75" customHeight="1">
      <c r="B242" s="27"/>
      <c r="C242" s="27"/>
      <c r="D242" s="27"/>
      <c r="E242" s="27"/>
      <c r="F242" s="27"/>
    </row>
    <row r="243" spans="2:6" ht="15.75" customHeight="1">
      <c r="B243" s="27"/>
      <c r="C243" s="27"/>
      <c r="D243" s="27"/>
      <c r="E243" s="27"/>
      <c r="F243" s="27"/>
    </row>
    <row r="244" spans="2:6" ht="15.75" customHeight="1">
      <c r="B244" s="27"/>
      <c r="C244" s="27"/>
      <c r="D244" s="27"/>
      <c r="E244" s="27"/>
      <c r="F244" s="27"/>
    </row>
    <row r="245" spans="2:6" ht="15.75" customHeight="1">
      <c r="B245" s="27"/>
      <c r="C245" s="27"/>
      <c r="D245" s="27"/>
      <c r="E245" s="27"/>
      <c r="F245" s="27"/>
    </row>
    <row r="246" spans="2:6" ht="15.75" customHeight="1">
      <c r="B246" s="27"/>
      <c r="C246" s="27"/>
      <c r="D246" s="27"/>
      <c r="E246" s="27"/>
      <c r="F246" s="27"/>
    </row>
    <row r="247" spans="2:6" ht="15.75" customHeight="1">
      <c r="B247" s="27"/>
      <c r="C247" s="27"/>
      <c r="D247" s="27"/>
      <c r="E247" s="27"/>
      <c r="F247" s="27"/>
    </row>
    <row r="248" spans="2:6" ht="15.75" customHeight="1">
      <c r="B248" s="27"/>
      <c r="C248" s="27"/>
      <c r="D248" s="27"/>
      <c r="E248" s="27"/>
      <c r="F248" s="27"/>
    </row>
    <row r="249" spans="2:6" ht="15.75" customHeight="1">
      <c r="B249" s="27"/>
      <c r="C249" s="27"/>
      <c r="D249" s="27"/>
      <c r="E249" s="27"/>
      <c r="F249" s="27"/>
    </row>
    <row r="250" spans="2:6" ht="15.75" customHeight="1">
      <c r="B250" s="27"/>
      <c r="C250" s="27"/>
      <c r="D250" s="27"/>
      <c r="E250" s="27"/>
      <c r="F250" s="27"/>
    </row>
    <row r="251" spans="2:6" ht="15.75" customHeight="1">
      <c r="B251" s="27"/>
      <c r="C251" s="27"/>
      <c r="D251" s="27"/>
      <c r="E251" s="27"/>
      <c r="F251" s="27"/>
    </row>
    <row r="252" spans="2:6" ht="15.75" customHeight="1">
      <c r="B252" s="27"/>
      <c r="C252" s="27"/>
      <c r="D252" s="27"/>
      <c r="E252" s="27"/>
      <c r="F252" s="27"/>
    </row>
    <row r="253" spans="2:6" ht="15.75" customHeight="1">
      <c r="B253" s="27"/>
      <c r="C253" s="27"/>
      <c r="D253" s="27"/>
      <c r="E253" s="27"/>
      <c r="F253" s="27"/>
    </row>
    <row r="254" spans="2:6" ht="15.75" customHeight="1">
      <c r="B254" s="27"/>
      <c r="C254" s="27"/>
      <c r="D254" s="27"/>
      <c r="E254" s="27"/>
      <c r="F254" s="27"/>
    </row>
    <row r="255" spans="2:6" ht="15.75" customHeight="1">
      <c r="B255" s="27"/>
      <c r="C255" s="27"/>
      <c r="D255" s="27"/>
      <c r="E255" s="27"/>
      <c r="F255" s="27"/>
    </row>
    <row r="256" spans="2:6" ht="15.75" customHeight="1">
      <c r="B256" s="27"/>
      <c r="C256" s="27"/>
      <c r="D256" s="27"/>
      <c r="E256" s="27"/>
      <c r="F256" s="27"/>
    </row>
    <row r="257" spans="2:6" ht="15.75" customHeight="1">
      <c r="B257" s="27"/>
      <c r="C257" s="27"/>
      <c r="D257" s="27"/>
      <c r="E257" s="27"/>
      <c r="F257" s="27"/>
    </row>
    <row r="258" spans="2:6" ht="15.75" customHeight="1">
      <c r="B258" s="27"/>
      <c r="C258" s="27"/>
      <c r="D258" s="27"/>
      <c r="E258" s="27"/>
      <c r="F258" s="27"/>
    </row>
    <row r="259" spans="2:6" ht="15.75" customHeight="1">
      <c r="B259" s="27"/>
      <c r="C259" s="27"/>
      <c r="D259" s="27"/>
      <c r="E259" s="27"/>
      <c r="F259" s="27"/>
    </row>
    <row r="260" spans="2:6" ht="15.75" customHeight="1">
      <c r="B260" s="27"/>
      <c r="C260" s="27"/>
      <c r="D260" s="27"/>
      <c r="E260" s="27"/>
      <c r="F260" s="27"/>
    </row>
    <row r="261" spans="2:6" ht="15.75" customHeight="1">
      <c r="B261" s="27"/>
      <c r="C261" s="27"/>
      <c r="D261" s="27"/>
      <c r="E261" s="27"/>
      <c r="F261" s="27"/>
    </row>
    <row r="262" spans="2:6" ht="15.75" customHeight="1">
      <c r="B262" s="27"/>
      <c r="C262" s="27"/>
      <c r="D262" s="27"/>
      <c r="E262" s="27"/>
      <c r="F262" s="27"/>
    </row>
    <row r="263" spans="2:6" ht="15.75" customHeight="1">
      <c r="B263" s="27"/>
      <c r="C263" s="27"/>
      <c r="D263" s="27"/>
      <c r="E263" s="27"/>
      <c r="F263" s="27"/>
    </row>
    <row r="264" spans="2:6" ht="15.75" customHeight="1">
      <c r="B264" s="27"/>
      <c r="C264" s="27"/>
      <c r="D264" s="27"/>
      <c r="E264" s="27"/>
      <c r="F264" s="27"/>
    </row>
    <row r="265" spans="2:6" ht="15.75" customHeight="1">
      <c r="B265" s="27"/>
      <c r="C265" s="27"/>
      <c r="D265" s="27"/>
      <c r="E265" s="27"/>
      <c r="F265" s="27"/>
    </row>
    <row r="266" spans="2:6" ht="15.75" customHeight="1">
      <c r="B266" s="27"/>
      <c r="C266" s="27"/>
      <c r="D266" s="27"/>
      <c r="E266" s="27"/>
      <c r="F266" s="27"/>
    </row>
    <row r="267" spans="2:6" ht="15.75" customHeight="1">
      <c r="B267" s="27"/>
      <c r="C267" s="27"/>
      <c r="D267" s="27"/>
      <c r="E267" s="27"/>
      <c r="F267" s="27"/>
    </row>
    <row r="268" spans="2:6" ht="15.75" customHeight="1">
      <c r="B268" s="27"/>
      <c r="C268" s="27"/>
      <c r="D268" s="27"/>
      <c r="E268" s="27"/>
      <c r="F268" s="27"/>
    </row>
    <row r="269" spans="2:6" ht="15.75" customHeight="1">
      <c r="B269" s="27"/>
      <c r="C269" s="27"/>
      <c r="D269" s="27"/>
      <c r="E269" s="27"/>
      <c r="F269" s="27"/>
    </row>
    <row r="270" spans="2:6" ht="15.75" customHeight="1">
      <c r="B270" s="27"/>
      <c r="C270" s="27"/>
      <c r="D270" s="27"/>
      <c r="E270" s="27"/>
      <c r="F270" s="27"/>
    </row>
    <row r="271" spans="2:6" ht="15.75" customHeight="1">
      <c r="B271" s="27"/>
      <c r="C271" s="27"/>
      <c r="D271" s="27"/>
      <c r="E271" s="27"/>
      <c r="F271" s="27"/>
    </row>
    <row r="272" spans="2:6" ht="15.75" customHeight="1">
      <c r="B272" s="27"/>
      <c r="C272" s="27"/>
      <c r="D272" s="27"/>
      <c r="E272" s="27"/>
      <c r="F272" s="27"/>
    </row>
    <row r="273" spans="2:6" ht="15.75" customHeight="1">
      <c r="B273" s="27"/>
      <c r="C273" s="27"/>
      <c r="D273" s="27"/>
      <c r="E273" s="27"/>
      <c r="F273" s="27"/>
    </row>
    <row r="274" spans="2:6" ht="15.75" customHeight="1">
      <c r="B274" s="27"/>
      <c r="C274" s="27"/>
      <c r="D274" s="27"/>
      <c r="E274" s="27"/>
      <c r="F274" s="27"/>
    </row>
    <row r="275" spans="2:6" ht="15.75" customHeight="1">
      <c r="B275" s="27"/>
      <c r="C275" s="27"/>
      <c r="D275" s="27"/>
      <c r="E275" s="27"/>
      <c r="F275" s="27"/>
    </row>
    <row r="276" spans="2:6" ht="15.75" customHeight="1">
      <c r="B276" s="27"/>
      <c r="C276" s="27"/>
      <c r="D276" s="27"/>
      <c r="E276" s="27"/>
      <c r="F276" s="27"/>
    </row>
    <row r="277" spans="2:6" ht="15.75" customHeight="1">
      <c r="B277" s="27"/>
      <c r="C277" s="27"/>
      <c r="D277" s="27"/>
      <c r="E277" s="27"/>
      <c r="F277" s="27"/>
    </row>
    <row r="278" spans="2:6" ht="15.75" customHeight="1">
      <c r="B278" s="27"/>
      <c r="C278" s="27"/>
      <c r="D278" s="27"/>
      <c r="E278" s="27"/>
      <c r="F278" s="27"/>
    </row>
    <row r="279" spans="2:6" ht="15.75" customHeight="1">
      <c r="B279" s="27"/>
      <c r="C279" s="27"/>
      <c r="D279" s="27"/>
      <c r="E279" s="27"/>
      <c r="F279" s="27"/>
    </row>
    <row r="280" spans="2:6" ht="15.75" customHeight="1">
      <c r="B280" s="27"/>
      <c r="C280" s="27"/>
      <c r="D280" s="27"/>
      <c r="E280" s="27"/>
      <c r="F280" s="27"/>
    </row>
    <row r="281" spans="2:6" ht="15.75" customHeight="1">
      <c r="B281" s="27"/>
      <c r="C281" s="27"/>
      <c r="D281" s="27"/>
      <c r="E281" s="27"/>
      <c r="F281" s="27"/>
    </row>
    <row r="282" spans="2:6" ht="15.75" customHeight="1">
      <c r="B282" s="27"/>
      <c r="C282" s="27"/>
      <c r="D282" s="27"/>
      <c r="E282" s="27"/>
      <c r="F282" s="27"/>
    </row>
    <row r="283" spans="2:6" ht="15.75" customHeight="1">
      <c r="B283" s="27"/>
      <c r="C283" s="27"/>
      <c r="D283" s="27"/>
      <c r="E283" s="27"/>
      <c r="F283" s="27"/>
    </row>
    <row r="284" spans="2:6" ht="15.75" customHeight="1">
      <c r="B284" s="27"/>
      <c r="C284" s="27"/>
      <c r="D284" s="27"/>
      <c r="E284" s="27"/>
      <c r="F284" s="27"/>
    </row>
    <row r="285" spans="2:6" ht="15.75" customHeight="1">
      <c r="B285" s="27"/>
      <c r="C285" s="27"/>
      <c r="D285" s="27"/>
      <c r="E285" s="27"/>
      <c r="F285" s="27"/>
    </row>
    <row r="286" spans="2:6" ht="15.75" customHeight="1">
      <c r="B286" s="27"/>
      <c r="C286" s="27"/>
      <c r="D286" s="27"/>
      <c r="E286" s="27"/>
      <c r="F286" s="27"/>
    </row>
    <row r="287" spans="2:6" ht="15.75" customHeight="1">
      <c r="B287" s="27"/>
      <c r="C287" s="27"/>
      <c r="D287" s="27"/>
      <c r="E287" s="27"/>
      <c r="F287" s="27"/>
    </row>
    <row r="288" spans="2:6" ht="15.75" customHeight="1">
      <c r="B288" s="27"/>
      <c r="C288" s="27"/>
      <c r="D288" s="27"/>
      <c r="E288" s="27"/>
      <c r="F288" s="27"/>
    </row>
    <row r="289" spans="2:6" ht="15.75" customHeight="1">
      <c r="B289" s="27"/>
      <c r="C289" s="27"/>
      <c r="D289" s="27"/>
      <c r="E289" s="27"/>
      <c r="F289" s="27"/>
    </row>
    <row r="290" spans="2:6" ht="15.75" customHeight="1">
      <c r="B290" s="27"/>
      <c r="C290" s="27"/>
      <c r="D290" s="27"/>
      <c r="E290" s="27"/>
      <c r="F290" s="27"/>
    </row>
    <row r="291" spans="2:6" ht="15.75" customHeight="1">
      <c r="B291" s="27"/>
      <c r="C291" s="27"/>
      <c r="D291" s="27"/>
      <c r="E291" s="27"/>
      <c r="F291" s="27"/>
    </row>
    <row r="292" spans="2:6" ht="15.75" customHeight="1">
      <c r="B292" s="27"/>
      <c r="C292" s="27"/>
      <c r="D292" s="27"/>
      <c r="E292" s="27"/>
      <c r="F292" s="27"/>
    </row>
    <row r="293" spans="2:6" ht="15.75" customHeight="1">
      <c r="B293" s="27"/>
      <c r="C293" s="27"/>
      <c r="D293" s="27"/>
      <c r="E293" s="27"/>
      <c r="F293" s="27"/>
    </row>
    <row r="294" spans="2:6" ht="15.75" customHeight="1">
      <c r="B294" s="27"/>
      <c r="C294" s="27"/>
      <c r="D294" s="27"/>
      <c r="E294" s="27"/>
      <c r="F294" s="27"/>
    </row>
    <row r="295" spans="2:6" ht="15.75" customHeight="1">
      <c r="B295" s="27"/>
      <c r="C295" s="27"/>
      <c r="D295" s="27"/>
      <c r="E295" s="27"/>
      <c r="F295" s="27"/>
    </row>
    <row r="296" spans="2:6" ht="15.75" customHeight="1">
      <c r="B296" s="27"/>
      <c r="C296" s="27"/>
      <c r="D296" s="27"/>
      <c r="E296" s="27"/>
      <c r="F296" s="27"/>
    </row>
    <row r="297" spans="2:6" ht="15.75" customHeight="1">
      <c r="B297" s="27"/>
      <c r="C297" s="27"/>
      <c r="D297" s="27"/>
      <c r="E297" s="27"/>
      <c r="F297" s="27"/>
    </row>
    <row r="298" spans="2:6" ht="15.75" customHeight="1">
      <c r="B298" s="27"/>
      <c r="C298" s="27"/>
      <c r="D298" s="27"/>
      <c r="E298" s="27"/>
      <c r="F298" s="27"/>
    </row>
    <row r="299" spans="2:6" ht="15.75" customHeight="1">
      <c r="B299" s="27"/>
      <c r="C299" s="27"/>
      <c r="D299" s="27"/>
      <c r="E299" s="27"/>
      <c r="F299" s="27"/>
    </row>
    <row r="300" spans="2:6" ht="15.75" customHeight="1">
      <c r="B300" s="27"/>
      <c r="C300" s="27"/>
      <c r="D300" s="27"/>
      <c r="E300" s="27"/>
      <c r="F300" s="27"/>
    </row>
    <row r="301" spans="2:6" ht="15.75" customHeight="1">
      <c r="B301" s="27"/>
      <c r="C301" s="27"/>
      <c r="D301" s="27"/>
      <c r="E301" s="27"/>
      <c r="F301" s="27"/>
    </row>
    <row r="302" spans="2:6" ht="15.75" customHeight="1">
      <c r="B302" s="27"/>
      <c r="C302" s="27"/>
      <c r="D302" s="27"/>
      <c r="E302" s="27"/>
      <c r="F302" s="27"/>
    </row>
    <row r="303" spans="2:6" ht="15.75" customHeight="1">
      <c r="B303" s="27"/>
      <c r="C303" s="27"/>
      <c r="D303" s="27"/>
      <c r="E303" s="27"/>
      <c r="F303" s="27"/>
    </row>
    <row r="304" spans="2:6" ht="15.75" customHeight="1">
      <c r="B304" s="27"/>
      <c r="C304" s="27"/>
      <c r="D304" s="27"/>
      <c r="E304" s="27"/>
      <c r="F304" s="27"/>
    </row>
    <row r="305" spans="2:6" ht="15.75" customHeight="1">
      <c r="B305" s="27"/>
      <c r="C305" s="27"/>
      <c r="D305" s="27"/>
      <c r="E305" s="27"/>
      <c r="F305" s="27"/>
    </row>
    <row r="306" spans="2:6" ht="15.75" customHeight="1">
      <c r="B306" s="27"/>
      <c r="C306" s="27"/>
      <c r="D306" s="27"/>
      <c r="E306" s="27"/>
      <c r="F306" s="27"/>
    </row>
    <row r="307" spans="2:6" ht="15.75" customHeight="1">
      <c r="B307" s="27"/>
      <c r="C307" s="27"/>
      <c r="D307" s="27"/>
      <c r="E307" s="27"/>
      <c r="F307" s="27"/>
    </row>
    <row r="308" spans="2:6" ht="15.75" customHeight="1">
      <c r="B308" s="27"/>
      <c r="C308" s="27"/>
      <c r="D308" s="27"/>
      <c r="E308" s="27"/>
      <c r="F308" s="27"/>
    </row>
    <row r="309" spans="2:6" ht="15.75" customHeight="1">
      <c r="B309" s="27"/>
      <c r="C309" s="27"/>
      <c r="D309" s="27"/>
      <c r="E309" s="27"/>
      <c r="F309" s="27"/>
    </row>
    <row r="310" spans="2:6" ht="15.75" customHeight="1">
      <c r="B310" s="27"/>
      <c r="C310" s="27"/>
      <c r="D310" s="27"/>
      <c r="E310" s="27"/>
      <c r="F310" s="27"/>
    </row>
    <row r="311" spans="2:6" ht="15.75" customHeight="1">
      <c r="B311" s="27"/>
      <c r="C311" s="27"/>
      <c r="D311" s="27"/>
      <c r="E311" s="27"/>
      <c r="F311" s="27"/>
    </row>
    <row r="312" spans="2:6" ht="15.75" customHeight="1">
      <c r="B312" s="27"/>
      <c r="C312" s="27"/>
      <c r="D312" s="27"/>
      <c r="E312" s="27"/>
      <c r="F312" s="27"/>
    </row>
    <row r="313" spans="2:6" ht="15.75" customHeight="1">
      <c r="B313" s="27"/>
      <c r="C313" s="27"/>
      <c r="D313" s="27"/>
      <c r="E313" s="27"/>
      <c r="F313" s="27"/>
    </row>
    <row r="314" spans="2:6" ht="15.75" customHeight="1">
      <c r="B314" s="27"/>
      <c r="C314" s="27"/>
      <c r="D314" s="27"/>
      <c r="E314" s="27"/>
      <c r="F314" s="27"/>
    </row>
    <row r="315" spans="2:6" ht="15.75" customHeight="1">
      <c r="B315" s="27"/>
      <c r="C315" s="27"/>
      <c r="D315" s="27"/>
      <c r="E315" s="27"/>
      <c r="F315" s="27"/>
    </row>
    <row r="316" spans="2:6" ht="15.75" customHeight="1">
      <c r="B316" s="27"/>
      <c r="C316" s="27"/>
      <c r="D316" s="27"/>
      <c r="E316" s="27"/>
      <c r="F316" s="27"/>
    </row>
    <row r="317" spans="2:6" ht="15.75" customHeight="1">
      <c r="B317" s="27"/>
      <c r="C317" s="27"/>
      <c r="D317" s="27"/>
      <c r="E317" s="27"/>
      <c r="F317" s="27"/>
    </row>
    <row r="318" spans="2:6" ht="15.75" customHeight="1">
      <c r="B318" s="27"/>
      <c r="C318" s="27"/>
      <c r="D318" s="27"/>
      <c r="E318" s="27"/>
      <c r="F318" s="27"/>
    </row>
    <row r="319" spans="2:6" ht="15.75" customHeight="1">
      <c r="B319" s="27"/>
      <c r="C319" s="27"/>
      <c r="D319" s="27"/>
      <c r="E319" s="27"/>
      <c r="F319" s="27"/>
    </row>
    <row r="320" spans="2:6" ht="15.75" customHeight="1">
      <c r="B320" s="27"/>
      <c r="C320" s="27"/>
      <c r="D320" s="27"/>
      <c r="E320" s="27"/>
      <c r="F320" s="27"/>
    </row>
    <row r="321" spans="2:6" ht="15.75" customHeight="1">
      <c r="B321" s="27"/>
      <c r="C321" s="27"/>
      <c r="D321" s="27"/>
      <c r="E321" s="27"/>
      <c r="F321" s="27"/>
    </row>
    <row r="322" spans="2:6" ht="15.75" customHeight="1">
      <c r="B322" s="27"/>
      <c r="C322" s="27"/>
      <c r="D322" s="27"/>
      <c r="E322" s="27"/>
      <c r="F322" s="27"/>
    </row>
    <row r="323" spans="2:6" ht="15.75" customHeight="1">
      <c r="B323" s="27"/>
      <c r="C323" s="27"/>
      <c r="D323" s="27"/>
      <c r="E323" s="27"/>
      <c r="F323" s="27"/>
    </row>
    <row r="324" spans="2:6" ht="15.75" customHeight="1">
      <c r="B324" s="27"/>
      <c r="C324" s="27"/>
      <c r="D324" s="27"/>
      <c r="E324" s="27"/>
      <c r="F324" s="27"/>
    </row>
    <row r="325" spans="2:6" ht="15.75" customHeight="1">
      <c r="B325" s="27"/>
      <c r="C325" s="27"/>
      <c r="D325" s="27"/>
      <c r="E325" s="27"/>
      <c r="F325" s="27"/>
    </row>
    <row r="326" spans="2:6" ht="15.75" customHeight="1">
      <c r="B326" s="27"/>
      <c r="C326" s="27"/>
      <c r="D326" s="27"/>
      <c r="E326" s="27"/>
      <c r="F326" s="27"/>
    </row>
    <row r="327" spans="2:6" ht="15.75" customHeight="1">
      <c r="B327" s="27"/>
      <c r="C327" s="27"/>
      <c r="D327" s="27"/>
      <c r="E327" s="27"/>
      <c r="F327" s="27"/>
    </row>
    <row r="328" spans="2:6" ht="15.75" customHeight="1"/>
    <row r="329" spans="2:6" ht="15.75" customHeight="1"/>
    <row r="330" spans="2:6" ht="15.75" customHeight="1"/>
    <row r="331" spans="2:6" ht="15.75" customHeight="1"/>
    <row r="332" spans="2:6" ht="15.75" customHeight="1"/>
    <row r="333" spans="2:6" ht="15.75" customHeight="1"/>
    <row r="334" spans="2:6" ht="15.75" customHeight="1"/>
    <row r="335" spans="2:6" ht="15.75" customHeight="1"/>
    <row r="336" spans="2: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1155CC"/>
    <outlinePr summaryBelow="0" summaryRight="0"/>
  </sheetPr>
  <dimension ref="A1:R1000"/>
  <sheetViews>
    <sheetView workbookViewId="0"/>
  </sheetViews>
  <sheetFormatPr defaultColWidth="12.5703125" defaultRowHeight="15" customHeight="1"/>
  <cols>
    <col min="1" max="1" width="37.7109375" customWidth="1"/>
    <col min="2" max="2" width="12.5703125" customWidth="1"/>
    <col min="3" max="3" width="12.7109375" customWidth="1"/>
    <col min="4" max="4" width="13" customWidth="1"/>
    <col min="5" max="6" width="12.5703125" customWidth="1"/>
    <col min="11" max="11" width="18.42578125" customWidth="1"/>
  </cols>
  <sheetData>
    <row r="1" spans="1:18" ht="15.75" customHeight="1">
      <c r="A1" s="31" t="s">
        <v>625</v>
      </c>
      <c r="B1" s="31" t="s">
        <v>814</v>
      </c>
      <c r="C1" s="31" t="s">
        <v>815</v>
      </c>
      <c r="D1" s="31" t="s">
        <v>816</v>
      </c>
      <c r="E1" s="32"/>
      <c r="F1" s="32" t="s">
        <v>817</v>
      </c>
      <c r="G1" s="32" t="s">
        <v>818</v>
      </c>
      <c r="H1" s="32" t="s">
        <v>819</v>
      </c>
      <c r="I1" s="32" t="s">
        <v>820</v>
      </c>
      <c r="J1" s="32" t="s">
        <v>821</v>
      </c>
      <c r="K1" s="32" t="s">
        <v>822</v>
      </c>
      <c r="L1" s="32"/>
      <c r="M1" s="32" t="s">
        <v>823</v>
      </c>
      <c r="N1" s="32" t="s">
        <v>824</v>
      </c>
      <c r="O1" s="32" t="s">
        <v>825</v>
      </c>
      <c r="P1" s="32" t="s">
        <v>826</v>
      </c>
      <c r="Q1" s="32" t="s">
        <v>827</v>
      </c>
      <c r="R1" s="32" t="s">
        <v>828</v>
      </c>
    </row>
    <row r="2" spans="1:18" ht="15.75" customHeight="1">
      <c r="A2" s="15" t="s">
        <v>829</v>
      </c>
      <c r="B2" s="10">
        <v>5490529</v>
      </c>
      <c r="C2" s="10" t="s">
        <v>830</v>
      </c>
      <c r="D2" s="10" t="s">
        <v>830</v>
      </c>
      <c r="E2" s="10" t="str">
        <f>IFERROR(VLOOKUP(D2,'Cadastro de assessores'!A:B,2,FALSE),"Não Cadastrado")</f>
        <v>18986</v>
      </c>
      <c r="F2" s="33" t="s">
        <v>831</v>
      </c>
      <c r="G2" s="33" t="s">
        <v>69</v>
      </c>
      <c r="H2" s="34">
        <v>44222</v>
      </c>
      <c r="I2" s="10" t="s">
        <v>832</v>
      </c>
      <c r="J2" s="16">
        <v>0.02</v>
      </c>
      <c r="K2" s="35" t="s">
        <v>833</v>
      </c>
      <c r="L2" s="36" t="s">
        <v>86</v>
      </c>
      <c r="M2" s="36">
        <v>124054.43</v>
      </c>
      <c r="N2" s="36">
        <v>115021.75</v>
      </c>
      <c r="O2" s="36">
        <v>124854.25</v>
      </c>
      <c r="P2" s="36">
        <v>124900.58</v>
      </c>
      <c r="Q2" s="36">
        <v>129858.96</v>
      </c>
      <c r="R2" s="37">
        <v>131958.1</v>
      </c>
    </row>
    <row r="3" spans="1:18" ht="15.75" customHeight="1">
      <c r="A3" s="15" t="s">
        <v>834</v>
      </c>
      <c r="B3" s="10">
        <v>1759765</v>
      </c>
      <c r="C3" s="10" t="s">
        <v>835</v>
      </c>
      <c r="D3" s="10" t="s">
        <v>836</v>
      </c>
      <c r="E3" s="10" t="str">
        <f>IFERROR(VLOOKUP(D3,'Cadastro de assessores'!A:B,2,FALSE),"Não Cadastrado")</f>
        <v>14739</v>
      </c>
      <c r="F3" s="33" t="s">
        <v>831</v>
      </c>
      <c r="G3" s="33" t="s">
        <v>69</v>
      </c>
      <c r="H3" s="34">
        <v>44321</v>
      </c>
      <c r="I3" s="10" t="s">
        <v>112</v>
      </c>
      <c r="J3" s="16">
        <v>1.2E-2</v>
      </c>
      <c r="K3" s="35" t="s">
        <v>837</v>
      </c>
      <c r="L3" s="36" t="s">
        <v>86</v>
      </c>
      <c r="M3" s="36"/>
      <c r="N3" s="36"/>
      <c r="O3" s="36"/>
      <c r="P3" s="36"/>
      <c r="Q3" s="36">
        <v>271738.86</v>
      </c>
      <c r="R3" s="36">
        <v>279151.86</v>
      </c>
    </row>
    <row r="4" spans="1:18" ht="15.75" customHeight="1">
      <c r="B4" s="27"/>
    </row>
    <row r="5" spans="1:18" ht="15.75" customHeight="1"/>
    <row r="6" spans="1:18" ht="15.75" customHeight="1"/>
    <row r="7" spans="1:18" ht="15.75" customHeight="1"/>
    <row r="8" spans="1:18" ht="15.75" customHeight="1"/>
    <row r="9" spans="1:18" ht="15.75" customHeight="1"/>
    <row r="10" spans="1:18" ht="15.75" customHeight="1"/>
    <row r="11" spans="1:18" ht="15.75" customHeight="1"/>
    <row r="12" spans="1:18" ht="15.75" customHeight="1"/>
    <row r="13" spans="1:18" ht="15.75" customHeight="1"/>
    <row r="14" spans="1:18" ht="15.75" customHeight="1"/>
    <row r="15" spans="1:18" ht="15.75" customHeight="1"/>
    <row r="16" spans="1:18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W1000"/>
  <sheetViews>
    <sheetView workbookViewId="0"/>
  </sheetViews>
  <sheetFormatPr defaultColWidth="12.5703125" defaultRowHeight="15" customHeight="1"/>
  <cols>
    <col min="1" max="1" width="28.28515625" customWidth="1"/>
    <col min="2" max="2" width="18.7109375" customWidth="1"/>
    <col min="3" max="3" width="6.85546875" customWidth="1"/>
    <col min="4" max="6" width="12.5703125" customWidth="1"/>
  </cols>
  <sheetData>
    <row r="1" spans="1:23" ht="15.75" customHeight="1">
      <c r="A1" s="15" t="s">
        <v>816</v>
      </c>
      <c r="B1" s="84" t="s">
        <v>838</v>
      </c>
      <c r="C1" s="15" t="s">
        <v>817</v>
      </c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</row>
    <row r="2" spans="1:23" ht="15.75" customHeight="1">
      <c r="A2" s="14" t="s">
        <v>839</v>
      </c>
      <c r="B2" s="84" t="s">
        <v>840</v>
      </c>
      <c r="C2" s="15" t="str" cm="1">
        <f t="array" ref="C2">IF(COUNTA(_xlfn._xlws.FILTER(B:B, B:B = B2)) = 1, "Regular", "Conta Repetida")</f>
        <v>Regular</v>
      </c>
      <c r="D2" s="21"/>
      <c r="E2" s="21"/>
      <c r="F2" s="83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</row>
    <row r="3" spans="1:23" ht="15.75" customHeight="1">
      <c r="A3" s="15" t="s">
        <v>841</v>
      </c>
      <c r="B3" s="84" t="s">
        <v>842</v>
      </c>
      <c r="C3" s="15" t="str" cm="1">
        <f t="array" ref="C3">IF(COUNTA(_xlfn._xlws.FILTER(B:B, B:B = B3)) = 1, "Regular", "Conta Repetida")</f>
        <v>Regular</v>
      </c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</row>
    <row r="4" spans="1:23" ht="15.75" customHeight="1">
      <c r="A4" s="15" t="s">
        <v>843</v>
      </c>
      <c r="B4" s="84" t="s">
        <v>844</v>
      </c>
      <c r="C4" s="15" t="str" cm="1">
        <f t="array" ref="C4">IF(COUNTA(_xlfn._xlws.FILTER(B:B, B:B = B4)) = 1, "Regular", "Conta Repetida")</f>
        <v>Regular</v>
      </c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</row>
    <row r="5" spans="1:23" ht="15.75" customHeight="1">
      <c r="A5" s="15" t="s">
        <v>845</v>
      </c>
      <c r="B5" s="84" t="s">
        <v>846</v>
      </c>
      <c r="C5" s="15" t="str" cm="1">
        <f t="array" ref="C5">IF(COUNTA(_xlfn._xlws.FILTER(B:B, B:B = B5)) = 1, "Regular", "Conta Repetida")</f>
        <v>Regular</v>
      </c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</row>
    <row r="6" spans="1:23" ht="15.75" customHeight="1">
      <c r="A6" s="15" t="s">
        <v>847</v>
      </c>
      <c r="B6" s="84" t="s">
        <v>848</v>
      </c>
      <c r="C6" s="15" t="str" cm="1">
        <f t="array" ref="C6">IF(COUNTA(_xlfn._xlws.FILTER(B:B, B:B = B6)) = 1, "Regular", "Conta Repetida")</f>
        <v>Regular</v>
      </c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</row>
    <row r="7" spans="1:23" ht="15.75" customHeight="1">
      <c r="A7" s="15" t="s">
        <v>849</v>
      </c>
      <c r="B7" s="84" t="s">
        <v>850</v>
      </c>
      <c r="C7" s="15" t="str" cm="1">
        <f t="array" ref="C7">IF(COUNTA(_xlfn._xlws.FILTER(B:B, B:B = B7)) = 1, "Regular", "Conta Repetida")</f>
        <v>Regular</v>
      </c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</row>
    <row r="8" spans="1:23" ht="15.75" customHeight="1">
      <c r="A8" s="15" t="s">
        <v>851</v>
      </c>
      <c r="B8" s="84" t="s">
        <v>852</v>
      </c>
      <c r="C8" s="15" t="str" cm="1">
        <f t="array" ref="C8">IF(COUNTA(_xlfn._xlws.FILTER(B:B, B:B = B8)) = 1, "Regular", "Conta Repetida")</f>
        <v>Regular</v>
      </c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</row>
    <row r="9" spans="1:23" ht="15.75" customHeight="1">
      <c r="A9" s="15" t="s">
        <v>853</v>
      </c>
      <c r="B9" s="84" t="s">
        <v>854</v>
      </c>
      <c r="C9" s="15" t="str" cm="1">
        <f t="array" ref="C9">IF(COUNTA(_xlfn._xlws.FILTER(B:B, B:B = B9)) = 1, "Regular", "Conta Repetida")</f>
        <v>Regular</v>
      </c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</row>
    <row r="10" spans="1:23" ht="15.75" customHeight="1">
      <c r="A10" s="15" t="s">
        <v>855</v>
      </c>
      <c r="B10" s="84" t="s">
        <v>856</v>
      </c>
      <c r="C10" s="15" t="str" cm="1">
        <f t="array" ref="C10">IF(COUNTA(_xlfn._xlws.FILTER(B:B, B:B = B10)) = 1, "Regular", "Conta Repetida")</f>
        <v>Regular</v>
      </c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</row>
    <row r="11" spans="1:23" ht="15.75" customHeight="1">
      <c r="A11" s="15" t="s">
        <v>830</v>
      </c>
      <c r="B11" s="84" t="s">
        <v>857</v>
      </c>
      <c r="C11" s="15" t="str" cm="1">
        <f t="array" ref="C11">IF(COUNTA(_xlfn._xlws.FILTER(B:B, B:B = B11)) = 1, "Regular", "Conta Repetida")</f>
        <v>Regular</v>
      </c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</row>
    <row r="12" spans="1:23" ht="15.75" customHeight="1">
      <c r="A12" s="15" t="s">
        <v>858</v>
      </c>
      <c r="B12" s="84" t="s">
        <v>859</v>
      </c>
      <c r="C12" s="15" t="str" cm="1">
        <f t="array" ref="C12">IF(COUNTA(_xlfn._xlws.FILTER(B:B, B:B = B12)) = 1, "Regular", "Conta Repetida")</f>
        <v>Regular</v>
      </c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</row>
    <row r="13" spans="1:23" ht="15.75" customHeight="1">
      <c r="A13" s="15" t="s">
        <v>860</v>
      </c>
      <c r="B13" s="84" t="s">
        <v>861</v>
      </c>
      <c r="C13" s="15" t="str" cm="1">
        <f t="array" ref="C13">IF(COUNTA(_xlfn._xlws.FILTER(B:B, B:B = B13)) = 1, "Regular", "Conta Repetida")</f>
        <v>Regular</v>
      </c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</row>
    <row r="14" spans="1:23" ht="15.75" customHeight="1">
      <c r="A14" s="15" t="s">
        <v>862</v>
      </c>
      <c r="B14" s="84" t="s">
        <v>863</v>
      </c>
      <c r="C14" s="15" t="str" cm="1">
        <f t="array" ref="C14">IF(COUNTA(_xlfn._xlws.FILTER(B:B, B:B = B14)) = 1, "Regular", "Conta Repetida")</f>
        <v>Regular</v>
      </c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</row>
    <row r="15" spans="1:23" ht="15.75" customHeight="1">
      <c r="A15" s="15" t="s">
        <v>864</v>
      </c>
      <c r="B15" s="84" t="s">
        <v>865</v>
      </c>
      <c r="C15" s="15" t="str" cm="1">
        <f t="array" ref="C15">IF(COUNTA(_xlfn._xlws.FILTER(B:B, B:B = B15)) = 1, "Regular", "Conta Repetida")</f>
        <v>Regular</v>
      </c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</row>
    <row r="16" spans="1:23" ht="15.75" customHeight="1">
      <c r="A16" s="15" t="s">
        <v>866</v>
      </c>
      <c r="B16" s="84" t="s">
        <v>867</v>
      </c>
      <c r="C16" s="15" t="str" cm="1">
        <f t="array" ref="C16">IF(COUNTA(_xlfn._xlws.FILTER(B:B, B:B = B16)) = 1, "Regular", "Conta Repetida")</f>
        <v>Regular</v>
      </c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</row>
    <row r="17" spans="1:23" ht="15.75" customHeight="1">
      <c r="A17" s="15" t="s">
        <v>868</v>
      </c>
      <c r="B17" s="84" t="s">
        <v>869</v>
      </c>
      <c r="C17" s="15" t="str" cm="1">
        <f t="array" ref="C17">IF(COUNTA(_xlfn._xlws.FILTER(B:B, B:B = B17)) = 1, "Regular", "Conta Repetida")</f>
        <v>Regular</v>
      </c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</row>
    <row r="18" spans="1:23" ht="15.75" customHeight="1">
      <c r="A18" s="15" t="s">
        <v>870</v>
      </c>
      <c r="B18" s="84" t="s">
        <v>871</v>
      </c>
      <c r="C18" s="15" t="str" cm="1">
        <f t="array" ref="C18">IF(COUNTA(_xlfn._xlws.FILTER(B:B, B:B = B18)) = 1, "Regular", "Conta Repetida")</f>
        <v>Regular</v>
      </c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</row>
    <row r="19" spans="1:23" ht="15.75" customHeight="1">
      <c r="A19" s="15" t="s">
        <v>872</v>
      </c>
      <c r="B19" s="84" t="s">
        <v>873</v>
      </c>
      <c r="C19" s="15" t="str" cm="1">
        <f t="array" ref="C19">IF(COUNTA(_xlfn._xlws.FILTER(B:B, B:B = B19)) = 1, "Regular", "Conta Repetida")</f>
        <v>Regular</v>
      </c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</row>
    <row r="20" spans="1:23" ht="15.75" customHeight="1">
      <c r="A20" s="15" t="s">
        <v>874</v>
      </c>
      <c r="B20" s="84" t="s">
        <v>875</v>
      </c>
      <c r="C20" s="15" t="str" cm="1">
        <f t="array" ref="C20">IF(COUNTA(_xlfn._xlws.FILTER(B:B, B:B = B20)) = 1, "Regular", "Conta Repetida")</f>
        <v>Regular</v>
      </c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</row>
    <row r="21" spans="1:23" ht="15.75" customHeight="1">
      <c r="A21" s="15" t="s">
        <v>876</v>
      </c>
      <c r="B21" s="84" t="s">
        <v>877</v>
      </c>
      <c r="C21" s="15" t="str" cm="1">
        <f t="array" ref="C21">IF(COUNTA(_xlfn._xlws.FILTER(B:B, B:B = B21)) = 1, "Regular", "Conta Repetida")</f>
        <v>Regular</v>
      </c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</row>
    <row r="22" spans="1:23" ht="15.75" customHeight="1">
      <c r="A22" s="15" t="s">
        <v>878</v>
      </c>
      <c r="B22" s="84" t="s">
        <v>879</v>
      </c>
      <c r="C22" s="15" t="str" cm="1">
        <f t="array" ref="C22">IF(COUNTA(_xlfn._xlws.FILTER(B:B, B:B = B22)) = 1, "Regular", "Conta Repetida")</f>
        <v>Regular</v>
      </c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</row>
    <row r="23" spans="1:23" ht="15.75" customHeight="1">
      <c r="A23" s="15" t="s">
        <v>880</v>
      </c>
      <c r="B23" s="84" t="s">
        <v>881</v>
      </c>
      <c r="C23" s="15" t="str" cm="1">
        <f t="array" ref="C23">IF(COUNTA(_xlfn._xlws.FILTER(B:B, B:B = B23)) = 1, "Regular", "Conta Repetida")</f>
        <v>Regular</v>
      </c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</row>
    <row r="24" spans="1:23" ht="15.75" customHeight="1">
      <c r="A24" s="15" t="s">
        <v>882</v>
      </c>
      <c r="B24" s="84" t="s">
        <v>883</v>
      </c>
      <c r="C24" s="15" t="str" cm="1">
        <f t="array" ref="C24">IF(COUNTA(_xlfn._xlws.FILTER(B:B, B:B = B24)) = 1, "Regular", "Conta Repetida")</f>
        <v>Regular</v>
      </c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</row>
    <row r="25" spans="1:23" ht="15.75" customHeight="1">
      <c r="A25" s="15" t="s">
        <v>884</v>
      </c>
      <c r="B25" s="84" t="s">
        <v>885</v>
      </c>
      <c r="C25" s="15" t="str" cm="1">
        <f t="array" ref="C25">IF(COUNTA(_xlfn._xlws.FILTER(B:B, B:B = B25)) = 1, "Regular", "Conta Repetida")</f>
        <v>Regular</v>
      </c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</row>
    <row r="26" spans="1:23" ht="15.75" customHeight="1">
      <c r="A26" s="15" t="s">
        <v>886</v>
      </c>
      <c r="B26" s="84" t="s">
        <v>887</v>
      </c>
      <c r="C26" s="15" t="str" cm="1">
        <f t="array" ref="C26">IF(COUNTA(_xlfn._xlws.FILTER(B:B, B:B = B26)) = 1, "Regular", "Conta Repetida")</f>
        <v>Regular</v>
      </c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</row>
    <row r="27" spans="1:23" ht="15.75" customHeight="1">
      <c r="A27" s="15" t="s">
        <v>888</v>
      </c>
      <c r="B27" s="84" t="s">
        <v>889</v>
      </c>
      <c r="C27" s="15" t="str" cm="1">
        <f t="array" ref="C27">IF(COUNTA(_xlfn._xlws.FILTER(B:B, B:B = B27)) = 1, "Regular", "Conta Repetida")</f>
        <v>Regular</v>
      </c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</row>
    <row r="28" spans="1:23" ht="15.75" customHeight="1">
      <c r="A28" s="15" t="s">
        <v>890</v>
      </c>
      <c r="B28" s="84" t="s">
        <v>891</v>
      </c>
      <c r="C28" s="15" t="str" cm="1">
        <f t="array" ref="C28">IF(COUNTA(_xlfn._xlws.FILTER(B:B, B:B = B28)) = 1, "Regular", "Conta Repetida")</f>
        <v>Regular</v>
      </c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</row>
    <row r="29" spans="1:23" ht="15.75" customHeight="1">
      <c r="A29" s="15" t="s">
        <v>892</v>
      </c>
      <c r="B29" s="84" t="s">
        <v>893</v>
      </c>
      <c r="C29" s="15" t="str" cm="1">
        <f t="array" ref="C29">IF(COUNTA(_xlfn._xlws.FILTER(B:B, B:B = B29)) = 1, "Regular", "Conta Repetida")</f>
        <v>Regular</v>
      </c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</row>
    <row r="30" spans="1:23" ht="15.75" customHeight="1">
      <c r="A30" s="15" t="s">
        <v>894</v>
      </c>
      <c r="B30" s="84" t="s">
        <v>895</v>
      </c>
      <c r="C30" s="15" t="str" cm="1">
        <f t="array" ref="C30">IF(COUNTA(_xlfn._xlws.FILTER(B:B, B:B = B30)) = 1, "Regular", "Conta Repetida")</f>
        <v>Regular</v>
      </c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</row>
    <row r="31" spans="1:23" ht="15.75" customHeight="1">
      <c r="A31" s="15" t="s">
        <v>896</v>
      </c>
      <c r="B31" s="84" t="s">
        <v>897</v>
      </c>
      <c r="C31" s="15" t="str" cm="1">
        <f t="array" ref="C31">IF(COUNTA(_xlfn._xlws.FILTER(B:B, B:B = B31)) = 1, "Regular", "Conta Repetida")</f>
        <v>Regular</v>
      </c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</row>
    <row r="32" spans="1:23" ht="15.75" customHeight="1">
      <c r="A32" s="15" t="s">
        <v>898</v>
      </c>
      <c r="B32" s="84" t="s">
        <v>899</v>
      </c>
      <c r="C32" s="15" t="str" cm="1">
        <f t="array" ref="C32">IF(COUNTA(_xlfn._xlws.FILTER(B:B, B:B = B32)) = 1, "Regular", "Conta Repetida")</f>
        <v>Regular</v>
      </c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</row>
    <row r="33" spans="1:23" ht="15.75" customHeight="1">
      <c r="A33" s="15" t="s">
        <v>900</v>
      </c>
      <c r="B33" s="84" t="s">
        <v>901</v>
      </c>
      <c r="C33" s="15" t="str" cm="1">
        <f t="array" ref="C33">IF(COUNTA(_xlfn._xlws.FILTER(B:B, B:B = B33)) = 1, "Regular", "Conta Repetida")</f>
        <v>Regular</v>
      </c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</row>
    <row r="34" spans="1:23" ht="15.75" customHeight="1">
      <c r="A34" s="15" t="s">
        <v>902</v>
      </c>
      <c r="B34" s="84" t="s">
        <v>903</v>
      </c>
      <c r="C34" s="15" t="str" cm="1">
        <f t="array" ref="C34">IF(COUNTA(_xlfn._xlws.FILTER(B:B, B:B = B34)) = 1, "Regular", "Conta Repetida")</f>
        <v>Regular</v>
      </c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</row>
    <row r="35" spans="1:23" ht="15.75" customHeight="1">
      <c r="A35" s="15" t="s">
        <v>904</v>
      </c>
      <c r="B35" s="84" t="s">
        <v>905</v>
      </c>
      <c r="C35" s="15" t="str" cm="1">
        <f t="array" ref="C35">IF(COUNTA(_xlfn._xlws.FILTER(B:B, B:B = B35)) = 1, "Regular", "Conta Repetida")</f>
        <v>Regular</v>
      </c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</row>
    <row r="36" spans="1:23" ht="15.75" customHeight="1">
      <c r="A36" s="15" t="s">
        <v>906</v>
      </c>
      <c r="B36" s="84" t="s">
        <v>907</v>
      </c>
      <c r="C36" s="15" t="str" cm="1">
        <f t="array" ref="C36">IF(COUNTA(_xlfn._xlws.FILTER(B:B, B:B = B36)) = 1, "Regular", "Conta Repetida")</f>
        <v>Regular</v>
      </c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</row>
    <row r="37" spans="1:23" ht="15.75" customHeight="1">
      <c r="A37" s="15" t="s">
        <v>908</v>
      </c>
      <c r="B37" s="84" t="s">
        <v>909</v>
      </c>
      <c r="C37" s="15" t="str" cm="1">
        <f t="array" ref="C37">IF(COUNTA(_xlfn._xlws.FILTER(B:B, B:B = B37)) = 1, "Regular", "Conta Repetida")</f>
        <v>Regular</v>
      </c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</row>
    <row r="38" spans="1:23" ht="15.75" customHeight="1">
      <c r="A38" s="15" t="s">
        <v>910</v>
      </c>
      <c r="B38" s="84" t="s">
        <v>911</v>
      </c>
      <c r="C38" s="15" t="str" cm="1">
        <f t="array" ref="C38">IF(COUNTA(_xlfn._xlws.FILTER(B:B, B:B = B38)) = 1, "Regular", "Conta Repetida")</f>
        <v>Regular</v>
      </c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</row>
    <row r="39" spans="1:23" ht="15.75" customHeight="1">
      <c r="A39" s="15" t="s">
        <v>912</v>
      </c>
      <c r="B39" s="84" t="s">
        <v>913</v>
      </c>
      <c r="C39" s="15" t="str" cm="1">
        <f t="array" ref="C39">IF(COUNTA(_xlfn._xlws.FILTER(B:B, B:B = B39)) = 1, "Regular", "Conta Repetida")</f>
        <v>Regular</v>
      </c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</row>
    <row r="40" spans="1:23" ht="15.75" customHeight="1">
      <c r="A40" s="15" t="s">
        <v>914</v>
      </c>
      <c r="B40" s="84" t="s">
        <v>915</v>
      </c>
      <c r="C40" s="15" t="str" cm="1">
        <f t="array" ref="C40">IF(COUNTA(_xlfn._xlws.FILTER(B:B, B:B = B40)) = 1, "Regular", "Conta Repetida")</f>
        <v>Regular</v>
      </c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</row>
    <row r="41" spans="1:23" ht="15.75" customHeight="1">
      <c r="A41" s="15" t="s">
        <v>916</v>
      </c>
      <c r="B41" s="84" t="s">
        <v>917</v>
      </c>
      <c r="C41" s="15" t="str" cm="1">
        <f t="array" ref="C41">IF(COUNTA(_xlfn._xlws.FILTER(B:B, B:B = B41)) = 1, "Regular", "Conta Repetida")</f>
        <v>Regular</v>
      </c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</row>
    <row r="42" spans="1:23" ht="15.75" customHeight="1">
      <c r="A42" s="15" t="s">
        <v>918</v>
      </c>
      <c r="B42" s="84" t="s">
        <v>919</v>
      </c>
      <c r="C42" s="15" t="str" cm="1">
        <f t="array" ref="C42">IF(COUNTA(_xlfn._xlws.FILTER(B:B, B:B = B42)) = 1, "Regular", "Conta Repetida")</f>
        <v>Regular</v>
      </c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</row>
    <row r="43" spans="1:23" ht="15.75" customHeight="1">
      <c r="A43" s="15" t="s">
        <v>920</v>
      </c>
      <c r="B43" s="84" t="s">
        <v>921</v>
      </c>
      <c r="C43" s="15" t="str" cm="1">
        <f t="array" ref="C43">IF(COUNTA(_xlfn._xlws.FILTER(B:B, B:B = B43)) = 1, "Regular", "Conta Repetida")</f>
        <v>Regular</v>
      </c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</row>
    <row r="44" spans="1:23" ht="15.75" customHeight="1">
      <c r="A44" s="15" t="s">
        <v>922</v>
      </c>
      <c r="B44" s="84" t="s">
        <v>923</v>
      </c>
      <c r="C44" s="15" t="str" cm="1">
        <f t="array" ref="C44">IF(COUNTA(_xlfn._xlws.FILTER(B:B, B:B = B44)) = 1, "Regular", "Conta Repetida")</f>
        <v>Regular</v>
      </c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</row>
    <row r="45" spans="1:23" ht="15.75" customHeight="1">
      <c r="A45" s="15" t="s">
        <v>924</v>
      </c>
      <c r="B45" s="84" t="s">
        <v>925</v>
      </c>
      <c r="C45" s="15" t="str" cm="1">
        <f t="array" ref="C45">IF(COUNTA(_xlfn._xlws.FILTER(B:B, B:B = B45)) = 1, "Regular", "Conta Repetida")</f>
        <v>Regular</v>
      </c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</row>
    <row r="46" spans="1:23" ht="15.75" customHeight="1">
      <c r="A46" s="15" t="s">
        <v>836</v>
      </c>
      <c r="B46" s="84" t="s">
        <v>926</v>
      </c>
      <c r="C46" s="15" t="str" cm="1">
        <f t="array" ref="C46">IF(COUNTA(_xlfn._xlws.FILTER(B:B, B:B = B46)) = 1, "Regular", "Conta Repetida")</f>
        <v>Regular</v>
      </c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</row>
    <row r="47" spans="1:23" ht="15.75" customHeight="1">
      <c r="A47" s="15" t="s">
        <v>927</v>
      </c>
      <c r="B47" s="84" t="s">
        <v>928</v>
      </c>
      <c r="C47" s="15" t="str" cm="1">
        <f t="array" ref="C47">IF(COUNTA(_xlfn._xlws.FILTER(B:B, B:B = B47)) = 1, "Regular", "Conta Repetida")</f>
        <v>Regular</v>
      </c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</row>
    <row r="48" spans="1:23" ht="15.75" customHeight="1">
      <c r="A48" s="15" t="s">
        <v>929</v>
      </c>
      <c r="B48" s="84" t="s">
        <v>930</v>
      </c>
      <c r="C48" s="15" t="str" cm="1">
        <f t="array" ref="C48">IF(COUNTA(_xlfn._xlws.FILTER(B:B, B:B = B48)) = 1, "Regular", "Conta Repetida")</f>
        <v>Regular</v>
      </c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</row>
    <row r="49" spans="1:23" ht="15.75" customHeight="1">
      <c r="A49" s="15" t="s">
        <v>931</v>
      </c>
      <c r="B49" s="84" t="s">
        <v>932</v>
      </c>
      <c r="C49" s="15" t="str" cm="1">
        <f t="array" ref="C49">IF(COUNTA(_xlfn._xlws.FILTER(B:B, B:B = B49)) = 1, "Regular", "Conta Repetida")</f>
        <v>Regular</v>
      </c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</row>
    <row r="50" spans="1:23" ht="15.75" customHeight="1">
      <c r="A50" s="15" t="s">
        <v>933</v>
      </c>
      <c r="B50" s="84" t="s">
        <v>934</v>
      </c>
      <c r="C50" s="15" t="str" cm="1">
        <f t="array" ref="C50">IF(COUNTA(_xlfn._xlws.FILTER(B:B, B:B = B50)) = 1, "Regular", "Conta Repetida")</f>
        <v>Regular</v>
      </c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</row>
    <row r="51" spans="1:23" ht="15.75" customHeight="1">
      <c r="A51" s="15" t="s">
        <v>935</v>
      </c>
      <c r="B51" s="84" t="s">
        <v>936</v>
      </c>
      <c r="C51" s="15" t="str" cm="1">
        <f t="array" ref="C51">IF(COUNTA(_xlfn._xlws.FILTER(B:B, B:B = B51)) = 1, "Regular", "Conta Repetida")</f>
        <v>Regular</v>
      </c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</row>
    <row r="52" spans="1:23" ht="15.75" customHeight="1">
      <c r="A52" s="15" t="s">
        <v>937</v>
      </c>
      <c r="B52" s="84" t="s">
        <v>938</v>
      </c>
      <c r="C52" s="15" t="str" cm="1">
        <f t="array" ref="C52">IF(COUNTA(_xlfn._xlws.FILTER(B:B, B:B = B52)) = 1, "Regular", "Conta Repetida")</f>
        <v>Regular</v>
      </c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</row>
    <row r="53" spans="1:23" ht="15.75" customHeight="1">
      <c r="A53" s="15" t="s">
        <v>939</v>
      </c>
      <c r="B53" s="84" t="s">
        <v>940</v>
      </c>
      <c r="C53" s="15" t="str" cm="1">
        <f t="array" ref="C53">IF(COUNTA(_xlfn._xlws.FILTER(B:B, B:B = B53)) = 1, "Regular", "Conta Repetida")</f>
        <v>Regular</v>
      </c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</row>
    <row r="54" spans="1:23" ht="15.75" customHeight="1">
      <c r="A54" s="15" t="s">
        <v>941</v>
      </c>
      <c r="B54" s="84" t="s">
        <v>942</v>
      </c>
      <c r="C54" s="15" t="str" cm="1">
        <f t="array" ref="C54">IF(COUNTA(_xlfn._xlws.FILTER(B:B, B:B = B54)) = 1, "Regular", "Conta Repetida")</f>
        <v>Regular</v>
      </c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</row>
    <row r="55" spans="1:23" ht="15.75" customHeight="1">
      <c r="A55" s="15" t="s">
        <v>943</v>
      </c>
      <c r="B55" s="84" t="s">
        <v>944</v>
      </c>
      <c r="C55" s="15" t="str" cm="1">
        <f t="array" ref="C55">IF(COUNTA(_xlfn._xlws.FILTER(B:B, B:B = B55)) = 1, "Regular", "Conta Repetida")</f>
        <v>Regular</v>
      </c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</row>
    <row r="56" spans="1:23" ht="15.75" customHeight="1">
      <c r="A56" s="15" t="s">
        <v>945</v>
      </c>
      <c r="B56" s="84" t="s">
        <v>946</v>
      </c>
      <c r="C56" s="15" t="str" cm="1">
        <f t="array" ref="C56">IF(COUNTA(_xlfn._xlws.FILTER(B:B, B:B = B56)) = 1, "Regular", "Conta Repetida")</f>
        <v>Regular</v>
      </c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</row>
    <row r="57" spans="1:23" ht="15.75" customHeight="1">
      <c r="A57" s="15" t="s">
        <v>947</v>
      </c>
      <c r="B57" s="84" t="s">
        <v>948</v>
      </c>
      <c r="C57" s="15" t="str" cm="1">
        <f t="array" ref="C57">IF(COUNTA(_xlfn._xlws.FILTER(B:B, B:B = B57)) = 1, "Regular", "Conta Repetida")</f>
        <v>Regular</v>
      </c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</row>
    <row r="58" spans="1:23" ht="15.75" customHeight="1">
      <c r="A58" s="15" t="s">
        <v>949</v>
      </c>
      <c r="B58" s="84" t="s">
        <v>950</v>
      </c>
      <c r="C58" s="15" t="str" cm="1">
        <f t="array" ref="C58">IF(COUNTA(_xlfn._xlws.FILTER(B:B, B:B = B58)) = 1, "Regular", "Conta Repetida")</f>
        <v>Regular</v>
      </c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</row>
    <row r="59" spans="1:23" ht="15.75" customHeight="1">
      <c r="A59" s="15" t="s">
        <v>951</v>
      </c>
      <c r="B59" s="84" t="s">
        <v>952</v>
      </c>
      <c r="C59" s="15" t="str" cm="1">
        <f t="array" ref="C59">IF(COUNTA(_xlfn._xlws.FILTER(B:B, B:B = B59)) = 1, "Regular", "Conta Repetida")</f>
        <v>Regular</v>
      </c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</row>
    <row r="60" spans="1:23" ht="15.75" customHeight="1">
      <c r="A60" s="15" t="s">
        <v>953</v>
      </c>
      <c r="B60" s="84" t="s">
        <v>954</v>
      </c>
      <c r="C60" s="15" t="str" cm="1">
        <f t="array" ref="C60">IF(COUNTA(_xlfn._xlws.FILTER(B:B, B:B = B60)) = 1, "Regular", "Conta Repetida")</f>
        <v>Regular</v>
      </c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</row>
    <row r="61" spans="1:23" ht="15.75" customHeight="1">
      <c r="A61" s="15" t="s">
        <v>955</v>
      </c>
      <c r="B61" s="84" t="s">
        <v>956</v>
      </c>
      <c r="C61" s="15" t="str" cm="1">
        <f t="array" ref="C61">IF(COUNTA(_xlfn._xlws.FILTER(B:B, B:B = B61)) = 1, "Regular", "Conta Repetida")</f>
        <v>Regular</v>
      </c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</row>
    <row r="62" spans="1:23" ht="15.75" customHeight="1">
      <c r="A62" s="15" t="s">
        <v>957</v>
      </c>
      <c r="B62" s="84" t="s">
        <v>958</v>
      </c>
      <c r="C62" s="15" t="str" cm="1">
        <f t="array" ref="C62">IF(COUNTA(_xlfn._xlws.FILTER(B:B, B:B = B62)) = 1, "Regular", "Conta Repetida")</f>
        <v>Regular</v>
      </c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</row>
    <row r="63" spans="1:23" ht="15.75" customHeight="1">
      <c r="A63" s="15" t="s">
        <v>959</v>
      </c>
      <c r="B63" s="84" t="s">
        <v>960</v>
      </c>
      <c r="C63" s="15" t="str" cm="1">
        <f t="array" ref="C63">IF(COUNTA(_xlfn._xlws.FILTER(B:B, B:B = B63)) = 1, "Regular", "Conta Repetida")</f>
        <v>Regular</v>
      </c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</row>
    <row r="64" spans="1:23" ht="15.75" customHeight="1">
      <c r="A64" s="15" t="s">
        <v>961</v>
      </c>
      <c r="B64" s="84" t="s">
        <v>962</v>
      </c>
      <c r="C64" s="15" t="str" cm="1">
        <f t="array" ref="C64">IF(COUNTA(_xlfn._xlws.FILTER(B:B, B:B = B64)) = 1, "Regular", "Conta Repetida")</f>
        <v>Regular</v>
      </c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</row>
    <row r="65" spans="1:23" ht="15.75" customHeight="1">
      <c r="A65" s="15" t="s">
        <v>963</v>
      </c>
      <c r="B65" s="84" t="s">
        <v>964</v>
      </c>
      <c r="C65" s="15" t="str" cm="1">
        <f t="array" ref="C65">IF(COUNTA(_xlfn._xlws.FILTER(B:B, B:B = B65)) = 1, "Regular", "Conta Repetida")</f>
        <v>Regular</v>
      </c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</row>
    <row r="66" spans="1:23" ht="15.75" customHeight="1">
      <c r="A66" s="15" t="s">
        <v>965</v>
      </c>
      <c r="B66" s="84" t="s">
        <v>966</v>
      </c>
      <c r="C66" s="15" t="str" cm="1">
        <f t="array" ref="C66">IF(COUNTA(_xlfn._xlws.FILTER(B:B, B:B = B66)) = 1, "Regular", "Conta Repetida")</f>
        <v>Regular</v>
      </c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</row>
    <row r="67" spans="1:23" ht="15.75" customHeight="1">
      <c r="A67" s="15" t="s">
        <v>967</v>
      </c>
      <c r="B67" s="84" t="s">
        <v>968</v>
      </c>
      <c r="C67" s="15" t="str" cm="1">
        <f t="array" ref="C67">IF(COUNTA(_xlfn._xlws.FILTER(B:B, B:B = B67)) = 1, "Regular", "Conta Repetida")</f>
        <v>Regular</v>
      </c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</row>
    <row r="68" spans="1:23" ht="15.75" customHeight="1">
      <c r="A68" s="15" t="s">
        <v>969</v>
      </c>
      <c r="B68" s="84" t="s">
        <v>970</v>
      </c>
      <c r="C68" s="15" t="str" cm="1">
        <f t="array" ref="C68">IF(COUNTA(_xlfn._xlws.FILTER(B:B, B:B = B68)) = 1, "Regular", "Conta Repetida")</f>
        <v>Regular</v>
      </c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</row>
    <row r="69" spans="1:23" ht="15.75" customHeight="1">
      <c r="A69" s="15" t="s">
        <v>971</v>
      </c>
      <c r="B69" s="84" t="s">
        <v>972</v>
      </c>
      <c r="C69" s="15" t="str" cm="1">
        <f t="array" ref="C69">IF(COUNTA(_xlfn._xlws.FILTER(B:B, B:B = B69)) = 1, "Regular", "Conta Repetida")</f>
        <v>Regular</v>
      </c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</row>
    <row r="70" spans="1:23" ht="15.75" customHeight="1">
      <c r="A70" s="15" t="s">
        <v>973</v>
      </c>
      <c r="B70" s="84" t="s">
        <v>974</v>
      </c>
      <c r="C70" s="15" t="str" cm="1">
        <f t="array" ref="C70">IF(COUNTA(_xlfn._xlws.FILTER(B:B, B:B = B70)) = 1, "Regular", "Conta Repetida")</f>
        <v>Regular</v>
      </c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</row>
    <row r="71" spans="1:23" ht="15.75" customHeight="1">
      <c r="A71" s="15" t="s">
        <v>975</v>
      </c>
      <c r="B71" s="84" t="s">
        <v>976</v>
      </c>
      <c r="C71" s="15" t="str" cm="1">
        <f t="array" ref="C71">IF(COUNTA(_xlfn._xlws.FILTER(B:B, B:B = B71)) = 1, "Regular", "Conta Repetida")</f>
        <v>Regular</v>
      </c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</row>
    <row r="72" spans="1:23" ht="15.75" customHeight="1">
      <c r="A72" s="15" t="s">
        <v>977</v>
      </c>
      <c r="B72" s="84" t="s">
        <v>978</v>
      </c>
      <c r="C72" s="15" t="str" cm="1">
        <f t="array" ref="C72">IF(COUNTA(_xlfn._xlws.FILTER(B:B, B:B = B72)) = 1, "Regular", "Conta Repetida")</f>
        <v>Regular</v>
      </c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</row>
    <row r="73" spans="1:23" ht="15.75" customHeight="1">
      <c r="A73" s="15" t="s">
        <v>979</v>
      </c>
      <c r="B73" s="84" t="s">
        <v>980</v>
      </c>
      <c r="C73" s="15" t="str" cm="1">
        <f t="array" ref="C73">IF(COUNTA(_xlfn._xlws.FILTER(B:B, B:B = B73)) = 1, "Regular", "Conta Repetida")</f>
        <v>Regular</v>
      </c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</row>
    <row r="74" spans="1:23" ht="15.75" customHeight="1">
      <c r="A74" s="15" t="s">
        <v>981</v>
      </c>
      <c r="B74" s="84" t="s">
        <v>982</v>
      </c>
      <c r="C74" s="15" t="str" cm="1">
        <f t="array" ref="C74">IF(COUNTA(_xlfn._xlws.FILTER(B:B, B:B = B74)) = 1, "Regular", "Conta Repetida")</f>
        <v>Regular</v>
      </c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</row>
    <row r="75" spans="1:23" ht="15.75" customHeight="1">
      <c r="A75" s="15" t="s">
        <v>983</v>
      </c>
      <c r="B75" s="84" t="s">
        <v>984</v>
      </c>
      <c r="C75" s="15" t="str" cm="1">
        <f t="array" ref="C75">IF(COUNTA(_xlfn._xlws.FILTER(B:B, B:B = B75)) = 1, "Regular", "Conta Repetida")</f>
        <v>Regular</v>
      </c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</row>
    <row r="76" spans="1:23" ht="15.75" customHeight="1">
      <c r="A76" s="15" t="s">
        <v>985</v>
      </c>
      <c r="B76" s="84" t="s">
        <v>986</v>
      </c>
      <c r="C76" s="15" t="str" cm="1">
        <f t="array" ref="C76">IF(COUNTA(_xlfn._xlws.FILTER(B:B, B:B = B76)) = 1, "Regular", "Conta Repetida")</f>
        <v>Regular</v>
      </c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</row>
    <row r="77" spans="1:23" ht="15.75" customHeight="1">
      <c r="A77" s="15" t="s">
        <v>987</v>
      </c>
      <c r="B77" s="84">
        <v>15678</v>
      </c>
      <c r="C77" s="15" t="str" cm="1">
        <f t="array" ref="C77">IF(COUNTA(_xlfn._xlws.FILTER(B:B, B:B = B77)) = 1, "Regular", "Conta Repetida")</f>
        <v>Regular</v>
      </c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</row>
    <row r="78" spans="1:23" ht="15.75" customHeight="1">
      <c r="A78" s="15" t="s">
        <v>988</v>
      </c>
      <c r="B78" s="84">
        <v>26542</v>
      </c>
      <c r="C78" s="15" t="str" cm="1">
        <f t="array" ref="C78">IF(COUNTA(_xlfn._xlws.FILTER(B:B, B:B = B78)) = 1, "Regular", "Conta Repetida")</f>
        <v>Regular</v>
      </c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</row>
    <row r="79" spans="1:23" ht="15.75" customHeight="1">
      <c r="A79" s="14" t="s">
        <v>989</v>
      </c>
      <c r="B79" s="84">
        <v>12345</v>
      </c>
      <c r="C79" s="15" t="str" cm="1">
        <f t="array" ref="C79">IF(COUNTA(_xlfn._xlws.FILTER(B:B, B:B = B79)) = 1, "Regular", "Conta Repetida")</f>
        <v>Regular</v>
      </c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</row>
    <row r="80" spans="1:23" ht="15.75" customHeight="1">
      <c r="A80" s="14" t="s">
        <v>990</v>
      </c>
      <c r="B80" s="84">
        <v>12344</v>
      </c>
      <c r="C80" s="15" t="str" cm="1">
        <f t="array" ref="C80">IF(COUNTA(_xlfn._xlws.FILTER(B:B, B:B = B80)) = 1, "Regular", "Conta Repetida")</f>
        <v>Regular</v>
      </c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</row>
    <row r="81" spans="1:23" ht="15.75" customHeight="1">
      <c r="A81" s="15" t="s">
        <v>991</v>
      </c>
      <c r="B81" s="84">
        <v>12343</v>
      </c>
      <c r="C81" s="15" t="str" cm="1">
        <f t="array" ref="C81">IF(COUNTA(_xlfn._xlws.FILTER(B:B, B:B = B81)) = 1, "Regular", "Conta Repetida")</f>
        <v>Regular</v>
      </c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</row>
    <row r="82" spans="1:23" ht="15.75" customHeight="1">
      <c r="A82" s="15" t="s">
        <v>992</v>
      </c>
      <c r="B82" s="84">
        <v>12342</v>
      </c>
      <c r="C82" s="15" t="str" cm="1">
        <f t="array" ref="C82">IF(COUNTA(_xlfn._xlws.FILTER(B:B, B:B = B82)) = 1, "Regular", "Conta Repetida")</f>
        <v>Regular</v>
      </c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</row>
    <row r="83" spans="1:23" ht="15.75" customHeight="1">
      <c r="A83" s="14" t="s">
        <v>993</v>
      </c>
      <c r="B83" s="84">
        <v>12341</v>
      </c>
      <c r="C83" s="15" t="str" cm="1">
        <f t="array" ref="C83">IF(COUNTA(_xlfn._xlws.FILTER(B:B, B:B = B83)) = 1, "Regular", "Conta Repetida")</f>
        <v>Regular</v>
      </c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</row>
    <row r="84" spans="1:23" ht="15.75" customHeight="1">
      <c r="A84" s="14" t="s">
        <v>994</v>
      </c>
      <c r="B84" s="84">
        <v>12340</v>
      </c>
      <c r="C84" s="15" t="str" cm="1">
        <f t="array" ref="C84">IF(COUNTA(_xlfn._xlws.FILTER(B:B, B:B = B84)) = 1, "Regular", "Conta Repetida")</f>
        <v>Regular</v>
      </c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</row>
    <row r="85" spans="1:23" ht="15.75" customHeight="1">
      <c r="A85" s="14" t="s">
        <v>995</v>
      </c>
      <c r="B85" s="84">
        <v>12339</v>
      </c>
      <c r="C85" s="15" t="str" cm="1">
        <f t="array" ref="C85">IF(COUNTA(_xlfn._xlws.FILTER(B:B, B:B = B85)) = 1, "Regular", "Conta Repetida")</f>
        <v>Regular</v>
      </c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</row>
    <row r="86" spans="1:23" ht="15.75" customHeight="1">
      <c r="A86" s="14" t="s">
        <v>996</v>
      </c>
      <c r="B86" s="84">
        <v>12338</v>
      </c>
      <c r="C86" s="15" t="str" cm="1">
        <f t="array" ref="C86">IF(COUNTA(_xlfn._xlws.FILTER(B:B, B:B = B86)) = 1, "Regular", "Conta Repetida")</f>
        <v>Regular</v>
      </c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</row>
    <row r="87" spans="1:23" ht="15.75" customHeight="1">
      <c r="A87" s="14" t="s">
        <v>997</v>
      </c>
      <c r="B87" s="84">
        <v>12337</v>
      </c>
      <c r="C87" s="15" t="str" cm="1">
        <f t="array" ref="C87">IF(COUNTA(_xlfn._xlws.FILTER(B:B, B:B = B87)) = 1, "Regular", "Conta Repetida")</f>
        <v>Regular</v>
      </c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</row>
    <row r="88" spans="1:23" ht="15.75" customHeight="1">
      <c r="A88" s="14" t="s">
        <v>998</v>
      </c>
      <c r="B88" s="84">
        <v>12336</v>
      </c>
      <c r="C88" s="15" t="str" cm="1">
        <f t="array" ref="C88">IF(COUNTA(_xlfn._xlws.FILTER(B:B, B:B = B88)) = 1, "Regular", "Conta Repetida")</f>
        <v>Regular</v>
      </c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</row>
    <row r="89" spans="1:23" ht="15.75" customHeight="1">
      <c r="A89" s="14" t="s">
        <v>999</v>
      </c>
      <c r="B89" s="84">
        <v>12335</v>
      </c>
      <c r="C89" s="15" t="str" cm="1">
        <f t="array" ref="C89">IF(COUNTA(_xlfn._xlws.FILTER(B:B, B:B = B89)) = 1, "Regular", "Conta Repetida")</f>
        <v>Regular</v>
      </c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</row>
    <row r="90" spans="1:23" ht="15.75" customHeight="1">
      <c r="A90" s="14" t="s">
        <v>1000</v>
      </c>
      <c r="B90" s="84">
        <v>12334</v>
      </c>
      <c r="C90" s="15" t="str" cm="1">
        <f t="array" ref="C90">IF(COUNTA(_xlfn._xlws.FILTER(B:B, B:B = B90)) = 1, "Regular", "Conta Repetida")</f>
        <v>Regular</v>
      </c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</row>
    <row r="91" spans="1:23" ht="15.75" customHeight="1">
      <c r="A91" s="14" t="s">
        <v>851</v>
      </c>
      <c r="B91" s="84">
        <v>12333</v>
      </c>
      <c r="C91" s="15" t="str" cm="1">
        <f t="array" ref="C91">IF(COUNTA(_xlfn._xlws.FILTER(B:B, B:B = B91)) = 1, "Regular", "Conta Repetida")</f>
        <v>Regular</v>
      </c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</row>
    <row r="92" spans="1:23" ht="15.75" customHeight="1">
      <c r="A92" s="14" t="s">
        <v>1001</v>
      </c>
      <c r="B92" s="84">
        <v>12332</v>
      </c>
      <c r="C92" s="15" t="str" cm="1">
        <f t="array" ref="C92">IF(COUNTA(_xlfn._xlws.FILTER(B:B, B:B = B92)) = 1, "Regular", "Conta Repetida")</f>
        <v>Regular</v>
      </c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</row>
    <row r="93" spans="1:23" ht="15.75" customHeight="1">
      <c r="A93" s="14" t="s">
        <v>1002</v>
      </c>
      <c r="B93" s="84">
        <v>12331</v>
      </c>
      <c r="C93" s="15" t="str" cm="1">
        <f t="array" ref="C93">IF(COUNTA(_xlfn._xlws.FILTER(B:B, B:B = B93)) = 1, "Regular", "Conta Repetida")</f>
        <v>Regular</v>
      </c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</row>
    <row r="94" spans="1:23" ht="15.75" customHeight="1">
      <c r="A94" s="14" t="s">
        <v>1003</v>
      </c>
      <c r="B94" s="84">
        <v>12330</v>
      </c>
      <c r="C94" s="15" t="str" cm="1">
        <f t="array" ref="C94">IF(COUNTA(_xlfn._xlws.FILTER(B:B, B:B = B94)) = 1, "Regular", "Conta Repetida")</f>
        <v>Regular</v>
      </c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</row>
    <row r="95" spans="1:23" ht="15.75" customHeight="1">
      <c r="A95" s="14" t="s">
        <v>1004</v>
      </c>
      <c r="B95" s="84">
        <v>12347</v>
      </c>
      <c r="C95" s="15" t="str" cm="1">
        <f t="array" ref="C95">IF(COUNTA(_xlfn._xlws.FILTER(B:B, B:B = B95)) = 1, "Regular", "Conta Repetida")</f>
        <v>Regular</v>
      </c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</row>
    <row r="96" spans="1:23" ht="15.75" customHeight="1">
      <c r="A96" s="14" t="s">
        <v>1005</v>
      </c>
      <c r="B96" s="84">
        <v>12348</v>
      </c>
      <c r="C96" s="15" t="str" cm="1">
        <f t="array" ref="C96">IF(COUNTA(_xlfn._xlws.FILTER(B:B, B:B = B96)) = 1, "Regular", "Conta Repetida")</f>
        <v>Regular</v>
      </c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</row>
    <row r="97" spans="1:23" ht="15.75" customHeight="1">
      <c r="A97" s="14" t="s">
        <v>1006</v>
      </c>
      <c r="B97" s="84">
        <v>12349</v>
      </c>
      <c r="C97" s="15" t="str" cm="1">
        <f t="array" ref="C97">IF(COUNTA(_xlfn._xlws.FILTER(B:B, B:B = B97)) = 1, "Regular", "Conta Repetida")</f>
        <v>Regular</v>
      </c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</row>
    <row r="98" spans="1:23" ht="15.75" customHeight="1">
      <c r="A98" s="14" t="s">
        <v>1007</v>
      </c>
      <c r="B98" s="84">
        <v>12350</v>
      </c>
      <c r="C98" s="15" t="str" cm="1">
        <f t="array" ref="C98">IF(COUNTA(_xlfn._xlws.FILTER(B:B, B:B = B98)) = 1, "Regular", "Conta Repetida")</f>
        <v>Regular</v>
      </c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</row>
    <row r="99" spans="1:23" ht="15.75" customHeight="1">
      <c r="A99" s="14" t="s">
        <v>1008</v>
      </c>
      <c r="B99" s="84">
        <v>12351</v>
      </c>
      <c r="C99" s="15" t="str" cm="1">
        <f t="array" ref="C99">IF(COUNTA(_xlfn._xlws.FILTER(B:B, B:B = B99)) = 1, "Regular", "Conta Repetida")</f>
        <v>Regular</v>
      </c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</row>
    <row r="100" spans="1:23" ht="15.75" customHeight="1">
      <c r="A100" s="14" t="s">
        <v>1009</v>
      </c>
      <c r="B100" s="84">
        <v>12352</v>
      </c>
      <c r="C100" s="15" t="str" cm="1">
        <f t="array" ref="C100">IF(COUNTA(_xlfn._xlws.FILTER(B:B, B:B = B100)) = 1, "Regular", "Conta Repetida")</f>
        <v>Regular</v>
      </c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</row>
    <row r="101" spans="1:23" ht="15.75" customHeight="1">
      <c r="A101" s="14" t="s">
        <v>1010</v>
      </c>
      <c r="B101" s="84">
        <v>12353</v>
      </c>
      <c r="C101" s="15" t="str" cm="1">
        <f t="array" ref="C101">IF(COUNTA(_xlfn._xlws.FILTER(B:B, B:B = B101)) = 1, "Regular", "Conta Repetida")</f>
        <v>Regular</v>
      </c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</row>
    <row r="102" spans="1:23" ht="15.75" customHeight="1">
      <c r="A102" s="84" t="s">
        <v>1011</v>
      </c>
      <c r="B102" s="84">
        <v>12354</v>
      </c>
      <c r="C102" s="15" t="str" cm="1">
        <f t="array" ref="C102">IF(COUNTA(_xlfn._xlws.FILTER(B:B, B:B = B102)) = 1, "Regular", "Conta Repetida")</f>
        <v>Regular</v>
      </c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</row>
    <row r="103" spans="1:23" ht="15.75" customHeight="1">
      <c r="A103" s="14" t="s">
        <v>1012</v>
      </c>
      <c r="B103" s="84">
        <v>12355</v>
      </c>
      <c r="C103" s="15" t="str" cm="1">
        <f t="array" ref="C103">IF(COUNTA(_xlfn._xlws.FILTER(B:B, B:B = B103)) = 1, "Regular", "Conta Repetida")</f>
        <v>Regular</v>
      </c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</row>
    <row r="104" spans="1:23" ht="15.75" customHeight="1">
      <c r="A104" s="33" t="s">
        <v>1013</v>
      </c>
      <c r="B104" s="85">
        <v>12356</v>
      </c>
      <c r="C104" s="21" t="s">
        <v>1014</v>
      </c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</row>
    <row r="105" spans="1:23" ht="15.75" customHeight="1">
      <c r="A105" s="10" t="s">
        <v>1015</v>
      </c>
      <c r="B105" s="85">
        <v>12357</v>
      </c>
      <c r="C105" s="21" t="s">
        <v>1014</v>
      </c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</row>
    <row r="106" spans="1:23" ht="15.75" customHeight="1">
      <c r="A106" s="10" t="s">
        <v>1016</v>
      </c>
      <c r="B106" s="85">
        <v>12358</v>
      </c>
      <c r="C106" s="21" t="s">
        <v>1014</v>
      </c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</row>
    <row r="107" spans="1:23" ht="15.75" customHeight="1">
      <c r="A107" s="33" t="s">
        <v>1017</v>
      </c>
      <c r="B107" s="85">
        <v>12359</v>
      </c>
      <c r="C107" s="21" t="s">
        <v>1014</v>
      </c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</row>
    <row r="108" spans="1:23" ht="15.75" customHeight="1">
      <c r="A108" s="33" t="s">
        <v>1018</v>
      </c>
      <c r="B108" s="85">
        <v>12360</v>
      </c>
      <c r="C108" s="21" t="s">
        <v>1014</v>
      </c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</row>
    <row r="109" spans="1:23" ht="15.75" customHeight="1">
      <c r="A109" s="10" t="s">
        <v>1019</v>
      </c>
      <c r="B109" s="85">
        <v>12361</v>
      </c>
      <c r="C109" s="21" t="s">
        <v>1014</v>
      </c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</row>
    <row r="110" spans="1:23" ht="15.75" customHeight="1">
      <c r="A110" s="35" t="s">
        <v>1020</v>
      </c>
      <c r="B110" s="85">
        <v>12362</v>
      </c>
      <c r="C110" s="21" t="s">
        <v>1014</v>
      </c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</row>
    <row r="111" spans="1:23" ht="15.75" customHeight="1">
      <c r="A111" s="62" t="s">
        <v>1021</v>
      </c>
      <c r="B111" s="85">
        <v>12363</v>
      </c>
      <c r="C111" s="21" t="s">
        <v>1014</v>
      </c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</row>
    <row r="112" spans="1:23" ht="15.75" customHeight="1">
      <c r="A112" s="21"/>
      <c r="B112" s="85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</row>
    <row r="113" spans="1:23" ht="15.75" customHeight="1">
      <c r="A113" s="21"/>
      <c r="B113" s="85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</row>
    <row r="114" spans="1:23" ht="15.75" customHeight="1">
      <c r="A114" s="21"/>
      <c r="B114" s="85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</row>
    <row r="115" spans="1:23" ht="15.75" customHeight="1">
      <c r="A115" s="21"/>
      <c r="B115" s="85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</row>
    <row r="116" spans="1:23" ht="15.75" customHeight="1">
      <c r="A116" s="21"/>
      <c r="B116" s="85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</row>
    <row r="117" spans="1:23" ht="15.75" customHeight="1">
      <c r="A117" s="21"/>
      <c r="B117" s="85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</row>
    <row r="118" spans="1:23" ht="15.75" customHeight="1">
      <c r="A118" s="21"/>
      <c r="B118" s="85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</row>
    <row r="119" spans="1:23" ht="15.75" customHeight="1">
      <c r="A119" s="21"/>
      <c r="B119" s="85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</row>
    <row r="120" spans="1:23" ht="15.75" customHeight="1">
      <c r="A120" s="21"/>
      <c r="B120" s="85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</row>
    <row r="121" spans="1:23" ht="15.75" customHeight="1">
      <c r="A121" s="21"/>
      <c r="B121" s="85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</row>
    <row r="122" spans="1:23" ht="15.75" customHeight="1">
      <c r="A122" s="21"/>
      <c r="B122" s="85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</row>
    <row r="123" spans="1:23" ht="15.75" customHeight="1">
      <c r="A123" s="21"/>
      <c r="B123" s="85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</row>
    <row r="124" spans="1:23" ht="15.75" customHeight="1">
      <c r="A124" s="21"/>
      <c r="B124" s="85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</row>
    <row r="125" spans="1:23" ht="15.75" customHeight="1">
      <c r="A125" s="21"/>
      <c r="B125" s="85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</row>
    <row r="126" spans="1:23" ht="15.75" customHeight="1">
      <c r="A126" s="21"/>
      <c r="B126" s="85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</row>
    <row r="127" spans="1:23" ht="15.75" customHeight="1">
      <c r="A127" s="21"/>
      <c r="B127" s="85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</row>
    <row r="128" spans="1:23" ht="15.75" customHeight="1">
      <c r="A128" s="21"/>
      <c r="B128" s="85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</row>
    <row r="129" spans="1:23" ht="15.75" customHeight="1">
      <c r="A129" s="21"/>
      <c r="B129" s="85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</row>
    <row r="130" spans="1:23" ht="15.75" customHeight="1">
      <c r="A130" s="21"/>
      <c r="B130" s="85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</row>
    <row r="131" spans="1:23" ht="15.75" customHeight="1">
      <c r="A131" s="21"/>
      <c r="B131" s="85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</row>
    <row r="132" spans="1:23" ht="15.75" customHeight="1">
      <c r="A132" s="21"/>
      <c r="B132" s="85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</row>
    <row r="133" spans="1:23" ht="15.75" customHeight="1">
      <c r="A133" s="21"/>
      <c r="B133" s="85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</row>
    <row r="134" spans="1:23" ht="15.75" customHeight="1">
      <c r="A134" s="21"/>
      <c r="B134" s="85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</row>
    <row r="135" spans="1:23" ht="15.75" customHeight="1">
      <c r="A135" s="21"/>
      <c r="B135" s="85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</row>
    <row r="136" spans="1:23" ht="15.75" customHeight="1">
      <c r="A136" s="21"/>
      <c r="B136" s="85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</row>
    <row r="137" spans="1:23" ht="15.75" customHeight="1">
      <c r="A137" s="21"/>
      <c r="B137" s="85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</row>
    <row r="138" spans="1:23" ht="15.75" customHeight="1">
      <c r="A138" s="21"/>
      <c r="B138" s="85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</row>
    <row r="139" spans="1:23" ht="15.75" customHeight="1">
      <c r="A139" s="21"/>
      <c r="B139" s="85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</row>
    <row r="140" spans="1:23" ht="15.75" customHeight="1">
      <c r="A140" s="21"/>
      <c r="B140" s="85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</row>
    <row r="141" spans="1:23" ht="15.75" customHeight="1">
      <c r="A141" s="21"/>
      <c r="B141" s="85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</row>
    <row r="142" spans="1:23" ht="15.75" customHeight="1">
      <c r="A142" s="21"/>
      <c r="B142" s="85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</row>
    <row r="143" spans="1:23" ht="15.75" customHeight="1">
      <c r="A143" s="21"/>
      <c r="B143" s="85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</row>
    <row r="144" spans="1:23" ht="15.75" customHeight="1">
      <c r="A144" s="21"/>
      <c r="B144" s="85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</row>
    <row r="145" spans="1:23" ht="15.75" customHeight="1">
      <c r="A145" s="21"/>
      <c r="B145" s="85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</row>
    <row r="146" spans="1:23" ht="15.75" customHeight="1">
      <c r="A146" s="21"/>
      <c r="B146" s="85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</row>
    <row r="147" spans="1:23" ht="15.75" customHeight="1">
      <c r="A147" s="21"/>
      <c r="B147" s="85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</row>
    <row r="148" spans="1:23" ht="15.75" customHeight="1">
      <c r="A148" s="21"/>
      <c r="B148" s="85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</row>
    <row r="149" spans="1:23" ht="15.75" customHeight="1">
      <c r="A149" s="21"/>
      <c r="B149" s="85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</row>
    <row r="150" spans="1:23" ht="15.75" customHeight="1">
      <c r="A150" s="21"/>
      <c r="B150" s="85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</row>
    <row r="151" spans="1:23" ht="15.75" customHeight="1">
      <c r="A151" s="21"/>
      <c r="B151" s="85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</row>
    <row r="152" spans="1:23" ht="15.75" customHeight="1">
      <c r="A152" s="21"/>
      <c r="B152" s="85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</row>
    <row r="153" spans="1:23" ht="15.75" customHeight="1">
      <c r="A153" s="21"/>
      <c r="B153" s="85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</row>
    <row r="154" spans="1:23" ht="15.75" customHeight="1">
      <c r="A154" s="21"/>
      <c r="B154" s="85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</row>
    <row r="155" spans="1:23" ht="15.75" customHeight="1">
      <c r="A155" s="21"/>
      <c r="B155" s="85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</row>
    <row r="156" spans="1:23" ht="15.75" customHeight="1">
      <c r="A156" s="21"/>
      <c r="B156" s="85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</row>
    <row r="157" spans="1:23" ht="15.75" customHeight="1">
      <c r="A157" s="21"/>
      <c r="B157" s="85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</row>
    <row r="158" spans="1:23" ht="15.75" customHeight="1">
      <c r="A158" s="21"/>
      <c r="B158" s="85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</row>
    <row r="159" spans="1:23" ht="15.75" customHeight="1">
      <c r="A159" s="21"/>
      <c r="B159" s="85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</row>
    <row r="160" spans="1:23" ht="15.75" customHeight="1">
      <c r="A160" s="21"/>
      <c r="B160" s="85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</row>
    <row r="161" spans="1:23" ht="15.75" customHeight="1">
      <c r="A161" s="21"/>
      <c r="B161" s="85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</row>
    <row r="162" spans="1:23" ht="15.75" customHeight="1">
      <c r="A162" s="21"/>
      <c r="B162" s="85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</row>
    <row r="163" spans="1:23" ht="15.75" customHeight="1">
      <c r="A163" s="21"/>
      <c r="B163" s="85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</row>
    <row r="164" spans="1:23" ht="15.75" customHeight="1">
      <c r="A164" s="21"/>
      <c r="B164" s="85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</row>
    <row r="165" spans="1:23" ht="15.75" customHeight="1">
      <c r="A165" s="21"/>
      <c r="B165" s="85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</row>
    <row r="166" spans="1:23" ht="15.75" customHeight="1">
      <c r="A166" s="21"/>
      <c r="B166" s="85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</row>
    <row r="167" spans="1:23" ht="15.75" customHeight="1">
      <c r="A167" s="21"/>
      <c r="B167" s="85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</row>
    <row r="168" spans="1:23" ht="15.75" customHeight="1">
      <c r="A168" s="21"/>
      <c r="B168" s="85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</row>
    <row r="169" spans="1:23" ht="15.75" customHeight="1">
      <c r="A169" s="21"/>
      <c r="B169" s="85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</row>
    <row r="170" spans="1:23" ht="15.75" customHeight="1">
      <c r="A170" s="21"/>
      <c r="B170" s="85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</row>
    <row r="171" spans="1:23" ht="15.75" customHeight="1">
      <c r="A171" s="21"/>
      <c r="B171" s="85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</row>
    <row r="172" spans="1:23" ht="15.75" customHeight="1">
      <c r="A172" s="21"/>
      <c r="B172" s="85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</row>
    <row r="173" spans="1:23" ht="15.75" customHeight="1">
      <c r="A173" s="21"/>
      <c r="B173" s="85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</row>
    <row r="174" spans="1:23" ht="15.75" customHeight="1">
      <c r="A174" s="21"/>
      <c r="B174" s="85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</row>
    <row r="175" spans="1:23" ht="15.75" customHeight="1">
      <c r="A175" s="21"/>
      <c r="B175" s="85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</row>
    <row r="176" spans="1:23" ht="15.75" customHeight="1">
      <c r="A176" s="21"/>
      <c r="B176" s="85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</row>
    <row r="177" spans="1:23" ht="15.75" customHeight="1">
      <c r="A177" s="21"/>
      <c r="B177" s="85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</row>
    <row r="178" spans="1:23" ht="15.75" customHeight="1">
      <c r="A178" s="21"/>
      <c r="B178" s="85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</row>
    <row r="179" spans="1:23" ht="15.75" customHeight="1">
      <c r="A179" s="21"/>
      <c r="B179" s="85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</row>
    <row r="180" spans="1:23" ht="15.75" customHeight="1">
      <c r="A180" s="21"/>
      <c r="B180" s="85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</row>
    <row r="181" spans="1:23" ht="15.75" customHeight="1">
      <c r="A181" s="21"/>
      <c r="B181" s="85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</row>
    <row r="182" spans="1:23" ht="15.75" customHeight="1">
      <c r="A182" s="21"/>
      <c r="B182" s="85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</row>
    <row r="183" spans="1:23" ht="15.75" customHeight="1">
      <c r="A183" s="21"/>
      <c r="B183" s="85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</row>
    <row r="184" spans="1:23" ht="15.75" customHeight="1">
      <c r="A184" s="21"/>
      <c r="B184" s="85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</row>
    <row r="185" spans="1:23" ht="15.75" customHeight="1">
      <c r="A185" s="21"/>
      <c r="B185" s="85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</row>
    <row r="186" spans="1:23" ht="15.75" customHeight="1">
      <c r="A186" s="21"/>
      <c r="B186" s="85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</row>
    <row r="187" spans="1:23" ht="15.75" customHeight="1">
      <c r="A187" s="21"/>
      <c r="B187" s="85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</row>
    <row r="188" spans="1:23" ht="15.75" customHeight="1">
      <c r="A188" s="21"/>
      <c r="B188" s="85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</row>
    <row r="189" spans="1:23" ht="15.75" customHeight="1">
      <c r="A189" s="21"/>
      <c r="B189" s="85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</row>
    <row r="190" spans="1:23" ht="15.75" customHeight="1">
      <c r="A190" s="21"/>
      <c r="B190" s="85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</row>
    <row r="191" spans="1:23" ht="15.75" customHeight="1">
      <c r="A191" s="21"/>
      <c r="B191" s="85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</row>
    <row r="192" spans="1:23" ht="15.75" customHeight="1">
      <c r="A192" s="21"/>
      <c r="B192" s="85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</row>
    <row r="193" spans="1:23" ht="15.75" customHeight="1">
      <c r="A193" s="21"/>
      <c r="B193" s="85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</row>
    <row r="194" spans="1:23" ht="15.75" customHeight="1">
      <c r="A194" s="21"/>
      <c r="B194" s="85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</row>
    <row r="195" spans="1:23" ht="15.75" customHeight="1">
      <c r="A195" s="21"/>
      <c r="B195" s="85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</row>
    <row r="196" spans="1:23" ht="15.75" customHeight="1">
      <c r="A196" s="21"/>
      <c r="B196" s="85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</row>
    <row r="197" spans="1:23" ht="15.75" customHeight="1">
      <c r="A197" s="21"/>
      <c r="B197" s="85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</row>
    <row r="198" spans="1:23" ht="15.75" customHeight="1">
      <c r="A198" s="21"/>
      <c r="B198" s="85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</row>
    <row r="199" spans="1:23" ht="15.75" customHeight="1">
      <c r="A199" s="21"/>
      <c r="B199" s="85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</row>
    <row r="200" spans="1:23" ht="15.75" customHeight="1">
      <c r="A200" s="21"/>
      <c r="B200" s="85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</row>
    <row r="201" spans="1:23" ht="15.75" customHeight="1"/>
    <row r="202" spans="1:23" ht="15.75" customHeight="1"/>
    <row r="203" spans="1:23" ht="15.75" customHeight="1"/>
    <row r="204" spans="1:23" ht="15.75" customHeight="1"/>
    <row r="205" spans="1:23" ht="15.75" customHeight="1"/>
    <row r="206" spans="1:23" ht="15.75" customHeight="1"/>
    <row r="207" spans="1:23" ht="15.75" customHeight="1"/>
    <row r="208" spans="1:23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90:A106">
    <cfRule type="cellIs" dxfId="3" priority="1" operator="equal">
      <formula>"Bluemetrix"</formula>
    </cfRule>
  </conditionalFormatting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AU1300"/>
  <sheetViews>
    <sheetView workbookViewId="0"/>
  </sheetViews>
  <sheetFormatPr defaultColWidth="12.5703125" defaultRowHeight="15" customHeight="1"/>
  <cols>
    <col min="1" max="1" width="12.28515625" customWidth="1"/>
    <col min="2" max="2" width="11" style="95" customWidth="1"/>
    <col min="3" max="3" width="11.140625" style="54" customWidth="1"/>
    <col min="4" max="4" width="16.42578125" style="54" customWidth="1"/>
    <col min="5" max="5" width="16" customWidth="1"/>
    <col min="6" max="6" width="62.28515625" customWidth="1"/>
    <col min="7" max="7" width="12.42578125" customWidth="1"/>
    <col min="8" max="8" width="5.7109375" customWidth="1"/>
    <col min="9" max="9" width="15.85546875" customWidth="1"/>
    <col min="10" max="10" width="16.42578125" customWidth="1"/>
    <col min="11" max="11" width="16" customWidth="1"/>
    <col min="28" max="31" width="12.5703125" style="27"/>
  </cols>
  <sheetData>
    <row r="1" spans="1:27" ht="15.75" customHeight="1">
      <c r="A1" s="86" t="s">
        <v>1022</v>
      </c>
      <c r="B1" s="87" t="s">
        <v>7</v>
      </c>
      <c r="C1" s="86" t="s">
        <v>0</v>
      </c>
      <c r="D1" s="86" t="s">
        <v>1023</v>
      </c>
      <c r="E1" s="88" t="s">
        <v>1024</v>
      </c>
      <c r="F1" s="86" t="s">
        <v>625</v>
      </c>
      <c r="G1" s="86" t="s">
        <v>815</v>
      </c>
      <c r="H1" s="86" t="s">
        <v>8</v>
      </c>
      <c r="I1" s="86" t="s">
        <v>816</v>
      </c>
      <c r="J1" s="89" t="s">
        <v>819</v>
      </c>
      <c r="K1" s="86" t="s">
        <v>1025</v>
      </c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</row>
    <row r="2" spans="1:27" ht="15.75" customHeight="1">
      <c r="A2" s="44">
        <v>43768</v>
      </c>
      <c r="B2" s="57" t="s">
        <v>1026</v>
      </c>
      <c r="C2" s="33" t="s">
        <v>1027</v>
      </c>
      <c r="D2" s="33" t="s">
        <v>1028</v>
      </c>
      <c r="E2" s="90">
        <v>0</v>
      </c>
      <c r="F2" s="33" t="s">
        <v>1029</v>
      </c>
      <c r="G2" s="44" t="s">
        <v>830</v>
      </c>
      <c r="H2" s="44" t="s">
        <v>86</v>
      </c>
      <c r="I2" s="44" t="s">
        <v>878</v>
      </c>
      <c r="J2" s="44">
        <v>43567</v>
      </c>
      <c r="K2" s="91" t="s">
        <v>1030</v>
      </c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</row>
    <row r="3" spans="1:27" ht="15.75" customHeight="1">
      <c r="A3" s="44">
        <v>43782</v>
      </c>
      <c r="B3" s="57" t="s">
        <v>1031</v>
      </c>
      <c r="C3" s="33" t="s">
        <v>1027</v>
      </c>
      <c r="D3" s="33" t="s">
        <v>1028</v>
      </c>
      <c r="E3" s="90">
        <v>0</v>
      </c>
      <c r="F3" s="33" t="s">
        <v>1032</v>
      </c>
      <c r="G3" s="44" t="s">
        <v>830</v>
      </c>
      <c r="H3" s="44" t="s">
        <v>86</v>
      </c>
      <c r="I3" s="44" t="s">
        <v>969</v>
      </c>
      <c r="J3" s="44">
        <v>43567</v>
      </c>
      <c r="K3" s="91" t="s">
        <v>1033</v>
      </c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</row>
    <row r="4" spans="1:27" ht="15.75" customHeight="1">
      <c r="A4" s="44">
        <v>43862</v>
      </c>
      <c r="B4" s="57" t="s">
        <v>1034</v>
      </c>
      <c r="C4" s="33" t="s">
        <v>1027</v>
      </c>
      <c r="D4" s="33" t="s">
        <v>1028</v>
      </c>
      <c r="E4" s="90">
        <v>0</v>
      </c>
      <c r="F4" s="33" t="s">
        <v>1035</v>
      </c>
      <c r="G4" s="44" t="s">
        <v>835</v>
      </c>
      <c r="H4" s="44" t="s">
        <v>86</v>
      </c>
      <c r="I4" s="44" t="s">
        <v>920</v>
      </c>
      <c r="J4" s="44">
        <v>43461</v>
      </c>
      <c r="K4" s="91" t="s">
        <v>1033</v>
      </c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</row>
    <row r="5" spans="1:27" ht="15.75" customHeight="1">
      <c r="A5" s="45">
        <v>43893</v>
      </c>
      <c r="B5" s="64" t="s">
        <v>1036</v>
      </c>
      <c r="C5" s="46" t="s">
        <v>1027</v>
      </c>
      <c r="D5" s="33" t="s">
        <v>1037</v>
      </c>
      <c r="E5" s="90">
        <v>25000</v>
      </c>
      <c r="F5" s="33" t="s">
        <v>1038</v>
      </c>
      <c r="G5" s="44" t="s">
        <v>830</v>
      </c>
      <c r="H5" s="44" t="s">
        <v>86</v>
      </c>
      <c r="I5" s="44" t="s">
        <v>878</v>
      </c>
      <c r="J5" s="44">
        <v>43675</v>
      </c>
      <c r="K5" s="91" t="s">
        <v>1033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</row>
    <row r="6" spans="1:27" ht="15.75" customHeight="1">
      <c r="A6" s="45">
        <v>43893</v>
      </c>
      <c r="B6" s="64" t="s">
        <v>1039</v>
      </c>
      <c r="C6" s="46" t="s">
        <v>1027</v>
      </c>
      <c r="D6" s="33" t="s">
        <v>1037</v>
      </c>
      <c r="E6" s="90">
        <v>6000</v>
      </c>
      <c r="F6" s="33" t="s">
        <v>1040</v>
      </c>
      <c r="G6" s="44" t="s">
        <v>830</v>
      </c>
      <c r="H6" s="44" t="s">
        <v>86</v>
      </c>
      <c r="I6" s="44" t="s">
        <v>969</v>
      </c>
      <c r="J6" s="44">
        <v>43620</v>
      </c>
      <c r="K6" s="91" t="s">
        <v>1041</v>
      </c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</row>
    <row r="7" spans="1:27" ht="15.75" customHeight="1">
      <c r="A7" s="45">
        <v>43894</v>
      </c>
      <c r="B7" s="64" t="s">
        <v>1042</v>
      </c>
      <c r="C7" s="46" t="s">
        <v>48</v>
      </c>
      <c r="D7" s="33" t="s">
        <v>1037</v>
      </c>
      <c r="E7" s="90">
        <v>50000</v>
      </c>
      <c r="F7" s="33" t="s">
        <v>776</v>
      </c>
      <c r="G7" s="33" t="s">
        <v>830</v>
      </c>
      <c r="H7" s="33" t="s">
        <v>86</v>
      </c>
      <c r="I7" s="33" t="s">
        <v>830</v>
      </c>
      <c r="J7" s="44">
        <v>43749</v>
      </c>
      <c r="K7" s="92" t="s">
        <v>1033</v>
      </c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</row>
    <row r="8" spans="1:27" ht="15.75" customHeight="1">
      <c r="A8" s="45">
        <v>43894</v>
      </c>
      <c r="B8" s="64" t="s">
        <v>1036</v>
      </c>
      <c r="C8" s="46" t="s">
        <v>1027</v>
      </c>
      <c r="D8" s="33" t="s">
        <v>1037</v>
      </c>
      <c r="E8" s="90">
        <v>9500</v>
      </c>
      <c r="F8" s="33" t="s">
        <v>1038</v>
      </c>
      <c r="G8" s="44" t="s">
        <v>830</v>
      </c>
      <c r="H8" s="44" t="s">
        <v>86</v>
      </c>
      <c r="I8" s="44" t="s">
        <v>878</v>
      </c>
      <c r="J8" s="44">
        <v>43675</v>
      </c>
      <c r="K8" s="91" t="s">
        <v>1033</v>
      </c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</row>
    <row r="9" spans="1:27" ht="15.75" customHeight="1">
      <c r="A9" s="45">
        <v>43894</v>
      </c>
      <c r="B9" s="64" t="s">
        <v>1043</v>
      </c>
      <c r="C9" s="46" t="s">
        <v>1027</v>
      </c>
      <c r="D9" s="33" t="s">
        <v>1037</v>
      </c>
      <c r="E9" s="90">
        <v>5000</v>
      </c>
      <c r="F9" s="33" t="s">
        <v>1044</v>
      </c>
      <c r="G9" s="44" t="s">
        <v>830</v>
      </c>
      <c r="H9" s="44" t="s">
        <v>86</v>
      </c>
      <c r="I9" s="44" t="s">
        <v>878</v>
      </c>
      <c r="J9" s="44">
        <v>43700</v>
      </c>
      <c r="K9" s="91" t="s">
        <v>1033</v>
      </c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</row>
    <row r="10" spans="1:27" ht="15.75" customHeight="1">
      <c r="A10" s="45">
        <v>43894</v>
      </c>
      <c r="B10" s="64" t="s">
        <v>1045</v>
      </c>
      <c r="C10" s="46" t="s">
        <v>1027</v>
      </c>
      <c r="D10" s="33" t="s">
        <v>1037</v>
      </c>
      <c r="E10" s="90">
        <v>3700</v>
      </c>
      <c r="F10" s="33" t="s">
        <v>1046</v>
      </c>
      <c r="G10" s="44" t="s">
        <v>835</v>
      </c>
      <c r="H10" s="44" t="s">
        <v>86</v>
      </c>
      <c r="I10" s="44" t="s">
        <v>920</v>
      </c>
      <c r="J10" s="44">
        <v>43510</v>
      </c>
      <c r="K10" s="91" t="s">
        <v>1047</v>
      </c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</row>
    <row r="11" spans="1:27" ht="15.75" customHeight="1">
      <c r="A11" s="45">
        <v>43895</v>
      </c>
      <c r="B11" s="64" t="s">
        <v>1048</v>
      </c>
      <c r="C11" s="46" t="s">
        <v>1027</v>
      </c>
      <c r="D11" s="33" t="s">
        <v>1037</v>
      </c>
      <c r="E11" s="90">
        <v>14000</v>
      </c>
      <c r="F11" s="33" t="s">
        <v>1049</v>
      </c>
      <c r="G11" s="44" t="s">
        <v>830</v>
      </c>
      <c r="H11" s="44" t="s">
        <v>86</v>
      </c>
      <c r="I11" s="44" t="s">
        <v>878</v>
      </c>
      <c r="J11" s="44">
        <v>43703</v>
      </c>
      <c r="K11" s="91" t="s">
        <v>1033</v>
      </c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</row>
    <row r="12" spans="1:27" ht="15.75" customHeight="1">
      <c r="A12" s="45">
        <v>43902</v>
      </c>
      <c r="B12" s="64" t="s">
        <v>1050</v>
      </c>
      <c r="C12" s="46" t="s">
        <v>1027</v>
      </c>
      <c r="D12" s="33" t="s">
        <v>1037</v>
      </c>
      <c r="E12" s="90">
        <v>10000</v>
      </c>
      <c r="F12" s="33" t="s">
        <v>1051</v>
      </c>
      <c r="G12" s="44" t="s">
        <v>830</v>
      </c>
      <c r="H12" s="44" t="s">
        <v>86</v>
      </c>
      <c r="I12" s="44" t="s">
        <v>878</v>
      </c>
      <c r="J12" s="44">
        <v>43567</v>
      </c>
      <c r="K12" s="91" t="s">
        <v>1041</v>
      </c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</row>
    <row r="13" spans="1:27" ht="15.75" customHeight="1">
      <c r="A13" s="45">
        <v>43906</v>
      </c>
      <c r="B13" s="64" t="s">
        <v>1052</v>
      </c>
      <c r="C13" s="46" t="s">
        <v>1027</v>
      </c>
      <c r="D13" s="33" t="s">
        <v>1037</v>
      </c>
      <c r="E13" s="90">
        <v>193205.23</v>
      </c>
      <c r="F13" s="33" t="s">
        <v>1053</v>
      </c>
      <c r="G13" s="44" t="s">
        <v>830</v>
      </c>
      <c r="H13" s="44" t="s">
        <v>86</v>
      </c>
      <c r="I13" s="44" t="s">
        <v>878</v>
      </c>
      <c r="J13" s="44">
        <v>43605</v>
      </c>
      <c r="K13" s="91" t="s">
        <v>1054</v>
      </c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</row>
    <row r="14" spans="1:27" ht="15.75" customHeight="1">
      <c r="A14" s="45">
        <v>43906</v>
      </c>
      <c r="B14" s="93" t="s">
        <v>1055</v>
      </c>
      <c r="C14" s="46" t="s">
        <v>48</v>
      </c>
      <c r="D14" s="33" t="s">
        <v>1037</v>
      </c>
      <c r="E14" s="90">
        <v>10000</v>
      </c>
      <c r="F14" s="33" t="s">
        <v>787</v>
      </c>
      <c r="G14" s="33" t="s">
        <v>830</v>
      </c>
      <c r="H14" s="33" t="s">
        <v>86</v>
      </c>
      <c r="I14" s="33" t="s">
        <v>830</v>
      </c>
      <c r="J14" s="44">
        <v>43924</v>
      </c>
      <c r="K14" s="92" t="s">
        <v>1041</v>
      </c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</row>
    <row r="15" spans="1:27" ht="15.75" customHeight="1">
      <c r="A15" s="45">
        <v>43907</v>
      </c>
      <c r="B15" s="64" t="s">
        <v>1056</v>
      </c>
      <c r="C15" s="46" t="s">
        <v>1027</v>
      </c>
      <c r="D15" s="33" t="s">
        <v>1037</v>
      </c>
      <c r="E15" s="90">
        <v>25000</v>
      </c>
      <c r="F15" s="33" t="s">
        <v>1057</v>
      </c>
      <c r="G15" s="44" t="s">
        <v>830</v>
      </c>
      <c r="H15" s="44" t="s">
        <v>86</v>
      </c>
      <c r="I15" s="44" t="s">
        <v>878</v>
      </c>
      <c r="J15" s="44">
        <v>43822</v>
      </c>
      <c r="K15" s="91" t="s">
        <v>1054</v>
      </c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</row>
    <row r="16" spans="1:27" ht="15.75" customHeight="1">
      <c r="A16" s="45">
        <v>43907</v>
      </c>
      <c r="B16" s="64" t="s">
        <v>1048</v>
      </c>
      <c r="C16" s="46" t="s">
        <v>1027</v>
      </c>
      <c r="D16" s="33" t="s">
        <v>1037</v>
      </c>
      <c r="E16" s="90">
        <v>7000</v>
      </c>
      <c r="F16" s="33" t="s">
        <v>1049</v>
      </c>
      <c r="G16" s="44" t="s">
        <v>830</v>
      </c>
      <c r="H16" s="44" t="s">
        <v>86</v>
      </c>
      <c r="I16" s="44" t="s">
        <v>878</v>
      </c>
      <c r="J16" s="44">
        <v>43703</v>
      </c>
      <c r="K16" s="91" t="s">
        <v>1033</v>
      </c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</row>
    <row r="17" spans="1:27" ht="15.75" customHeight="1">
      <c r="A17" s="45">
        <v>43907</v>
      </c>
      <c r="B17" s="64" t="s">
        <v>1058</v>
      </c>
      <c r="C17" s="46" t="s">
        <v>48</v>
      </c>
      <c r="D17" s="33" t="s">
        <v>1037</v>
      </c>
      <c r="E17" s="90">
        <v>95799.8</v>
      </c>
      <c r="F17" s="33" t="s">
        <v>1059</v>
      </c>
      <c r="G17" s="33" t="s">
        <v>830</v>
      </c>
      <c r="H17" s="33" t="s">
        <v>86</v>
      </c>
      <c r="I17" s="33" t="s">
        <v>830</v>
      </c>
      <c r="J17" s="44">
        <v>44252</v>
      </c>
      <c r="K17" s="92" t="s">
        <v>1054</v>
      </c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</row>
    <row r="18" spans="1:27" ht="15.75" customHeight="1">
      <c r="A18" s="44">
        <v>43910</v>
      </c>
      <c r="B18" s="57" t="s">
        <v>1060</v>
      </c>
      <c r="C18" s="33" t="s">
        <v>1027</v>
      </c>
      <c r="D18" s="33" t="s">
        <v>1028</v>
      </c>
      <c r="E18" s="90">
        <v>0</v>
      </c>
      <c r="F18" s="33" t="s">
        <v>1061</v>
      </c>
      <c r="G18" s="44" t="s">
        <v>830</v>
      </c>
      <c r="H18" s="44" t="s">
        <v>86</v>
      </c>
      <c r="I18" s="44" t="s">
        <v>969</v>
      </c>
      <c r="J18" s="44">
        <v>43699</v>
      </c>
      <c r="K18" s="91" t="s">
        <v>1033</v>
      </c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</row>
    <row r="19" spans="1:27" ht="15.75" customHeight="1">
      <c r="A19" s="45">
        <v>43915</v>
      </c>
      <c r="B19" s="64" t="s">
        <v>1052</v>
      </c>
      <c r="C19" s="46" t="s">
        <v>1027</v>
      </c>
      <c r="D19" s="33" t="s">
        <v>1037</v>
      </c>
      <c r="E19" s="90">
        <v>0</v>
      </c>
      <c r="F19" s="33" t="s">
        <v>1053</v>
      </c>
      <c r="G19" s="44" t="s">
        <v>830</v>
      </c>
      <c r="H19" s="44" t="s">
        <v>86</v>
      </c>
      <c r="I19" s="44" t="s">
        <v>878</v>
      </c>
      <c r="J19" s="44">
        <v>43605</v>
      </c>
      <c r="K19" s="91" t="s">
        <v>1054</v>
      </c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</row>
    <row r="20" spans="1:27" ht="15.75" customHeight="1">
      <c r="A20" s="45">
        <v>43915</v>
      </c>
      <c r="B20" s="64" t="s">
        <v>1048</v>
      </c>
      <c r="C20" s="46" t="s">
        <v>1027</v>
      </c>
      <c r="D20" s="33" t="s">
        <v>1037</v>
      </c>
      <c r="E20" s="90">
        <v>80000</v>
      </c>
      <c r="F20" s="33" t="s">
        <v>1049</v>
      </c>
      <c r="G20" s="44" t="s">
        <v>830</v>
      </c>
      <c r="H20" s="44" t="s">
        <v>86</v>
      </c>
      <c r="I20" s="44" t="s">
        <v>878</v>
      </c>
      <c r="J20" s="44">
        <v>43703</v>
      </c>
      <c r="K20" s="91" t="s">
        <v>1033</v>
      </c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</row>
    <row r="21" spans="1:27" ht="15.75" customHeight="1">
      <c r="A21" s="45">
        <v>43915</v>
      </c>
      <c r="B21" s="64" t="s">
        <v>1055</v>
      </c>
      <c r="C21" s="46" t="s">
        <v>48</v>
      </c>
      <c r="D21" s="33" t="s">
        <v>1062</v>
      </c>
      <c r="E21" s="90">
        <v>10000</v>
      </c>
      <c r="F21" s="33" t="s">
        <v>787</v>
      </c>
      <c r="G21" s="33" t="s">
        <v>830</v>
      </c>
      <c r="H21" s="33" t="s">
        <v>86</v>
      </c>
      <c r="I21" s="33" t="s">
        <v>830</v>
      </c>
      <c r="J21" s="44">
        <v>43924</v>
      </c>
      <c r="K21" s="92" t="s">
        <v>1041</v>
      </c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</row>
    <row r="22" spans="1:27" ht="15.75" customHeight="1">
      <c r="A22" s="45">
        <v>43917</v>
      </c>
      <c r="B22" s="64" t="s">
        <v>1063</v>
      </c>
      <c r="C22" s="46" t="s">
        <v>1027</v>
      </c>
      <c r="D22" s="33" t="s">
        <v>1037</v>
      </c>
      <c r="E22" s="90">
        <v>80000</v>
      </c>
      <c r="F22" s="33" t="s">
        <v>1064</v>
      </c>
      <c r="G22" s="44" t="s">
        <v>830</v>
      </c>
      <c r="H22" s="44" t="s">
        <v>86</v>
      </c>
      <c r="I22" s="44" t="s">
        <v>969</v>
      </c>
      <c r="J22" s="44">
        <v>43664</v>
      </c>
      <c r="K22" s="91" t="s">
        <v>1033</v>
      </c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</row>
    <row r="23" spans="1:27" ht="15.75" customHeight="1">
      <c r="A23" s="45">
        <v>43917</v>
      </c>
      <c r="B23" s="64" t="s">
        <v>1042</v>
      </c>
      <c r="C23" s="46" t="s">
        <v>48</v>
      </c>
      <c r="D23" s="33" t="s">
        <v>1037</v>
      </c>
      <c r="E23" s="90">
        <v>25000</v>
      </c>
      <c r="F23" s="33" t="s">
        <v>776</v>
      </c>
      <c r="G23" s="33" t="s">
        <v>830</v>
      </c>
      <c r="H23" s="33" t="s">
        <v>86</v>
      </c>
      <c r="I23" s="33" t="s">
        <v>830</v>
      </c>
      <c r="J23" s="44">
        <v>43749</v>
      </c>
      <c r="K23" s="92" t="s">
        <v>1033</v>
      </c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</row>
    <row r="24" spans="1:27" ht="15.75" customHeight="1">
      <c r="A24" s="45">
        <v>43920</v>
      </c>
      <c r="B24" s="64" t="s">
        <v>1065</v>
      </c>
      <c r="C24" s="46" t="s">
        <v>1027</v>
      </c>
      <c r="D24" s="33" t="s">
        <v>1037</v>
      </c>
      <c r="E24" s="90">
        <v>20000</v>
      </c>
      <c r="F24" s="33" t="s">
        <v>1066</v>
      </c>
      <c r="G24" s="44" t="s">
        <v>830</v>
      </c>
      <c r="H24" s="44" t="s">
        <v>86</v>
      </c>
      <c r="I24" s="44" t="s">
        <v>969</v>
      </c>
      <c r="J24" s="44">
        <v>43559</v>
      </c>
      <c r="K24" s="91" t="s">
        <v>1033</v>
      </c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</row>
    <row r="25" spans="1:27" ht="15.75" customHeight="1">
      <c r="A25" s="44">
        <v>43922</v>
      </c>
      <c r="B25" s="57" t="s">
        <v>1067</v>
      </c>
      <c r="C25" s="33" t="s">
        <v>1027</v>
      </c>
      <c r="D25" s="33" t="s">
        <v>1028</v>
      </c>
      <c r="E25" s="90">
        <v>95799.8</v>
      </c>
      <c r="F25" s="33" t="s">
        <v>1068</v>
      </c>
      <c r="G25" s="44" t="s">
        <v>830</v>
      </c>
      <c r="H25" s="44" t="s">
        <v>86</v>
      </c>
      <c r="I25" s="44" t="s">
        <v>878</v>
      </c>
      <c r="J25" s="44">
        <v>43563</v>
      </c>
      <c r="K25" s="91" t="s">
        <v>1030</v>
      </c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</row>
    <row r="26" spans="1:27" ht="15.75" customHeight="1">
      <c r="A26" s="45">
        <v>43922</v>
      </c>
      <c r="B26" s="64" t="s">
        <v>1067</v>
      </c>
      <c r="C26" s="46" t="s">
        <v>1027</v>
      </c>
      <c r="D26" s="33" t="s">
        <v>1062</v>
      </c>
      <c r="E26" s="90">
        <v>50000</v>
      </c>
      <c r="F26" s="33" t="s">
        <v>1068</v>
      </c>
      <c r="G26" s="44" t="s">
        <v>830</v>
      </c>
      <c r="H26" s="44" t="s">
        <v>86</v>
      </c>
      <c r="I26" s="44" t="s">
        <v>878</v>
      </c>
      <c r="J26" s="44">
        <v>43563</v>
      </c>
      <c r="K26" s="91" t="s">
        <v>1030</v>
      </c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</row>
    <row r="27" spans="1:27" ht="15.75" customHeight="1">
      <c r="A27" s="45">
        <v>43922</v>
      </c>
      <c r="B27" s="64" t="s">
        <v>1069</v>
      </c>
      <c r="C27" s="46" t="s">
        <v>1027</v>
      </c>
      <c r="D27" s="33" t="s">
        <v>1062</v>
      </c>
      <c r="E27" s="90">
        <v>30000</v>
      </c>
      <c r="F27" s="33" t="s">
        <v>1070</v>
      </c>
      <c r="G27" s="44" t="s">
        <v>830</v>
      </c>
      <c r="H27" s="44" t="s">
        <v>86</v>
      </c>
      <c r="I27" s="44" t="s">
        <v>878</v>
      </c>
      <c r="J27" s="44">
        <v>43453</v>
      </c>
      <c r="K27" s="91" t="s">
        <v>1030</v>
      </c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</row>
    <row r="28" spans="1:27" ht="15.75" customHeight="1">
      <c r="A28" s="45">
        <v>43923</v>
      </c>
      <c r="B28" s="64" t="s">
        <v>1048</v>
      </c>
      <c r="C28" s="46" t="s">
        <v>1027</v>
      </c>
      <c r="D28" s="33" t="s">
        <v>1037</v>
      </c>
      <c r="E28" s="90">
        <v>14000</v>
      </c>
      <c r="F28" s="33" t="s">
        <v>1049</v>
      </c>
      <c r="G28" s="44" t="s">
        <v>830</v>
      </c>
      <c r="H28" s="44" t="s">
        <v>86</v>
      </c>
      <c r="I28" s="44" t="s">
        <v>878</v>
      </c>
      <c r="J28" s="44">
        <v>43703</v>
      </c>
      <c r="K28" s="91" t="s">
        <v>1033</v>
      </c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</row>
    <row r="29" spans="1:27" ht="15.75" customHeight="1">
      <c r="A29" s="44">
        <v>43924</v>
      </c>
      <c r="B29" s="57" t="s">
        <v>1055</v>
      </c>
      <c r="C29" s="33" t="s">
        <v>48</v>
      </c>
      <c r="D29" s="33" t="s">
        <v>1028</v>
      </c>
      <c r="E29" s="90">
        <v>0</v>
      </c>
      <c r="F29" s="33" t="s">
        <v>787</v>
      </c>
      <c r="G29" s="33" t="s">
        <v>830</v>
      </c>
      <c r="H29" s="33" t="s">
        <v>86</v>
      </c>
      <c r="I29" s="33" t="s">
        <v>830</v>
      </c>
      <c r="J29" s="44">
        <v>43684</v>
      </c>
      <c r="K29" s="92" t="s">
        <v>1041</v>
      </c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</row>
    <row r="30" spans="1:27" ht="15.75" customHeight="1">
      <c r="A30" s="45">
        <v>43928</v>
      </c>
      <c r="B30" s="64" t="s">
        <v>1071</v>
      </c>
      <c r="C30" s="46" t="s">
        <v>48</v>
      </c>
      <c r="D30" s="33" t="s">
        <v>1037</v>
      </c>
      <c r="E30" s="90">
        <v>20000</v>
      </c>
      <c r="F30" s="33" t="s">
        <v>1072</v>
      </c>
      <c r="G30" s="33" t="s">
        <v>830</v>
      </c>
      <c r="H30" s="33" t="s">
        <v>86</v>
      </c>
      <c r="I30" s="33" t="s">
        <v>830</v>
      </c>
      <c r="J30" s="44">
        <v>43872</v>
      </c>
      <c r="K30" s="92" t="s">
        <v>1041</v>
      </c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</row>
    <row r="31" spans="1:27" ht="15.75" customHeight="1">
      <c r="A31" s="45">
        <v>43929</v>
      </c>
      <c r="B31" s="64" t="s">
        <v>1073</v>
      </c>
      <c r="C31" s="46" t="s">
        <v>1027</v>
      </c>
      <c r="D31" s="33" t="s">
        <v>1037</v>
      </c>
      <c r="E31" s="90">
        <v>8000</v>
      </c>
      <c r="F31" s="33" t="s">
        <v>1074</v>
      </c>
      <c r="G31" s="44" t="s">
        <v>830</v>
      </c>
      <c r="H31" s="44" t="s">
        <v>86</v>
      </c>
      <c r="I31" s="44" t="s">
        <v>878</v>
      </c>
      <c r="J31" s="44">
        <v>43738</v>
      </c>
      <c r="K31" s="91" t="s">
        <v>1030</v>
      </c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</row>
    <row r="32" spans="1:27" ht="15.75" customHeight="1">
      <c r="A32" s="45">
        <v>43930</v>
      </c>
      <c r="B32" s="64" t="s">
        <v>1075</v>
      </c>
      <c r="C32" s="46" t="s">
        <v>1076</v>
      </c>
      <c r="D32" s="33" t="s">
        <v>1037</v>
      </c>
      <c r="E32" s="90">
        <v>5000</v>
      </c>
      <c r="F32" s="33" t="s">
        <v>1077</v>
      </c>
      <c r="G32" s="44" t="s">
        <v>835</v>
      </c>
      <c r="H32" s="44" t="s">
        <v>86</v>
      </c>
      <c r="I32" s="44" t="s">
        <v>845</v>
      </c>
      <c r="J32" s="44">
        <v>43797</v>
      </c>
      <c r="K32" s="91" t="s">
        <v>1054</v>
      </c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</row>
    <row r="33" spans="1:27" ht="15.75" customHeight="1">
      <c r="A33" s="45">
        <v>43935</v>
      </c>
      <c r="B33" s="64" t="s">
        <v>1078</v>
      </c>
      <c r="C33" s="46" t="s">
        <v>48</v>
      </c>
      <c r="D33" s="33" t="s">
        <v>1037</v>
      </c>
      <c r="E33" s="90">
        <v>2000</v>
      </c>
      <c r="F33" s="33" t="s">
        <v>1079</v>
      </c>
      <c r="G33" s="33" t="s">
        <v>830</v>
      </c>
      <c r="H33" s="33" t="s">
        <v>86</v>
      </c>
      <c r="I33" s="33" t="s">
        <v>830</v>
      </c>
      <c r="J33" s="44">
        <v>44225</v>
      </c>
      <c r="K33" s="92" t="s">
        <v>1041</v>
      </c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</row>
    <row r="34" spans="1:27" ht="15.75" customHeight="1">
      <c r="A34" s="45">
        <v>43938</v>
      </c>
      <c r="B34" s="64" t="s">
        <v>1052</v>
      </c>
      <c r="C34" s="46" t="s">
        <v>1027</v>
      </c>
      <c r="D34" s="33" t="s">
        <v>1037</v>
      </c>
      <c r="E34" s="90">
        <v>3000</v>
      </c>
      <c r="F34" s="33" t="s">
        <v>1053</v>
      </c>
      <c r="G34" s="44" t="s">
        <v>830</v>
      </c>
      <c r="H34" s="44" t="s">
        <v>86</v>
      </c>
      <c r="I34" s="44" t="s">
        <v>878</v>
      </c>
      <c r="J34" s="44">
        <v>43605</v>
      </c>
      <c r="K34" s="91" t="s">
        <v>1054</v>
      </c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</row>
    <row r="35" spans="1:27" ht="15.75" customHeight="1">
      <c r="A35" s="45">
        <v>43948</v>
      </c>
      <c r="B35" s="64" t="s">
        <v>1048</v>
      </c>
      <c r="C35" s="46" t="s">
        <v>1027</v>
      </c>
      <c r="D35" s="33" t="s">
        <v>1037</v>
      </c>
      <c r="E35" s="90">
        <v>10000</v>
      </c>
      <c r="F35" s="33" t="s">
        <v>1049</v>
      </c>
      <c r="G35" s="44" t="s">
        <v>830</v>
      </c>
      <c r="H35" s="44" t="s">
        <v>86</v>
      </c>
      <c r="I35" s="44" t="s">
        <v>878</v>
      </c>
      <c r="J35" s="44">
        <v>43703</v>
      </c>
      <c r="K35" s="91" t="s">
        <v>1033</v>
      </c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</row>
    <row r="36" spans="1:27" ht="15.75" customHeight="1">
      <c r="A36" s="45">
        <v>43948</v>
      </c>
      <c r="B36" s="64" t="s">
        <v>1052</v>
      </c>
      <c r="C36" s="46" t="s">
        <v>1027</v>
      </c>
      <c r="D36" s="33" t="s">
        <v>1037</v>
      </c>
      <c r="E36" s="90">
        <v>2000</v>
      </c>
      <c r="F36" s="33" t="s">
        <v>1053</v>
      </c>
      <c r="G36" s="44" t="s">
        <v>830</v>
      </c>
      <c r="H36" s="44" t="s">
        <v>86</v>
      </c>
      <c r="I36" s="44" t="s">
        <v>878</v>
      </c>
      <c r="J36" s="44">
        <v>43605</v>
      </c>
      <c r="K36" s="91" t="s">
        <v>1054</v>
      </c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</row>
    <row r="37" spans="1:27" ht="15.75" customHeight="1">
      <c r="A37" s="45">
        <v>43949</v>
      </c>
      <c r="B37" s="64" t="s">
        <v>1042</v>
      </c>
      <c r="C37" s="46" t="s">
        <v>48</v>
      </c>
      <c r="D37" s="33" t="s">
        <v>1037</v>
      </c>
      <c r="E37" s="90">
        <v>15000</v>
      </c>
      <c r="F37" s="33" t="s">
        <v>776</v>
      </c>
      <c r="G37" s="33" t="s">
        <v>830</v>
      </c>
      <c r="H37" s="33" t="s">
        <v>86</v>
      </c>
      <c r="I37" s="33" t="s">
        <v>830</v>
      </c>
      <c r="J37" s="44">
        <v>43749</v>
      </c>
      <c r="K37" s="92" t="s">
        <v>1033</v>
      </c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</row>
    <row r="38" spans="1:27" ht="15.75" customHeight="1">
      <c r="A38" s="45">
        <v>43950</v>
      </c>
      <c r="B38" s="64" t="s">
        <v>1063</v>
      </c>
      <c r="C38" s="46" t="s">
        <v>1027</v>
      </c>
      <c r="D38" s="33" t="s">
        <v>1037</v>
      </c>
      <c r="E38" s="90">
        <v>100000</v>
      </c>
      <c r="F38" s="33" t="s">
        <v>1064</v>
      </c>
      <c r="G38" s="44" t="s">
        <v>830</v>
      </c>
      <c r="H38" s="44" t="s">
        <v>86</v>
      </c>
      <c r="I38" s="44" t="s">
        <v>969</v>
      </c>
      <c r="J38" s="44">
        <v>43664</v>
      </c>
      <c r="K38" s="91" t="s">
        <v>1033</v>
      </c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</row>
    <row r="39" spans="1:27" ht="15.75" customHeight="1">
      <c r="A39" s="45">
        <v>43951</v>
      </c>
      <c r="B39" s="64" t="s">
        <v>1065</v>
      </c>
      <c r="C39" s="46" t="s">
        <v>1027</v>
      </c>
      <c r="D39" s="33" t="s">
        <v>1037</v>
      </c>
      <c r="E39" s="90">
        <v>20000</v>
      </c>
      <c r="F39" s="33" t="s">
        <v>1066</v>
      </c>
      <c r="G39" s="44" t="s">
        <v>830</v>
      </c>
      <c r="H39" s="44" t="s">
        <v>86</v>
      </c>
      <c r="I39" s="44" t="s">
        <v>969</v>
      </c>
      <c r="J39" s="44">
        <v>43559</v>
      </c>
      <c r="K39" s="91" t="s">
        <v>1033</v>
      </c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</row>
    <row r="40" spans="1:27" ht="15.75" customHeight="1">
      <c r="A40" s="45">
        <v>43956</v>
      </c>
      <c r="B40" s="64" t="s">
        <v>1080</v>
      </c>
      <c r="C40" s="46" t="s">
        <v>1027</v>
      </c>
      <c r="D40" s="33" t="s">
        <v>1037</v>
      </c>
      <c r="E40" s="90">
        <v>75000</v>
      </c>
      <c r="F40" s="33" t="s">
        <v>1081</v>
      </c>
      <c r="G40" s="44" t="s">
        <v>830</v>
      </c>
      <c r="H40" s="44" t="s">
        <v>86</v>
      </c>
      <c r="I40" s="44" t="s">
        <v>878</v>
      </c>
      <c r="J40" s="44">
        <v>43699</v>
      </c>
      <c r="K40" s="91" t="s">
        <v>1033</v>
      </c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</row>
    <row r="41" spans="1:27" ht="15.75" customHeight="1">
      <c r="A41" s="45">
        <v>43958</v>
      </c>
      <c r="B41" s="64" t="s">
        <v>1065</v>
      </c>
      <c r="C41" s="46" t="s">
        <v>1027</v>
      </c>
      <c r="D41" s="33" t="s">
        <v>1037</v>
      </c>
      <c r="E41" s="90">
        <v>2000</v>
      </c>
      <c r="F41" s="33" t="s">
        <v>1066</v>
      </c>
      <c r="G41" s="44" t="s">
        <v>830</v>
      </c>
      <c r="H41" s="44" t="s">
        <v>86</v>
      </c>
      <c r="I41" s="44" t="s">
        <v>969</v>
      </c>
      <c r="J41" s="44">
        <v>43559</v>
      </c>
      <c r="K41" s="91" t="s">
        <v>1033</v>
      </c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</row>
    <row r="42" spans="1:27" ht="15.75" customHeight="1">
      <c r="A42" s="45">
        <v>43958</v>
      </c>
      <c r="B42" s="64" t="s">
        <v>1082</v>
      </c>
      <c r="C42" s="46" t="s">
        <v>1027</v>
      </c>
      <c r="D42" s="33" t="s">
        <v>1037</v>
      </c>
      <c r="E42" s="90">
        <v>2000</v>
      </c>
      <c r="F42" s="33" t="s">
        <v>1083</v>
      </c>
      <c r="G42" s="44" t="s">
        <v>830</v>
      </c>
      <c r="H42" s="44" t="s">
        <v>86</v>
      </c>
      <c r="I42" s="44" t="s">
        <v>878</v>
      </c>
      <c r="J42" s="44">
        <v>43717</v>
      </c>
      <c r="K42" s="91" t="s">
        <v>1033</v>
      </c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</row>
    <row r="43" spans="1:27" ht="15.75" customHeight="1">
      <c r="A43" s="45">
        <v>43959</v>
      </c>
      <c r="B43" s="93" t="s">
        <v>1084</v>
      </c>
      <c r="C43" s="46" t="s">
        <v>1027</v>
      </c>
      <c r="D43" s="33" t="s">
        <v>1037</v>
      </c>
      <c r="E43" s="94">
        <v>1000</v>
      </c>
      <c r="F43" s="33" t="s">
        <v>1085</v>
      </c>
      <c r="G43" s="44" t="s">
        <v>830</v>
      </c>
      <c r="H43" s="44" t="s">
        <v>86</v>
      </c>
      <c r="I43" s="44" t="s">
        <v>878</v>
      </c>
      <c r="J43" s="44">
        <v>43894</v>
      </c>
      <c r="K43" s="91" t="s">
        <v>1054</v>
      </c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</row>
    <row r="44" spans="1:27" ht="15.75" customHeight="1">
      <c r="A44" s="45">
        <v>43964</v>
      </c>
      <c r="B44" s="64" t="s">
        <v>1073</v>
      </c>
      <c r="C44" s="46" t="s">
        <v>1027</v>
      </c>
      <c r="D44" s="33" t="s">
        <v>1037</v>
      </c>
      <c r="E44" s="90">
        <v>60000</v>
      </c>
      <c r="F44" s="33" t="s">
        <v>1074</v>
      </c>
      <c r="G44" s="44" t="s">
        <v>830</v>
      </c>
      <c r="H44" s="44" t="s">
        <v>86</v>
      </c>
      <c r="I44" s="44" t="s">
        <v>878</v>
      </c>
      <c r="J44" s="44">
        <v>43738</v>
      </c>
      <c r="K44" s="91" t="s">
        <v>1030</v>
      </c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</row>
    <row r="45" spans="1:27" ht="15.75" customHeight="1">
      <c r="A45" s="45">
        <v>43965</v>
      </c>
      <c r="B45" s="93" t="s">
        <v>1086</v>
      </c>
      <c r="C45" s="46" t="s">
        <v>1027</v>
      </c>
      <c r="D45" s="33" t="s">
        <v>1037</v>
      </c>
      <c r="E45" s="90">
        <v>20000</v>
      </c>
      <c r="F45" s="33" t="s">
        <v>1087</v>
      </c>
      <c r="G45" s="44" t="s">
        <v>830</v>
      </c>
      <c r="H45" s="44" t="s">
        <v>86</v>
      </c>
      <c r="I45" s="44" t="s">
        <v>969</v>
      </c>
      <c r="J45" s="44">
        <v>43913</v>
      </c>
      <c r="K45" s="91" t="s">
        <v>1041</v>
      </c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</row>
    <row r="46" spans="1:27" ht="15.75" customHeight="1">
      <c r="A46" s="45">
        <v>43965</v>
      </c>
      <c r="B46" s="64" t="s">
        <v>1078</v>
      </c>
      <c r="C46" s="46" t="s">
        <v>48</v>
      </c>
      <c r="D46" s="33" t="s">
        <v>1037</v>
      </c>
      <c r="E46" s="90">
        <v>20000</v>
      </c>
      <c r="F46" s="33" t="s">
        <v>1079</v>
      </c>
      <c r="G46" s="33" t="s">
        <v>830</v>
      </c>
      <c r="H46" s="33" t="s">
        <v>86</v>
      </c>
      <c r="I46" s="33" t="s">
        <v>830</v>
      </c>
      <c r="J46" s="44">
        <v>44225</v>
      </c>
      <c r="K46" s="92" t="s">
        <v>1041</v>
      </c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</row>
    <row r="47" spans="1:27" ht="15.75" customHeight="1">
      <c r="A47" s="45">
        <v>43965</v>
      </c>
      <c r="B47" s="64" t="s">
        <v>1073</v>
      </c>
      <c r="C47" s="46" t="s">
        <v>1027</v>
      </c>
      <c r="D47" s="33" t="s">
        <v>1037</v>
      </c>
      <c r="E47" s="90">
        <v>6000</v>
      </c>
      <c r="F47" s="33" t="s">
        <v>1074</v>
      </c>
      <c r="G47" s="44" t="s">
        <v>830</v>
      </c>
      <c r="H47" s="44" t="s">
        <v>86</v>
      </c>
      <c r="I47" s="44" t="s">
        <v>878</v>
      </c>
      <c r="J47" s="44">
        <v>43738</v>
      </c>
      <c r="K47" s="91" t="s">
        <v>1030</v>
      </c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</row>
    <row r="48" spans="1:27" ht="15.75" customHeight="1">
      <c r="A48" s="45">
        <v>43966</v>
      </c>
      <c r="B48" s="64" t="s">
        <v>1048</v>
      </c>
      <c r="C48" s="46" t="s">
        <v>1027</v>
      </c>
      <c r="D48" s="33" t="s">
        <v>1037</v>
      </c>
      <c r="E48" s="90">
        <v>10000</v>
      </c>
      <c r="F48" s="33" t="s">
        <v>1049</v>
      </c>
      <c r="G48" s="44" t="s">
        <v>830</v>
      </c>
      <c r="H48" s="44" t="s">
        <v>86</v>
      </c>
      <c r="I48" s="44" t="s">
        <v>878</v>
      </c>
      <c r="J48" s="44">
        <v>43703</v>
      </c>
      <c r="K48" s="91" t="s">
        <v>1033</v>
      </c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</row>
    <row r="49" spans="1:27" ht="15.75" customHeight="1">
      <c r="A49" s="45">
        <v>43969</v>
      </c>
      <c r="B49" s="64" t="s">
        <v>1084</v>
      </c>
      <c r="C49" s="46" t="s">
        <v>1027</v>
      </c>
      <c r="D49" s="33" t="s">
        <v>1037</v>
      </c>
      <c r="E49" s="90">
        <v>7000</v>
      </c>
      <c r="F49" s="33" t="s">
        <v>1085</v>
      </c>
      <c r="G49" s="44" t="s">
        <v>830</v>
      </c>
      <c r="H49" s="44" t="s">
        <v>86</v>
      </c>
      <c r="I49" s="44" t="s">
        <v>878</v>
      </c>
      <c r="J49" s="44">
        <v>43894</v>
      </c>
      <c r="K49" s="91" t="s">
        <v>1054</v>
      </c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</row>
    <row r="50" spans="1:27" ht="15.75" customHeight="1">
      <c r="A50" s="45">
        <v>43969</v>
      </c>
      <c r="B50" s="64" t="s">
        <v>1084</v>
      </c>
      <c r="C50" s="46" t="s">
        <v>1027</v>
      </c>
      <c r="D50" s="33" t="s">
        <v>1037</v>
      </c>
      <c r="E50" s="90">
        <v>10000</v>
      </c>
      <c r="F50" s="33" t="s">
        <v>1085</v>
      </c>
      <c r="G50" s="44" t="s">
        <v>830</v>
      </c>
      <c r="H50" s="44" t="s">
        <v>86</v>
      </c>
      <c r="I50" s="44" t="s">
        <v>878</v>
      </c>
      <c r="J50" s="44">
        <v>43894</v>
      </c>
      <c r="K50" s="91" t="s">
        <v>1054</v>
      </c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</row>
    <row r="51" spans="1:27" ht="15.75" customHeight="1">
      <c r="A51" s="45">
        <v>43969</v>
      </c>
      <c r="B51" s="64" t="s">
        <v>1088</v>
      </c>
      <c r="C51" s="46" t="s">
        <v>1027</v>
      </c>
      <c r="D51" s="33" t="s">
        <v>1037</v>
      </c>
      <c r="E51" s="90">
        <v>1000</v>
      </c>
      <c r="F51" s="33" t="s">
        <v>1089</v>
      </c>
      <c r="G51" s="44" t="s">
        <v>830</v>
      </c>
      <c r="H51" s="44" t="s">
        <v>86</v>
      </c>
      <c r="I51" s="44" t="s">
        <v>878</v>
      </c>
      <c r="J51" s="44">
        <v>43867</v>
      </c>
      <c r="K51" s="91" t="s">
        <v>1041</v>
      </c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</row>
    <row r="52" spans="1:27" ht="15.75" customHeight="1">
      <c r="A52" s="45">
        <v>43971</v>
      </c>
      <c r="B52" s="93" t="s">
        <v>1042</v>
      </c>
      <c r="C52" s="46" t="s">
        <v>48</v>
      </c>
      <c r="D52" s="33" t="s">
        <v>1037</v>
      </c>
      <c r="E52" s="90">
        <v>7500</v>
      </c>
      <c r="F52" s="33" t="s">
        <v>776</v>
      </c>
      <c r="G52" s="33" t="s">
        <v>830</v>
      </c>
      <c r="H52" s="33" t="s">
        <v>86</v>
      </c>
      <c r="I52" s="33" t="s">
        <v>830</v>
      </c>
      <c r="J52" s="44">
        <v>43749</v>
      </c>
      <c r="K52" s="92" t="s">
        <v>1033</v>
      </c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</row>
    <row r="53" spans="1:27" ht="15.75" customHeight="1">
      <c r="A53" s="45">
        <v>43972</v>
      </c>
      <c r="B53" s="64" t="s">
        <v>1080</v>
      </c>
      <c r="C53" s="46" t="s">
        <v>1027</v>
      </c>
      <c r="D53" s="33" t="s">
        <v>1037</v>
      </c>
      <c r="E53" s="90">
        <v>50000</v>
      </c>
      <c r="F53" s="33" t="s">
        <v>1081</v>
      </c>
      <c r="G53" s="44" t="s">
        <v>830</v>
      </c>
      <c r="H53" s="44" t="s">
        <v>86</v>
      </c>
      <c r="I53" s="44" t="s">
        <v>878</v>
      </c>
      <c r="J53" s="44">
        <v>43699</v>
      </c>
      <c r="K53" s="91" t="s">
        <v>1033</v>
      </c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</row>
    <row r="54" spans="1:27" ht="15.75" customHeight="1">
      <c r="A54" s="45">
        <v>43973</v>
      </c>
      <c r="B54" s="93" t="s">
        <v>1058</v>
      </c>
      <c r="C54" s="46" t="s">
        <v>48</v>
      </c>
      <c r="D54" s="33" t="s">
        <v>1037</v>
      </c>
      <c r="E54" s="90">
        <v>20000</v>
      </c>
      <c r="F54" s="33" t="s">
        <v>1059</v>
      </c>
      <c r="G54" s="33" t="s">
        <v>830</v>
      </c>
      <c r="H54" s="33" t="s">
        <v>86</v>
      </c>
      <c r="I54" s="33" t="s">
        <v>830</v>
      </c>
      <c r="J54" s="44">
        <v>44252</v>
      </c>
      <c r="K54" s="92" t="s">
        <v>1054</v>
      </c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</row>
    <row r="55" spans="1:27" ht="15.75" customHeight="1">
      <c r="A55" s="45">
        <v>43973</v>
      </c>
      <c r="B55" s="64" t="s">
        <v>1075</v>
      </c>
      <c r="C55" s="46" t="s">
        <v>1090</v>
      </c>
      <c r="D55" s="33" t="s">
        <v>1037</v>
      </c>
      <c r="E55" s="90">
        <v>10000</v>
      </c>
      <c r="F55" s="33" t="s">
        <v>1077</v>
      </c>
      <c r="G55" s="33" t="s">
        <v>835</v>
      </c>
      <c r="H55" s="33" t="s">
        <v>86</v>
      </c>
      <c r="I55" s="33" t="s">
        <v>845</v>
      </c>
      <c r="J55" s="44">
        <v>43797</v>
      </c>
      <c r="K55" s="91" t="s">
        <v>1054</v>
      </c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</row>
    <row r="56" spans="1:27" ht="15.75" customHeight="1">
      <c r="A56" s="45">
        <v>43976</v>
      </c>
      <c r="B56" s="64" t="s">
        <v>1065</v>
      </c>
      <c r="C56" s="46" t="s">
        <v>1027</v>
      </c>
      <c r="D56" s="33" t="s">
        <v>1037</v>
      </c>
      <c r="E56" s="90">
        <v>973440.75</v>
      </c>
      <c r="F56" s="33" t="s">
        <v>1066</v>
      </c>
      <c r="G56" s="44" t="s">
        <v>830</v>
      </c>
      <c r="H56" s="44" t="s">
        <v>86</v>
      </c>
      <c r="I56" s="44" t="s">
        <v>969</v>
      </c>
      <c r="J56" s="44">
        <v>43559</v>
      </c>
      <c r="K56" s="91" t="s">
        <v>1033</v>
      </c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</row>
    <row r="57" spans="1:27" ht="15.75" customHeight="1">
      <c r="A57" s="45">
        <v>43977</v>
      </c>
      <c r="B57" s="64" t="s">
        <v>1048</v>
      </c>
      <c r="C57" s="46" t="s">
        <v>1027</v>
      </c>
      <c r="D57" s="33" t="s">
        <v>1037</v>
      </c>
      <c r="E57" s="90">
        <v>7000</v>
      </c>
      <c r="F57" s="33" t="s">
        <v>1049</v>
      </c>
      <c r="G57" s="44" t="s">
        <v>830</v>
      </c>
      <c r="H57" s="44" t="s">
        <v>86</v>
      </c>
      <c r="I57" s="44" t="s">
        <v>878</v>
      </c>
      <c r="J57" s="44">
        <v>43703</v>
      </c>
      <c r="K57" s="91" t="s">
        <v>1033</v>
      </c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</row>
    <row r="58" spans="1:27" ht="15.75" customHeight="1">
      <c r="A58" s="45">
        <v>43978</v>
      </c>
      <c r="B58" s="64" t="s">
        <v>1084</v>
      </c>
      <c r="C58" s="46" t="s">
        <v>1027</v>
      </c>
      <c r="D58" s="33" t="s">
        <v>1037</v>
      </c>
      <c r="E58" s="90">
        <v>180000</v>
      </c>
      <c r="F58" s="33" t="s">
        <v>1085</v>
      </c>
      <c r="G58" s="44" t="s">
        <v>830</v>
      </c>
      <c r="H58" s="44" t="s">
        <v>86</v>
      </c>
      <c r="I58" s="44" t="s">
        <v>878</v>
      </c>
      <c r="J58" s="44">
        <v>43894</v>
      </c>
      <c r="K58" s="91" t="s">
        <v>1054</v>
      </c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</row>
    <row r="59" spans="1:27" ht="15.75" customHeight="1">
      <c r="A59" s="45">
        <v>43980</v>
      </c>
      <c r="B59" s="93" t="s">
        <v>1063</v>
      </c>
      <c r="C59" s="46" t="s">
        <v>1027</v>
      </c>
      <c r="D59" s="33" t="s">
        <v>1037</v>
      </c>
      <c r="E59" s="90">
        <v>10701</v>
      </c>
      <c r="F59" s="33" t="s">
        <v>1064</v>
      </c>
      <c r="G59" s="44" t="s">
        <v>830</v>
      </c>
      <c r="H59" s="44" t="s">
        <v>86</v>
      </c>
      <c r="I59" s="44" t="s">
        <v>969</v>
      </c>
      <c r="J59" s="44">
        <v>43664</v>
      </c>
      <c r="K59" s="91" t="s">
        <v>1033</v>
      </c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</row>
    <row r="60" spans="1:27" ht="15.75" customHeight="1">
      <c r="A60" s="45">
        <v>43984</v>
      </c>
      <c r="B60" s="64" t="s">
        <v>1088</v>
      </c>
      <c r="C60" s="46" t="s">
        <v>1027</v>
      </c>
      <c r="D60" s="33" t="s">
        <v>1037</v>
      </c>
      <c r="E60" s="90">
        <v>2000</v>
      </c>
      <c r="F60" s="33" t="s">
        <v>1089</v>
      </c>
      <c r="G60" s="44" t="s">
        <v>830</v>
      </c>
      <c r="H60" s="44" t="s">
        <v>86</v>
      </c>
      <c r="I60" s="44" t="s">
        <v>878</v>
      </c>
      <c r="J60" s="44">
        <v>43867</v>
      </c>
      <c r="K60" s="91" t="s">
        <v>1041</v>
      </c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</row>
    <row r="61" spans="1:27" ht="15.75" customHeight="1">
      <c r="A61" s="45">
        <v>43984</v>
      </c>
      <c r="B61" s="64" t="s">
        <v>1080</v>
      </c>
      <c r="C61" s="46" t="s">
        <v>1027</v>
      </c>
      <c r="D61" s="33" t="s">
        <v>1037</v>
      </c>
      <c r="E61" s="90">
        <v>200000</v>
      </c>
      <c r="F61" s="33" t="s">
        <v>1081</v>
      </c>
      <c r="G61" s="44" t="s">
        <v>830</v>
      </c>
      <c r="H61" s="44" t="s">
        <v>86</v>
      </c>
      <c r="I61" s="44" t="s">
        <v>878</v>
      </c>
      <c r="J61" s="44">
        <v>43699</v>
      </c>
      <c r="K61" s="91" t="s">
        <v>1033</v>
      </c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</row>
    <row r="62" spans="1:27" ht="15.75" customHeight="1">
      <c r="A62" s="45">
        <v>43985</v>
      </c>
      <c r="B62" s="64" t="s">
        <v>1048</v>
      </c>
      <c r="C62" s="46" t="s">
        <v>1027</v>
      </c>
      <c r="D62" s="33" t="s">
        <v>1037</v>
      </c>
      <c r="E62" s="90">
        <v>6000</v>
      </c>
      <c r="F62" s="33" t="s">
        <v>1049</v>
      </c>
      <c r="G62" s="44" t="s">
        <v>830</v>
      </c>
      <c r="H62" s="44" t="s">
        <v>86</v>
      </c>
      <c r="I62" s="44" t="s">
        <v>878</v>
      </c>
      <c r="J62" s="44">
        <v>43703</v>
      </c>
      <c r="K62" s="91" t="s">
        <v>1033</v>
      </c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</row>
    <row r="63" spans="1:27" ht="15.75" customHeight="1">
      <c r="A63" s="45">
        <v>43987</v>
      </c>
      <c r="B63" s="93" t="s">
        <v>1065</v>
      </c>
      <c r="C63" s="46" t="s">
        <v>1027</v>
      </c>
      <c r="D63" s="33" t="s">
        <v>1037</v>
      </c>
      <c r="E63" s="90">
        <v>10000</v>
      </c>
      <c r="F63" s="33" t="s">
        <v>1066</v>
      </c>
      <c r="G63" s="44" t="s">
        <v>830</v>
      </c>
      <c r="H63" s="44" t="s">
        <v>86</v>
      </c>
      <c r="I63" s="44" t="s">
        <v>969</v>
      </c>
      <c r="J63" s="44">
        <v>43559</v>
      </c>
      <c r="K63" s="91" t="s">
        <v>1033</v>
      </c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</row>
    <row r="64" spans="1:27" ht="15.75" customHeight="1">
      <c r="A64" s="45">
        <v>43990</v>
      </c>
      <c r="B64" s="64" t="s">
        <v>1091</v>
      </c>
      <c r="C64" s="46" t="s">
        <v>1027</v>
      </c>
      <c r="D64" s="33" t="s">
        <v>1037</v>
      </c>
      <c r="E64" s="90">
        <v>20000</v>
      </c>
      <c r="F64" s="33" t="s">
        <v>1092</v>
      </c>
      <c r="G64" s="44" t="s">
        <v>830</v>
      </c>
      <c r="H64" s="44" t="s">
        <v>86</v>
      </c>
      <c r="I64" s="44" t="s">
        <v>969</v>
      </c>
      <c r="J64" s="44">
        <v>43607</v>
      </c>
      <c r="K64" s="91" t="s">
        <v>1033</v>
      </c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</row>
    <row r="65" spans="1:27" ht="15.75" customHeight="1">
      <c r="A65" s="45">
        <v>43991</v>
      </c>
      <c r="B65" s="64" t="s">
        <v>1093</v>
      </c>
      <c r="C65" s="46" t="s">
        <v>1027</v>
      </c>
      <c r="D65" s="33" t="s">
        <v>1037</v>
      </c>
      <c r="E65" s="90">
        <v>6000</v>
      </c>
      <c r="F65" s="33" t="s">
        <v>1094</v>
      </c>
      <c r="G65" s="44" t="s">
        <v>830</v>
      </c>
      <c r="H65" s="44" t="s">
        <v>86</v>
      </c>
      <c r="I65" s="44" t="s">
        <v>878</v>
      </c>
      <c r="J65" s="44">
        <v>43564</v>
      </c>
      <c r="K65" s="91" t="s">
        <v>1030</v>
      </c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</row>
    <row r="66" spans="1:27" ht="15.75" customHeight="1">
      <c r="A66" s="45">
        <v>43991</v>
      </c>
      <c r="B66" s="93" t="s">
        <v>1084</v>
      </c>
      <c r="C66" s="46" t="s">
        <v>1027</v>
      </c>
      <c r="D66" s="33" t="s">
        <v>1037</v>
      </c>
      <c r="E66" s="90">
        <v>3000</v>
      </c>
      <c r="F66" s="33" t="s">
        <v>1085</v>
      </c>
      <c r="G66" s="44" t="s">
        <v>830</v>
      </c>
      <c r="H66" s="44" t="s">
        <v>86</v>
      </c>
      <c r="I66" s="44" t="s">
        <v>878</v>
      </c>
      <c r="J66" s="44">
        <v>43894</v>
      </c>
      <c r="K66" s="91" t="s">
        <v>1054</v>
      </c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</row>
    <row r="67" spans="1:27" ht="15.75" customHeight="1">
      <c r="A67" s="45">
        <v>43994</v>
      </c>
      <c r="B67" s="64" t="s">
        <v>1095</v>
      </c>
      <c r="C67" s="46" t="s">
        <v>48</v>
      </c>
      <c r="D67" s="33" t="s">
        <v>1037</v>
      </c>
      <c r="E67" s="90">
        <v>14000</v>
      </c>
      <c r="F67" s="33" t="s">
        <v>1096</v>
      </c>
      <c r="G67" s="33" t="s">
        <v>830</v>
      </c>
      <c r="H67" s="33" t="s">
        <v>86</v>
      </c>
      <c r="I67" s="33" t="s">
        <v>830</v>
      </c>
      <c r="J67" s="44">
        <v>44216</v>
      </c>
      <c r="K67" s="92" t="s">
        <v>1041</v>
      </c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</row>
    <row r="68" spans="1:27" ht="15.75" customHeight="1">
      <c r="A68" s="44">
        <v>43997</v>
      </c>
      <c r="B68" s="57" t="s">
        <v>1069</v>
      </c>
      <c r="C68" s="33" t="s">
        <v>1027</v>
      </c>
      <c r="D68" s="33" t="s">
        <v>1028</v>
      </c>
      <c r="E68" s="90">
        <v>0</v>
      </c>
      <c r="F68" s="33" t="s">
        <v>1070</v>
      </c>
      <c r="G68" s="44" t="s">
        <v>830</v>
      </c>
      <c r="H68" s="44" t="s">
        <v>86</v>
      </c>
      <c r="I68" s="44" t="s">
        <v>878</v>
      </c>
      <c r="J68" s="44">
        <v>43453</v>
      </c>
      <c r="K68" s="91" t="s">
        <v>1030</v>
      </c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</row>
    <row r="69" spans="1:27" ht="15.75" customHeight="1">
      <c r="A69" s="44">
        <v>43997</v>
      </c>
      <c r="B69" s="57" t="s">
        <v>1097</v>
      </c>
      <c r="C69" s="33" t="s">
        <v>1027</v>
      </c>
      <c r="D69" s="33" t="s">
        <v>1028</v>
      </c>
      <c r="E69" s="90">
        <v>76468.36</v>
      </c>
      <c r="F69" s="33" t="s">
        <v>1098</v>
      </c>
      <c r="G69" s="44" t="s">
        <v>830</v>
      </c>
      <c r="H69" s="44" t="s">
        <v>86</v>
      </c>
      <c r="I69" s="44" t="s">
        <v>969</v>
      </c>
      <c r="J69" s="44">
        <v>43853</v>
      </c>
      <c r="K69" s="91" t="s">
        <v>1054</v>
      </c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</row>
    <row r="70" spans="1:27" ht="15.75" customHeight="1">
      <c r="A70" s="44">
        <v>43998</v>
      </c>
      <c r="B70" s="57" t="s">
        <v>1099</v>
      </c>
      <c r="C70" s="33" t="s">
        <v>1027</v>
      </c>
      <c r="D70" s="33" t="s">
        <v>1028</v>
      </c>
      <c r="E70" s="90">
        <v>36013.410000000003</v>
      </c>
      <c r="F70" s="33" t="s">
        <v>1070</v>
      </c>
      <c r="G70" s="44" t="s">
        <v>830</v>
      </c>
      <c r="H70" s="44" t="s">
        <v>86</v>
      </c>
      <c r="I70" s="44" t="s">
        <v>878</v>
      </c>
      <c r="J70" s="44">
        <v>43997</v>
      </c>
      <c r="K70" s="91" t="s">
        <v>1041</v>
      </c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</row>
    <row r="71" spans="1:27" ht="15.75" customHeight="1">
      <c r="A71" s="45">
        <v>43999</v>
      </c>
      <c r="B71" s="64" t="s">
        <v>1082</v>
      </c>
      <c r="C71" s="46" t="s">
        <v>1027</v>
      </c>
      <c r="D71" s="33" t="s">
        <v>1037</v>
      </c>
      <c r="E71" s="90">
        <v>100000</v>
      </c>
      <c r="F71" s="33" t="s">
        <v>1083</v>
      </c>
      <c r="G71" s="44" t="s">
        <v>830</v>
      </c>
      <c r="H71" s="44" t="s">
        <v>86</v>
      </c>
      <c r="I71" s="44" t="s">
        <v>878</v>
      </c>
      <c r="J71" s="44">
        <v>43717</v>
      </c>
      <c r="K71" s="91" t="s">
        <v>1033</v>
      </c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</row>
    <row r="72" spans="1:27" ht="15.75" customHeight="1">
      <c r="A72" s="45">
        <v>43999</v>
      </c>
      <c r="B72" s="64" t="s">
        <v>1080</v>
      </c>
      <c r="C72" s="46" t="s">
        <v>1027</v>
      </c>
      <c r="D72" s="33" t="s">
        <v>1037</v>
      </c>
      <c r="E72" s="90">
        <v>10000</v>
      </c>
      <c r="F72" s="33" t="s">
        <v>1081</v>
      </c>
      <c r="G72" s="44" t="s">
        <v>830</v>
      </c>
      <c r="H72" s="44" t="s">
        <v>86</v>
      </c>
      <c r="I72" s="44" t="s">
        <v>878</v>
      </c>
      <c r="J72" s="44">
        <v>43699</v>
      </c>
      <c r="K72" s="91" t="s">
        <v>1033</v>
      </c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</row>
    <row r="73" spans="1:27" ht="15.75" customHeight="1">
      <c r="A73" s="45">
        <v>43999</v>
      </c>
      <c r="B73" s="93" t="s">
        <v>1093</v>
      </c>
      <c r="C73" s="46" t="s">
        <v>1027</v>
      </c>
      <c r="D73" s="33" t="s">
        <v>1037</v>
      </c>
      <c r="E73" s="90">
        <v>7000</v>
      </c>
      <c r="F73" s="33" t="s">
        <v>1094</v>
      </c>
      <c r="G73" s="44" t="s">
        <v>830</v>
      </c>
      <c r="H73" s="44" t="s">
        <v>86</v>
      </c>
      <c r="I73" s="44" t="s">
        <v>878</v>
      </c>
      <c r="J73" s="44">
        <v>43564</v>
      </c>
      <c r="K73" s="91" t="s">
        <v>1030</v>
      </c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</row>
    <row r="74" spans="1:27" ht="15.75" customHeight="1">
      <c r="A74" s="45">
        <v>44004</v>
      </c>
      <c r="B74" s="64" t="s">
        <v>1093</v>
      </c>
      <c r="C74" s="46" t="s">
        <v>1027</v>
      </c>
      <c r="D74" s="33" t="s">
        <v>1037</v>
      </c>
      <c r="E74" s="90">
        <v>9000</v>
      </c>
      <c r="F74" s="33" t="s">
        <v>1094</v>
      </c>
      <c r="G74" s="44" t="s">
        <v>830</v>
      </c>
      <c r="H74" s="44" t="s">
        <v>86</v>
      </c>
      <c r="I74" s="44" t="s">
        <v>878</v>
      </c>
      <c r="J74" s="44">
        <v>43564</v>
      </c>
      <c r="K74" s="91" t="s">
        <v>1030</v>
      </c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</row>
    <row r="75" spans="1:27" ht="15.75" customHeight="1">
      <c r="A75" s="45">
        <v>44004</v>
      </c>
      <c r="B75" s="93" t="s">
        <v>1065</v>
      </c>
      <c r="C75" s="46" t="s">
        <v>1027</v>
      </c>
      <c r="D75" s="33" t="s">
        <v>1037</v>
      </c>
      <c r="E75" s="90">
        <v>10000</v>
      </c>
      <c r="F75" s="33" t="s">
        <v>1066</v>
      </c>
      <c r="G75" s="44" t="s">
        <v>830</v>
      </c>
      <c r="H75" s="44" t="s">
        <v>86</v>
      </c>
      <c r="I75" s="44" t="s">
        <v>969</v>
      </c>
      <c r="J75" s="44">
        <v>43559</v>
      </c>
      <c r="K75" s="91" t="s">
        <v>1033</v>
      </c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</row>
    <row r="76" spans="1:27" ht="15.75" customHeight="1">
      <c r="A76" s="44">
        <v>44007</v>
      </c>
      <c r="B76" s="57" t="s">
        <v>1100</v>
      </c>
      <c r="C76" s="33" t="s">
        <v>1027</v>
      </c>
      <c r="D76" s="33" t="s">
        <v>1028</v>
      </c>
      <c r="E76" s="90">
        <v>120144.24</v>
      </c>
      <c r="F76" s="33" t="s">
        <v>1101</v>
      </c>
      <c r="G76" s="44" t="s">
        <v>830</v>
      </c>
      <c r="H76" s="44" t="s">
        <v>86</v>
      </c>
      <c r="I76" s="44" t="s">
        <v>969</v>
      </c>
      <c r="J76" s="44">
        <v>43822</v>
      </c>
      <c r="K76" s="91" t="s">
        <v>1041</v>
      </c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</row>
    <row r="77" spans="1:27" ht="15.75" customHeight="1">
      <c r="A77" s="45">
        <v>44007</v>
      </c>
      <c r="B77" s="64" t="s">
        <v>1084</v>
      </c>
      <c r="C77" s="46" t="s">
        <v>1027</v>
      </c>
      <c r="D77" s="33" t="s">
        <v>1037</v>
      </c>
      <c r="E77" s="90">
        <v>160000</v>
      </c>
      <c r="F77" s="33" t="s">
        <v>1085</v>
      </c>
      <c r="G77" s="44" t="s">
        <v>830</v>
      </c>
      <c r="H77" s="44" t="s">
        <v>86</v>
      </c>
      <c r="I77" s="44" t="s">
        <v>878</v>
      </c>
      <c r="J77" s="44">
        <v>43894</v>
      </c>
      <c r="K77" s="91" t="s">
        <v>1054</v>
      </c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</row>
    <row r="78" spans="1:27" ht="15.75" customHeight="1">
      <c r="A78" s="45">
        <v>44007</v>
      </c>
      <c r="B78" s="64" t="s">
        <v>1052</v>
      </c>
      <c r="C78" s="46" t="s">
        <v>1027</v>
      </c>
      <c r="D78" s="33" t="s">
        <v>1037</v>
      </c>
      <c r="E78" s="90">
        <v>2500</v>
      </c>
      <c r="F78" s="33" t="s">
        <v>1053</v>
      </c>
      <c r="G78" s="44" t="s">
        <v>830</v>
      </c>
      <c r="H78" s="44" t="s">
        <v>86</v>
      </c>
      <c r="I78" s="44" t="s">
        <v>878</v>
      </c>
      <c r="J78" s="44">
        <v>43605</v>
      </c>
      <c r="K78" s="91" t="s">
        <v>1054</v>
      </c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</row>
    <row r="79" spans="1:27" ht="15.75" customHeight="1">
      <c r="A79" s="45">
        <v>44008</v>
      </c>
      <c r="B79" s="64" t="s">
        <v>1048</v>
      </c>
      <c r="C79" s="46" t="s">
        <v>1027</v>
      </c>
      <c r="D79" s="33" t="s">
        <v>1037</v>
      </c>
      <c r="E79" s="90">
        <v>11000</v>
      </c>
      <c r="F79" s="33" t="s">
        <v>1049</v>
      </c>
      <c r="G79" s="44" t="s">
        <v>830</v>
      </c>
      <c r="H79" s="44" t="s">
        <v>86</v>
      </c>
      <c r="I79" s="44" t="s">
        <v>878</v>
      </c>
      <c r="J79" s="44">
        <v>43703</v>
      </c>
      <c r="K79" s="91" t="s">
        <v>1033</v>
      </c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</row>
    <row r="80" spans="1:27" ht="15.75" customHeight="1">
      <c r="A80" s="44">
        <v>44011</v>
      </c>
      <c r="B80" s="57" t="s">
        <v>1095</v>
      </c>
      <c r="C80" s="33" t="s">
        <v>48</v>
      </c>
      <c r="D80" s="33" t="s">
        <v>1028</v>
      </c>
      <c r="E80" s="90">
        <v>0</v>
      </c>
      <c r="F80" s="33" t="s">
        <v>1096</v>
      </c>
      <c r="G80" s="33" t="s">
        <v>830</v>
      </c>
      <c r="H80" s="33" t="s">
        <v>86</v>
      </c>
      <c r="I80" s="33" t="s">
        <v>830</v>
      </c>
      <c r="J80" s="44">
        <v>44216</v>
      </c>
      <c r="K80" s="92" t="s">
        <v>1041</v>
      </c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</row>
    <row r="81" spans="1:27" ht="15.75" customHeight="1">
      <c r="A81" s="45">
        <v>44012</v>
      </c>
      <c r="B81" s="64" t="s">
        <v>1102</v>
      </c>
      <c r="C81" s="46" t="s">
        <v>1027</v>
      </c>
      <c r="D81" s="33" t="s">
        <v>1037</v>
      </c>
      <c r="E81" s="90">
        <v>36000</v>
      </c>
      <c r="F81" s="33" t="s">
        <v>1103</v>
      </c>
      <c r="G81" s="44" t="s">
        <v>830</v>
      </c>
      <c r="H81" s="44" t="s">
        <v>86</v>
      </c>
      <c r="I81" s="44" t="s">
        <v>878</v>
      </c>
      <c r="J81" s="44">
        <v>43888</v>
      </c>
      <c r="K81" s="91" t="s">
        <v>1041</v>
      </c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</row>
    <row r="82" spans="1:27" ht="15.75" customHeight="1">
      <c r="A82" s="45">
        <v>44014</v>
      </c>
      <c r="B82" s="64" t="s">
        <v>1065</v>
      </c>
      <c r="C82" s="46" t="s">
        <v>1027</v>
      </c>
      <c r="D82" s="33" t="s">
        <v>1037</v>
      </c>
      <c r="E82" s="90">
        <v>100000</v>
      </c>
      <c r="F82" s="33" t="s">
        <v>1066</v>
      </c>
      <c r="G82" s="44" t="s">
        <v>830</v>
      </c>
      <c r="H82" s="44" t="s">
        <v>86</v>
      </c>
      <c r="I82" s="44" t="s">
        <v>969</v>
      </c>
      <c r="J82" s="44">
        <v>43559</v>
      </c>
      <c r="K82" s="91" t="s">
        <v>1033</v>
      </c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</row>
    <row r="83" spans="1:27" ht="15.75" customHeight="1">
      <c r="A83" s="45">
        <v>44022</v>
      </c>
      <c r="B83" s="64" t="s">
        <v>1075</v>
      </c>
      <c r="C83" s="46" t="s">
        <v>1076</v>
      </c>
      <c r="D83" s="33" t="s">
        <v>1037</v>
      </c>
      <c r="E83" s="90">
        <v>100000</v>
      </c>
      <c r="F83" s="33" t="s">
        <v>1077</v>
      </c>
      <c r="G83" s="44" t="s">
        <v>835</v>
      </c>
      <c r="H83" s="44" t="s">
        <v>86</v>
      </c>
      <c r="I83" s="44" t="s">
        <v>845</v>
      </c>
      <c r="J83" s="44">
        <v>43797</v>
      </c>
      <c r="K83" s="91" t="s">
        <v>1054</v>
      </c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</row>
    <row r="84" spans="1:27" ht="15.75" customHeight="1">
      <c r="A84" s="45">
        <v>44022</v>
      </c>
      <c r="B84" s="64" t="s">
        <v>1104</v>
      </c>
      <c r="C84" s="46" t="s">
        <v>1027</v>
      </c>
      <c r="D84" s="33" t="s">
        <v>1037</v>
      </c>
      <c r="E84" s="90">
        <v>40078.019999999997</v>
      </c>
      <c r="F84" s="33" t="s">
        <v>1105</v>
      </c>
      <c r="G84" s="44" t="s">
        <v>830</v>
      </c>
      <c r="H84" s="44" t="s">
        <v>86</v>
      </c>
      <c r="I84" s="44" t="s">
        <v>878</v>
      </c>
      <c r="J84" s="44">
        <v>43840</v>
      </c>
      <c r="K84" s="91" t="s">
        <v>1054</v>
      </c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</row>
    <row r="85" spans="1:27" ht="15.75" customHeight="1">
      <c r="A85" s="45">
        <v>44023</v>
      </c>
      <c r="B85" s="64" t="s">
        <v>1106</v>
      </c>
      <c r="C85" s="46" t="s">
        <v>1027</v>
      </c>
      <c r="D85" s="33" t="s">
        <v>1037</v>
      </c>
      <c r="E85" s="90">
        <v>46758.86</v>
      </c>
      <c r="F85" s="33" t="s">
        <v>1107</v>
      </c>
      <c r="G85" s="44" t="s">
        <v>830</v>
      </c>
      <c r="H85" s="44" t="s">
        <v>86</v>
      </c>
      <c r="I85" s="44" t="s">
        <v>878</v>
      </c>
      <c r="J85" s="44">
        <v>43620</v>
      </c>
      <c r="K85" s="91" t="s">
        <v>1030</v>
      </c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</row>
    <row r="86" spans="1:27" ht="15.75" customHeight="1">
      <c r="A86" s="44">
        <v>44025</v>
      </c>
      <c r="B86" s="57" t="s">
        <v>1108</v>
      </c>
      <c r="C86" s="33" t="s">
        <v>1027</v>
      </c>
      <c r="D86" s="33" t="s">
        <v>1028</v>
      </c>
      <c r="E86" s="90">
        <v>0</v>
      </c>
      <c r="F86" s="33" t="s">
        <v>1109</v>
      </c>
      <c r="G86" s="44" t="s">
        <v>830</v>
      </c>
      <c r="H86" s="44" t="s">
        <v>86</v>
      </c>
      <c r="I86" s="44" t="s">
        <v>878</v>
      </c>
      <c r="J86" s="44">
        <v>43538</v>
      </c>
      <c r="K86" s="91" t="s">
        <v>1033</v>
      </c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</row>
    <row r="87" spans="1:27" ht="15.75" customHeight="1">
      <c r="A87" s="44">
        <v>44025</v>
      </c>
      <c r="B87" s="57" t="s">
        <v>1110</v>
      </c>
      <c r="C87" s="33" t="s">
        <v>1027</v>
      </c>
      <c r="D87" s="33" t="s">
        <v>1028</v>
      </c>
      <c r="E87" s="90">
        <v>0</v>
      </c>
      <c r="F87" s="33" t="s">
        <v>1109</v>
      </c>
      <c r="G87" s="44" t="s">
        <v>830</v>
      </c>
      <c r="H87" s="44" t="s">
        <v>86</v>
      </c>
      <c r="I87" s="44" t="s">
        <v>878</v>
      </c>
      <c r="J87" s="44">
        <v>43538</v>
      </c>
      <c r="K87" s="91" t="s">
        <v>1030</v>
      </c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</row>
    <row r="88" spans="1:27" ht="15.75" customHeight="1">
      <c r="A88" s="45">
        <v>44029</v>
      </c>
      <c r="B88" s="64" t="s">
        <v>1084</v>
      </c>
      <c r="C88" s="46" t="s">
        <v>1027</v>
      </c>
      <c r="D88" s="33" t="s">
        <v>1037</v>
      </c>
      <c r="E88" s="90">
        <v>60000</v>
      </c>
      <c r="F88" s="33" t="s">
        <v>1085</v>
      </c>
      <c r="G88" s="44" t="s">
        <v>830</v>
      </c>
      <c r="H88" s="44" t="s">
        <v>86</v>
      </c>
      <c r="I88" s="44" t="s">
        <v>878</v>
      </c>
      <c r="J88" s="44">
        <v>43894</v>
      </c>
      <c r="K88" s="91" t="s">
        <v>1054</v>
      </c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</row>
    <row r="89" spans="1:27" ht="15.75" customHeight="1">
      <c r="A89" s="45">
        <v>44032</v>
      </c>
      <c r="B89" s="64" t="s">
        <v>1052</v>
      </c>
      <c r="C89" s="46" t="s">
        <v>1027</v>
      </c>
      <c r="D89" s="33" t="s">
        <v>1037</v>
      </c>
      <c r="E89" s="90">
        <v>211079.19</v>
      </c>
      <c r="F89" s="33" t="s">
        <v>1053</v>
      </c>
      <c r="G89" s="44" t="s">
        <v>830</v>
      </c>
      <c r="H89" s="44" t="s">
        <v>86</v>
      </c>
      <c r="I89" s="44" t="s">
        <v>878</v>
      </c>
      <c r="J89" s="44">
        <v>43605</v>
      </c>
      <c r="K89" s="91" t="s">
        <v>1054</v>
      </c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</row>
    <row r="90" spans="1:27" ht="15.75" customHeight="1">
      <c r="A90" s="45">
        <v>44032</v>
      </c>
      <c r="B90" s="64" t="s">
        <v>1111</v>
      </c>
      <c r="C90" s="46" t="s">
        <v>1027</v>
      </c>
      <c r="D90" s="33" t="s">
        <v>1037</v>
      </c>
      <c r="E90" s="90">
        <v>7000</v>
      </c>
      <c r="F90" s="33" t="s">
        <v>1112</v>
      </c>
      <c r="G90" s="44" t="s">
        <v>830</v>
      </c>
      <c r="H90" s="44" t="s">
        <v>86</v>
      </c>
      <c r="I90" s="44" t="s">
        <v>878</v>
      </c>
      <c r="J90" s="44">
        <v>43732</v>
      </c>
      <c r="K90" s="91" t="s">
        <v>1033</v>
      </c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</row>
    <row r="91" spans="1:27" ht="15.75" customHeight="1">
      <c r="A91" s="45">
        <v>44032</v>
      </c>
      <c r="B91" s="64" t="s">
        <v>1113</v>
      </c>
      <c r="C91" s="46" t="s">
        <v>1027</v>
      </c>
      <c r="D91" s="33" t="s">
        <v>1037</v>
      </c>
      <c r="E91" s="90">
        <v>14000</v>
      </c>
      <c r="F91" s="33" t="s">
        <v>1114</v>
      </c>
      <c r="G91" s="44" t="s">
        <v>830</v>
      </c>
      <c r="H91" s="44" t="s">
        <v>86</v>
      </c>
      <c r="I91" s="44" t="s">
        <v>878</v>
      </c>
      <c r="J91" s="44">
        <v>43620</v>
      </c>
      <c r="K91" s="91" t="s">
        <v>1041</v>
      </c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</row>
    <row r="92" spans="1:27" ht="15.75" customHeight="1">
      <c r="A92" s="45">
        <v>44032</v>
      </c>
      <c r="B92" s="64" t="s">
        <v>1115</v>
      </c>
      <c r="C92" s="46" t="s">
        <v>48</v>
      </c>
      <c r="D92" s="33" t="s">
        <v>1037</v>
      </c>
      <c r="E92" s="90">
        <v>10000</v>
      </c>
      <c r="F92" s="33" t="s">
        <v>1114</v>
      </c>
      <c r="G92" s="33" t="s">
        <v>830</v>
      </c>
      <c r="H92" s="33" t="s">
        <v>86</v>
      </c>
      <c r="I92" s="33" t="s">
        <v>830</v>
      </c>
      <c r="J92" s="44">
        <v>43700</v>
      </c>
      <c r="K92" s="92" t="s">
        <v>1041</v>
      </c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</row>
    <row r="93" spans="1:27" ht="15.75" customHeight="1">
      <c r="A93" s="45">
        <v>44033</v>
      </c>
      <c r="B93" s="93" t="s">
        <v>1086</v>
      </c>
      <c r="C93" s="46" t="s">
        <v>1027</v>
      </c>
      <c r="D93" s="33" t="s">
        <v>1062</v>
      </c>
      <c r="E93" s="90">
        <v>30000</v>
      </c>
      <c r="F93" s="33" t="s">
        <v>1087</v>
      </c>
      <c r="G93" s="44" t="s">
        <v>830</v>
      </c>
      <c r="H93" s="44" t="s">
        <v>86</v>
      </c>
      <c r="I93" s="44" t="s">
        <v>969</v>
      </c>
      <c r="J93" s="44">
        <v>43913</v>
      </c>
      <c r="K93" s="91" t="s">
        <v>1041</v>
      </c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</row>
    <row r="94" spans="1:27" ht="15.75" customHeight="1">
      <c r="A94" s="45">
        <v>44034</v>
      </c>
      <c r="B94" s="64" t="s">
        <v>1116</v>
      </c>
      <c r="C94" s="46" t="s">
        <v>1027</v>
      </c>
      <c r="D94" s="33" t="s">
        <v>1062</v>
      </c>
      <c r="E94" s="90">
        <v>20000</v>
      </c>
      <c r="F94" s="33" t="s">
        <v>1117</v>
      </c>
      <c r="G94" s="44" t="s">
        <v>977</v>
      </c>
      <c r="H94" s="44" t="s">
        <v>86</v>
      </c>
      <c r="I94" s="44" t="s">
        <v>977</v>
      </c>
      <c r="J94" s="44">
        <v>43441</v>
      </c>
      <c r="K94" s="91" t="s">
        <v>1030</v>
      </c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</row>
    <row r="95" spans="1:27" ht="15.75" customHeight="1">
      <c r="A95" s="45">
        <v>44036</v>
      </c>
      <c r="B95" s="64" t="s">
        <v>1113</v>
      </c>
      <c r="C95" s="46" t="s">
        <v>1027</v>
      </c>
      <c r="D95" s="33" t="s">
        <v>1037</v>
      </c>
      <c r="E95" s="90">
        <v>3500</v>
      </c>
      <c r="F95" s="33" t="s">
        <v>1114</v>
      </c>
      <c r="G95" s="44" t="s">
        <v>830</v>
      </c>
      <c r="H95" s="44" t="s">
        <v>86</v>
      </c>
      <c r="I95" s="44" t="s">
        <v>878</v>
      </c>
      <c r="J95" s="44">
        <v>43620</v>
      </c>
      <c r="K95" s="91" t="s">
        <v>1041</v>
      </c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</row>
    <row r="96" spans="1:27" ht="15.75" customHeight="1">
      <c r="A96" s="45">
        <v>44036</v>
      </c>
      <c r="B96" s="93" t="s">
        <v>1106</v>
      </c>
      <c r="C96" s="46" t="s">
        <v>1027</v>
      </c>
      <c r="D96" s="33" t="s">
        <v>1062</v>
      </c>
      <c r="E96" s="90">
        <v>7000</v>
      </c>
      <c r="F96" s="33" t="s">
        <v>1107</v>
      </c>
      <c r="G96" s="44" t="s">
        <v>830</v>
      </c>
      <c r="H96" s="44" t="s">
        <v>86</v>
      </c>
      <c r="I96" s="44" t="s">
        <v>878</v>
      </c>
      <c r="J96" s="44">
        <v>43620</v>
      </c>
      <c r="K96" s="91" t="s">
        <v>1030</v>
      </c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</row>
    <row r="97" spans="1:27" ht="15.75" customHeight="1">
      <c r="A97" s="45">
        <v>44039</v>
      </c>
      <c r="B97" s="64" t="s">
        <v>1104</v>
      </c>
      <c r="C97" s="46" t="s">
        <v>1027</v>
      </c>
      <c r="D97" s="33" t="s">
        <v>1037</v>
      </c>
      <c r="E97" s="90">
        <v>20000</v>
      </c>
      <c r="F97" s="33" t="s">
        <v>1105</v>
      </c>
      <c r="G97" s="44" t="s">
        <v>830</v>
      </c>
      <c r="H97" s="44" t="s">
        <v>86</v>
      </c>
      <c r="I97" s="44" t="s">
        <v>878</v>
      </c>
      <c r="J97" s="44">
        <v>43840</v>
      </c>
      <c r="K97" s="91" t="s">
        <v>1054</v>
      </c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</row>
    <row r="98" spans="1:27" ht="15.75" customHeight="1">
      <c r="A98" s="45">
        <v>44039</v>
      </c>
      <c r="B98" s="93" t="s">
        <v>1052</v>
      </c>
      <c r="C98" s="46" t="s">
        <v>1027</v>
      </c>
      <c r="D98" s="33" t="s">
        <v>1037</v>
      </c>
      <c r="E98" s="90">
        <v>5000</v>
      </c>
      <c r="F98" s="33" t="s">
        <v>1053</v>
      </c>
      <c r="G98" s="44" t="s">
        <v>830</v>
      </c>
      <c r="H98" s="44" t="s">
        <v>86</v>
      </c>
      <c r="I98" s="44" t="s">
        <v>878</v>
      </c>
      <c r="J98" s="44">
        <v>43605</v>
      </c>
      <c r="K98" s="91" t="s">
        <v>1054</v>
      </c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</row>
    <row r="99" spans="1:27" ht="15.75" customHeight="1">
      <c r="A99" s="45">
        <v>44040</v>
      </c>
      <c r="B99" s="64" t="s">
        <v>1048</v>
      </c>
      <c r="C99" s="46" t="s">
        <v>1027</v>
      </c>
      <c r="D99" s="33" t="s">
        <v>1037</v>
      </c>
      <c r="E99" s="90">
        <v>10000</v>
      </c>
      <c r="F99" s="33" t="s">
        <v>1049</v>
      </c>
      <c r="G99" s="44" t="s">
        <v>830</v>
      </c>
      <c r="H99" s="44" t="s">
        <v>86</v>
      </c>
      <c r="I99" s="44" t="s">
        <v>878</v>
      </c>
      <c r="J99" s="44">
        <v>43703</v>
      </c>
      <c r="K99" s="91" t="s">
        <v>1033</v>
      </c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</row>
    <row r="100" spans="1:27" ht="15.75" customHeight="1">
      <c r="A100" s="44">
        <v>44041</v>
      </c>
      <c r="B100" s="57" t="s">
        <v>1118</v>
      </c>
      <c r="C100" s="33" t="s">
        <v>1027</v>
      </c>
      <c r="D100" s="33" t="s">
        <v>1028</v>
      </c>
      <c r="E100" s="90">
        <v>0</v>
      </c>
      <c r="F100" s="33" t="s">
        <v>1119</v>
      </c>
      <c r="G100" s="44"/>
      <c r="H100" s="44"/>
      <c r="I100" s="44"/>
      <c r="J100" s="44"/>
      <c r="K100" s="91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</row>
    <row r="101" spans="1:27" ht="15.75" customHeight="1">
      <c r="A101" s="45">
        <v>44041</v>
      </c>
      <c r="B101" s="93" t="s">
        <v>1102</v>
      </c>
      <c r="C101" s="46" t="s">
        <v>1027</v>
      </c>
      <c r="D101" s="33" t="s">
        <v>1037</v>
      </c>
      <c r="E101" s="90">
        <v>151239.98000000001</v>
      </c>
      <c r="F101" s="33" t="s">
        <v>1103</v>
      </c>
      <c r="G101" s="44" t="s">
        <v>830</v>
      </c>
      <c r="H101" s="44" t="s">
        <v>86</v>
      </c>
      <c r="I101" s="44" t="s">
        <v>878</v>
      </c>
      <c r="J101" s="44">
        <v>43888</v>
      </c>
      <c r="K101" s="91" t="s">
        <v>1041</v>
      </c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</row>
    <row r="102" spans="1:27" ht="15.75" customHeight="1">
      <c r="A102" s="45">
        <v>44041</v>
      </c>
      <c r="B102" s="64" t="s">
        <v>1120</v>
      </c>
      <c r="C102" s="46" t="s">
        <v>1076</v>
      </c>
      <c r="D102" s="33" t="s">
        <v>1037</v>
      </c>
      <c r="E102" s="90">
        <v>10000</v>
      </c>
      <c r="F102" s="33" t="s">
        <v>1121</v>
      </c>
      <c r="G102" s="44" t="s">
        <v>835</v>
      </c>
      <c r="H102" s="44" t="s">
        <v>86</v>
      </c>
      <c r="I102" s="44" t="s">
        <v>920</v>
      </c>
      <c r="J102" s="44">
        <v>43934</v>
      </c>
      <c r="K102" s="91" t="s">
        <v>1122</v>
      </c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</row>
    <row r="103" spans="1:27" ht="15.75" customHeight="1">
      <c r="A103" s="44">
        <v>44042</v>
      </c>
      <c r="B103" s="95" t="s">
        <v>1123</v>
      </c>
      <c r="C103" s="33" t="s">
        <v>48</v>
      </c>
      <c r="D103" s="33" t="s">
        <v>1028</v>
      </c>
      <c r="E103" s="90">
        <v>0</v>
      </c>
      <c r="F103" s="33" t="s">
        <v>1124</v>
      </c>
      <c r="G103" s="33" t="s">
        <v>830</v>
      </c>
      <c r="H103" s="33" t="s">
        <v>86</v>
      </c>
      <c r="I103" s="33" t="s">
        <v>830</v>
      </c>
      <c r="J103" s="44">
        <v>43838</v>
      </c>
      <c r="K103" s="92" t="s">
        <v>1125</v>
      </c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</row>
    <row r="104" spans="1:27" ht="15.75" customHeight="1">
      <c r="A104" s="45">
        <v>44042</v>
      </c>
      <c r="B104" s="64" t="s">
        <v>1126</v>
      </c>
      <c r="C104" s="46" t="s">
        <v>1076</v>
      </c>
      <c r="D104" s="33" t="s">
        <v>1037</v>
      </c>
      <c r="E104" s="90">
        <v>10000</v>
      </c>
      <c r="F104" s="33" t="s">
        <v>1127</v>
      </c>
      <c r="G104" s="44" t="s">
        <v>835</v>
      </c>
      <c r="H104" s="44" t="s">
        <v>86</v>
      </c>
      <c r="I104" s="44" t="s">
        <v>920</v>
      </c>
      <c r="J104" s="44">
        <v>43635</v>
      </c>
      <c r="K104" s="91" t="s">
        <v>1033</v>
      </c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</row>
    <row r="105" spans="1:27" ht="15.75" customHeight="1">
      <c r="A105" s="44">
        <v>44044</v>
      </c>
      <c r="B105" s="57" t="s">
        <v>1128</v>
      </c>
      <c r="C105" s="33" t="s">
        <v>1027</v>
      </c>
      <c r="D105" s="33" t="s">
        <v>1028</v>
      </c>
      <c r="E105" s="90">
        <v>151239.98000000001</v>
      </c>
      <c r="F105" s="33" t="s">
        <v>1129</v>
      </c>
      <c r="G105" s="44" t="s">
        <v>830</v>
      </c>
      <c r="H105" s="44" t="s">
        <v>86</v>
      </c>
      <c r="I105" s="44" t="s">
        <v>878</v>
      </c>
      <c r="J105" s="44">
        <v>43668</v>
      </c>
      <c r="K105" s="91" t="s">
        <v>1033</v>
      </c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</row>
    <row r="106" spans="1:27" ht="15.75" customHeight="1">
      <c r="A106" s="45">
        <v>44046</v>
      </c>
      <c r="B106" s="64" t="s">
        <v>1065</v>
      </c>
      <c r="C106" s="46" t="s">
        <v>1027</v>
      </c>
      <c r="D106" s="33" t="s">
        <v>1037</v>
      </c>
      <c r="E106" s="90">
        <v>3000</v>
      </c>
      <c r="F106" s="33" t="s">
        <v>1066</v>
      </c>
      <c r="G106" s="44" t="s">
        <v>830</v>
      </c>
      <c r="H106" s="44" t="s">
        <v>86</v>
      </c>
      <c r="I106" s="44" t="s">
        <v>969</v>
      </c>
      <c r="J106" s="44">
        <v>43559</v>
      </c>
      <c r="K106" s="91" t="s">
        <v>1033</v>
      </c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</row>
    <row r="107" spans="1:27" ht="15.75" customHeight="1">
      <c r="A107" s="45">
        <v>44046</v>
      </c>
      <c r="B107" s="64" t="s">
        <v>1036</v>
      </c>
      <c r="C107" s="46" t="s">
        <v>1027</v>
      </c>
      <c r="D107" s="33" t="s">
        <v>1037</v>
      </c>
      <c r="E107" s="90">
        <v>6500</v>
      </c>
      <c r="F107" s="33" t="s">
        <v>1038</v>
      </c>
      <c r="G107" s="44" t="s">
        <v>830</v>
      </c>
      <c r="H107" s="44" t="s">
        <v>86</v>
      </c>
      <c r="I107" s="44" t="s">
        <v>878</v>
      </c>
      <c r="J107" s="44">
        <v>43675</v>
      </c>
      <c r="K107" s="91" t="s">
        <v>1033</v>
      </c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</row>
    <row r="108" spans="1:27" ht="15.75" customHeight="1">
      <c r="A108" s="45">
        <v>44048</v>
      </c>
      <c r="B108" s="93" t="s">
        <v>1058</v>
      </c>
      <c r="C108" s="46" t="s">
        <v>48</v>
      </c>
      <c r="D108" s="33" t="s">
        <v>1037</v>
      </c>
      <c r="E108" s="90">
        <v>10000</v>
      </c>
      <c r="F108" s="33" t="s">
        <v>1059</v>
      </c>
      <c r="G108" s="33" t="s">
        <v>830</v>
      </c>
      <c r="H108" s="33" t="s">
        <v>86</v>
      </c>
      <c r="I108" s="33" t="s">
        <v>830</v>
      </c>
      <c r="J108" s="44">
        <v>44252</v>
      </c>
      <c r="K108" s="92" t="s">
        <v>1054</v>
      </c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</row>
    <row r="109" spans="1:27" ht="15.75" customHeight="1">
      <c r="A109" s="45">
        <v>44048</v>
      </c>
      <c r="B109" s="64" t="s">
        <v>1080</v>
      </c>
      <c r="C109" s="46" t="s">
        <v>1027</v>
      </c>
      <c r="D109" s="33" t="s">
        <v>1037</v>
      </c>
      <c r="E109" s="90">
        <v>33000</v>
      </c>
      <c r="F109" s="33" t="s">
        <v>1081</v>
      </c>
      <c r="G109" s="44" t="s">
        <v>830</v>
      </c>
      <c r="H109" s="44" t="s">
        <v>86</v>
      </c>
      <c r="I109" s="44" t="s">
        <v>878</v>
      </c>
      <c r="J109" s="44">
        <v>43699</v>
      </c>
      <c r="K109" s="91" t="s">
        <v>1033</v>
      </c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</row>
    <row r="110" spans="1:27" ht="15.75" customHeight="1">
      <c r="A110" s="45">
        <v>44049</v>
      </c>
      <c r="B110" s="64" t="s">
        <v>1128</v>
      </c>
      <c r="C110" s="46" t="s">
        <v>1027</v>
      </c>
      <c r="D110" s="33" t="s">
        <v>1062</v>
      </c>
      <c r="E110" s="90">
        <v>5000</v>
      </c>
      <c r="F110" s="33" t="s">
        <v>1129</v>
      </c>
      <c r="G110" s="44" t="s">
        <v>830</v>
      </c>
      <c r="H110" s="44" t="s">
        <v>86</v>
      </c>
      <c r="I110" s="44" t="s">
        <v>878</v>
      </c>
      <c r="J110" s="44">
        <v>43668</v>
      </c>
      <c r="K110" s="91" t="s">
        <v>1033</v>
      </c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</row>
    <row r="111" spans="1:27" ht="15.75" customHeight="1">
      <c r="A111" s="45">
        <v>44049</v>
      </c>
      <c r="B111" s="64" t="s">
        <v>1102</v>
      </c>
      <c r="C111" s="46" t="s">
        <v>1027</v>
      </c>
      <c r="D111" s="33" t="s">
        <v>1037</v>
      </c>
      <c r="E111" s="90">
        <v>99216.1</v>
      </c>
      <c r="F111" s="33" t="s">
        <v>1103</v>
      </c>
      <c r="G111" s="44" t="s">
        <v>830</v>
      </c>
      <c r="H111" s="44" t="s">
        <v>86</v>
      </c>
      <c r="I111" s="44" t="s">
        <v>878</v>
      </c>
      <c r="J111" s="44">
        <v>43888</v>
      </c>
      <c r="K111" s="91" t="s">
        <v>1041</v>
      </c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</row>
    <row r="112" spans="1:27" ht="15.75" customHeight="1">
      <c r="A112" s="45">
        <v>44050</v>
      </c>
      <c r="B112" s="64" t="s">
        <v>1048</v>
      </c>
      <c r="C112" s="46" t="s">
        <v>1027</v>
      </c>
      <c r="D112" s="33" t="s">
        <v>1037</v>
      </c>
      <c r="E112" s="90">
        <v>14000</v>
      </c>
      <c r="F112" s="33" t="s">
        <v>1049</v>
      </c>
      <c r="G112" s="44" t="s">
        <v>830</v>
      </c>
      <c r="H112" s="44" t="s">
        <v>86</v>
      </c>
      <c r="I112" s="44" t="s">
        <v>878</v>
      </c>
      <c r="J112" s="44">
        <v>43703</v>
      </c>
      <c r="K112" s="91" t="s">
        <v>1033</v>
      </c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</row>
    <row r="113" spans="1:27" ht="15.75" customHeight="1">
      <c r="A113" s="45">
        <v>44050</v>
      </c>
      <c r="B113" s="64" t="s">
        <v>1084</v>
      </c>
      <c r="C113" s="46" t="s">
        <v>1027</v>
      </c>
      <c r="D113" s="33" t="s">
        <v>1037</v>
      </c>
      <c r="E113" s="90">
        <v>9000</v>
      </c>
      <c r="F113" s="33" t="s">
        <v>1085</v>
      </c>
      <c r="G113" s="44" t="s">
        <v>830</v>
      </c>
      <c r="H113" s="44" t="s">
        <v>86</v>
      </c>
      <c r="I113" s="44" t="s">
        <v>878</v>
      </c>
      <c r="J113" s="44">
        <v>43894</v>
      </c>
      <c r="K113" s="91" t="s">
        <v>1054</v>
      </c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</row>
    <row r="114" spans="1:27" ht="15.75" customHeight="1">
      <c r="A114" s="45">
        <v>44050</v>
      </c>
      <c r="B114" s="93" t="s">
        <v>1063</v>
      </c>
      <c r="C114" s="46" t="s">
        <v>1027</v>
      </c>
      <c r="D114" s="33" t="s">
        <v>1037</v>
      </c>
      <c r="E114" s="90">
        <v>20000</v>
      </c>
      <c r="F114" s="33" t="s">
        <v>1064</v>
      </c>
      <c r="G114" s="44" t="s">
        <v>830</v>
      </c>
      <c r="H114" s="44" t="s">
        <v>86</v>
      </c>
      <c r="I114" s="44" t="s">
        <v>969</v>
      </c>
      <c r="J114" s="44">
        <v>43664</v>
      </c>
      <c r="K114" s="91" t="s">
        <v>1033</v>
      </c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</row>
    <row r="115" spans="1:27" ht="15.75" customHeight="1">
      <c r="A115" s="44">
        <v>44053</v>
      </c>
      <c r="B115" s="57" t="s">
        <v>1073</v>
      </c>
      <c r="C115" s="33" t="s">
        <v>1027</v>
      </c>
      <c r="D115" s="33" t="s">
        <v>1028</v>
      </c>
      <c r="E115" s="90">
        <v>0</v>
      </c>
      <c r="F115" s="33" t="s">
        <v>1074</v>
      </c>
      <c r="G115" s="44" t="s">
        <v>830</v>
      </c>
      <c r="H115" s="44" t="s">
        <v>86</v>
      </c>
      <c r="I115" s="44" t="s">
        <v>878</v>
      </c>
      <c r="J115" s="44">
        <v>43738</v>
      </c>
      <c r="K115" s="91" t="s">
        <v>1030</v>
      </c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</row>
    <row r="116" spans="1:27" ht="15.75" customHeight="1">
      <c r="A116" s="45">
        <v>44057</v>
      </c>
      <c r="B116" s="93" t="s">
        <v>1082</v>
      </c>
      <c r="C116" s="46" t="s">
        <v>1027</v>
      </c>
      <c r="D116" s="33" t="s">
        <v>1037</v>
      </c>
      <c r="E116" s="90">
        <v>200000</v>
      </c>
      <c r="F116" s="33" t="s">
        <v>1083</v>
      </c>
      <c r="G116" s="44" t="s">
        <v>830</v>
      </c>
      <c r="H116" s="44" t="s">
        <v>86</v>
      </c>
      <c r="I116" s="44" t="s">
        <v>878</v>
      </c>
      <c r="J116" s="44">
        <v>43717</v>
      </c>
      <c r="K116" s="91" t="s">
        <v>1033</v>
      </c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</row>
    <row r="117" spans="1:27" ht="15.75" customHeight="1">
      <c r="A117" s="45">
        <v>44060</v>
      </c>
      <c r="B117" s="64" t="s">
        <v>1093</v>
      </c>
      <c r="C117" s="46" t="s">
        <v>1027</v>
      </c>
      <c r="D117" s="33" t="s">
        <v>1037</v>
      </c>
      <c r="E117" s="90">
        <v>6300</v>
      </c>
      <c r="F117" s="33" t="s">
        <v>1094</v>
      </c>
      <c r="G117" s="44" t="s">
        <v>830</v>
      </c>
      <c r="H117" s="44" t="s">
        <v>86</v>
      </c>
      <c r="I117" s="44" t="s">
        <v>878</v>
      </c>
      <c r="J117" s="44">
        <v>43564</v>
      </c>
      <c r="K117" s="91" t="s">
        <v>1030</v>
      </c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</row>
    <row r="118" spans="1:27" ht="15.75" customHeight="1">
      <c r="A118" s="44">
        <v>44061</v>
      </c>
      <c r="B118" s="57" t="s">
        <v>1043</v>
      </c>
      <c r="C118" s="33" t="s">
        <v>1027</v>
      </c>
      <c r="D118" s="33" t="s">
        <v>1028</v>
      </c>
      <c r="E118" s="90">
        <v>394570.05</v>
      </c>
      <c r="F118" s="33" t="s">
        <v>1044</v>
      </c>
      <c r="G118" s="44" t="s">
        <v>830</v>
      </c>
      <c r="H118" s="44" t="s">
        <v>86</v>
      </c>
      <c r="I118" s="44" t="s">
        <v>878</v>
      </c>
      <c r="J118" s="44">
        <v>43700</v>
      </c>
      <c r="K118" s="91" t="s">
        <v>1033</v>
      </c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</row>
    <row r="119" spans="1:27" ht="15.75" customHeight="1">
      <c r="A119" s="45">
        <v>44061</v>
      </c>
      <c r="B119" s="64" t="s">
        <v>1104</v>
      </c>
      <c r="C119" s="46" t="s">
        <v>1027</v>
      </c>
      <c r="D119" s="33" t="s">
        <v>1037</v>
      </c>
      <c r="E119" s="90">
        <v>7000</v>
      </c>
      <c r="F119" s="33" t="s">
        <v>1105</v>
      </c>
      <c r="G119" s="44" t="s">
        <v>830</v>
      </c>
      <c r="H119" s="44" t="s">
        <v>86</v>
      </c>
      <c r="I119" s="44" t="s">
        <v>878</v>
      </c>
      <c r="J119" s="44">
        <v>43840</v>
      </c>
      <c r="K119" s="91" t="s">
        <v>1054</v>
      </c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</row>
    <row r="120" spans="1:27" ht="15.75" customHeight="1">
      <c r="A120" s="44">
        <v>44063</v>
      </c>
      <c r="B120" s="57" t="s">
        <v>1130</v>
      </c>
      <c r="C120" s="33" t="s">
        <v>1027</v>
      </c>
      <c r="D120" s="33" t="s">
        <v>1028</v>
      </c>
      <c r="E120" s="90">
        <v>99216.1</v>
      </c>
      <c r="F120" s="33" t="s">
        <v>1131</v>
      </c>
      <c r="G120" s="44" t="s">
        <v>830</v>
      </c>
      <c r="H120" s="44" t="s">
        <v>86</v>
      </c>
      <c r="I120" s="44" t="s">
        <v>878</v>
      </c>
      <c r="J120" s="44">
        <v>43675</v>
      </c>
      <c r="K120" s="91" t="s">
        <v>1033</v>
      </c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</row>
    <row r="121" spans="1:27" ht="15.75" customHeight="1">
      <c r="A121" s="45">
        <v>44068</v>
      </c>
      <c r="B121" s="64" t="s">
        <v>1052</v>
      </c>
      <c r="C121" s="46" t="s">
        <v>1027</v>
      </c>
      <c r="D121" s="33" t="s">
        <v>1037</v>
      </c>
      <c r="E121" s="90">
        <v>130000</v>
      </c>
      <c r="F121" s="33" t="s">
        <v>1053</v>
      </c>
      <c r="G121" s="44" t="s">
        <v>830</v>
      </c>
      <c r="H121" s="44" t="s">
        <v>86</v>
      </c>
      <c r="I121" s="44" t="s">
        <v>878</v>
      </c>
      <c r="J121" s="44">
        <v>43605</v>
      </c>
      <c r="K121" s="91" t="s">
        <v>1054</v>
      </c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</row>
    <row r="122" spans="1:27" ht="15.75" customHeight="1">
      <c r="A122" s="45">
        <v>44068</v>
      </c>
      <c r="B122" s="93" t="s">
        <v>1065</v>
      </c>
      <c r="C122" s="46" t="s">
        <v>1027</v>
      </c>
      <c r="D122" s="33" t="s">
        <v>1037</v>
      </c>
      <c r="E122" s="90">
        <v>5000</v>
      </c>
      <c r="F122" s="33" t="s">
        <v>1066</v>
      </c>
      <c r="G122" s="44" t="s">
        <v>830</v>
      </c>
      <c r="H122" s="44" t="s">
        <v>86</v>
      </c>
      <c r="I122" s="44" t="s">
        <v>969</v>
      </c>
      <c r="J122" s="44">
        <v>43559</v>
      </c>
      <c r="K122" s="91" t="s">
        <v>1033</v>
      </c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</row>
    <row r="123" spans="1:27" ht="15.75" customHeight="1">
      <c r="A123" s="45">
        <v>44069</v>
      </c>
      <c r="B123" s="64" t="s">
        <v>1042</v>
      </c>
      <c r="C123" s="46" t="s">
        <v>48</v>
      </c>
      <c r="D123" s="33" t="s">
        <v>1037</v>
      </c>
      <c r="E123" s="90">
        <v>1800</v>
      </c>
      <c r="F123" s="33" t="s">
        <v>776</v>
      </c>
      <c r="G123" s="33" t="s">
        <v>830</v>
      </c>
      <c r="H123" s="33" t="s">
        <v>86</v>
      </c>
      <c r="I123" s="33" t="s">
        <v>830</v>
      </c>
      <c r="J123" s="44">
        <v>43749</v>
      </c>
      <c r="K123" s="92" t="s">
        <v>1033</v>
      </c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</row>
    <row r="124" spans="1:27" ht="15.75" customHeight="1">
      <c r="A124" s="45">
        <v>44069</v>
      </c>
      <c r="B124" s="64" t="s">
        <v>1048</v>
      </c>
      <c r="C124" s="46" t="s">
        <v>1027</v>
      </c>
      <c r="D124" s="33" t="s">
        <v>1037</v>
      </c>
      <c r="E124" s="90">
        <v>20000</v>
      </c>
      <c r="F124" s="33" t="s">
        <v>1049</v>
      </c>
      <c r="G124" s="44" t="s">
        <v>830</v>
      </c>
      <c r="H124" s="44" t="s">
        <v>86</v>
      </c>
      <c r="I124" s="44" t="s">
        <v>878</v>
      </c>
      <c r="J124" s="44">
        <v>43703</v>
      </c>
      <c r="K124" s="91" t="s">
        <v>1033</v>
      </c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</row>
    <row r="125" spans="1:27" ht="15.75" customHeight="1">
      <c r="A125" s="45">
        <v>44074</v>
      </c>
      <c r="B125" s="64" t="s">
        <v>1063</v>
      </c>
      <c r="C125" s="46" t="s">
        <v>1027</v>
      </c>
      <c r="D125" s="33" t="s">
        <v>1037</v>
      </c>
      <c r="E125" s="94">
        <v>150000</v>
      </c>
      <c r="F125" s="33" t="s">
        <v>1064</v>
      </c>
      <c r="G125" s="44" t="s">
        <v>830</v>
      </c>
      <c r="H125" s="44" t="s">
        <v>86</v>
      </c>
      <c r="I125" s="44" t="s">
        <v>969</v>
      </c>
      <c r="J125" s="44">
        <v>43664</v>
      </c>
      <c r="K125" s="91" t="s">
        <v>1033</v>
      </c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</row>
    <row r="126" spans="1:27" ht="15.75" customHeight="1">
      <c r="A126" s="45">
        <v>44074</v>
      </c>
      <c r="B126" s="64" t="s">
        <v>1052</v>
      </c>
      <c r="C126" s="46" t="s">
        <v>1027</v>
      </c>
      <c r="D126" s="33" t="s">
        <v>1037</v>
      </c>
      <c r="E126" s="90">
        <v>20000</v>
      </c>
      <c r="F126" s="33" t="s">
        <v>1053</v>
      </c>
      <c r="G126" s="44" t="s">
        <v>830</v>
      </c>
      <c r="H126" s="44" t="s">
        <v>86</v>
      </c>
      <c r="I126" s="44" t="s">
        <v>878</v>
      </c>
      <c r="J126" s="44">
        <v>43605</v>
      </c>
      <c r="K126" s="91" t="s">
        <v>1054</v>
      </c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</row>
    <row r="127" spans="1:27" ht="15.75" customHeight="1">
      <c r="A127" s="45">
        <v>44075</v>
      </c>
      <c r="B127" s="64" t="s">
        <v>1104</v>
      </c>
      <c r="C127" s="46" t="s">
        <v>1027</v>
      </c>
      <c r="D127" s="33" t="s">
        <v>1037</v>
      </c>
      <c r="E127" s="90">
        <v>194670.06</v>
      </c>
      <c r="F127" s="33" t="s">
        <v>1105</v>
      </c>
      <c r="G127" s="44" t="s">
        <v>830</v>
      </c>
      <c r="H127" s="44" t="s">
        <v>86</v>
      </c>
      <c r="I127" s="44" t="s">
        <v>878</v>
      </c>
      <c r="J127" s="44">
        <v>43840</v>
      </c>
      <c r="K127" s="91" t="s">
        <v>1054</v>
      </c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</row>
    <row r="128" spans="1:27" ht="15.75" customHeight="1">
      <c r="A128" s="45">
        <v>44078</v>
      </c>
      <c r="B128" s="93" t="s">
        <v>1132</v>
      </c>
      <c r="C128" s="46" t="s">
        <v>1027</v>
      </c>
      <c r="D128" s="33" t="s">
        <v>1037</v>
      </c>
      <c r="E128" s="94">
        <v>5000</v>
      </c>
      <c r="F128" s="33" t="s">
        <v>1133</v>
      </c>
      <c r="G128" s="44" t="s">
        <v>830</v>
      </c>
      <c r="H128" s="44" t="s">
        <v>86</v>
      </c>
      <c r="I128" s="44" t="s">
        <v>969</v>
      </c>
      <c r="J128" s="44">
        <v>43564</v>
      </c>
      <c r="K128" s="91" t="s">
        <v>1122</v>
      </c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</row>
    <row r="129" spans="1:27" ht="15.75" customHeight="1">
      <c r="A129" s="45">
        <v>44082</v>
      </c>
      <c r="B129" s="64" t="s">
        <v>1065</v>
      </c>
      <c r="C129" s="46" t="s">
        <v>1027</v>
      </c>
      <c r="D129" s="33" t="s">
        <v>1037</v>
      </c>
      <c r="E129" s="90">
        <v>14000</v>
      </c>
      <c r="F129" s="33" t="s">
        <v>1066</v>
      </c>
      <c r="G129" s="44" t="s">
        <v>830</v>
      </c>
      <c r="H129" s="44" t="s">
        <v>86</v>
      </c>
      <c r="I129" s="44" t="s">
        <v>969</v>
      </c>
      <c r="J129" s="44">
        <v>43559</v>
      </c>
      <c r="K129" s="91" t="s">
        <v>1033</v>
      </c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</row>
    <row r="130" spans="1:27" ht="15.75" customHeight="1">
      <c r="A130" s="45">
        <v>44082</v>
      </c>
      <c r="B130" s="64" t="s">
        <v>1058</v>
      </c>
      <c r="C130" s="46" t="s">
        <v>48</v>
      </c>
      <c r="D130" s="33" t="s">
        <v>1037</v>
      </c>
      <c r="E130" s="90">
        <v>20000</v>
      </c>
      <c r="F130" s="33" t="s">
        <v>1059</v>
      </c>
      <c r="G130" s="33" t="s">
        <v>830</v>
      </c>
      <c r="H130" s="33" t="s">
        <v>86</v>
      </c>
      <c r="I130" s="33" t="s">
        <v>830</v>
      </c>
      <c r="J130" s="44">
        <v>44252</v>
      </c>
      <c r="K130" s="92" t="s">
        <v>1054</v>
      </c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</row>
    <row r="131" spans="1:27" ht="15.75" customHeight="1">
      <c r="A131" s="45">
        <v>44083</v>
      </c>
      <c r="B131" s="93" t="s">
        <v>1102</v>
      </c>
      <c r="C131" s="46" t="s">
        <v>1027</v>
      </c>
      <c r="D131" s="33" t="s">
        <v>1037</v>
      </c>
      <c r="E131" s="90">
        <v>85486</v>
      </c>
      <c r="F131" s="33" t="s">
        <v>1103</v>
      </c>
      <c r="G131" s="44" t="s">
        <v>830</v>
      </c>
      <c r="H131" s="44" t="s">
        <v>86</v>
      </c>
      <c r="I131" s="44" t="s">
        <v>878</v>
      </c>
      <c r="J131" s="44">
        <v>43888</v>
      </c>
      <c r="K131" s="91" t="s">
        <v>1041</v>
      </c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</row>
    <row r="132" spans="1:27" ht="15.75" customHeight="1">
      <c r="A132" s="45">
        <v>44084</v>
      </c>
      <c r="B132" s="64" t="s">
        <v>1134</v>
      </c>
      <c r="C132" s="46" t="s">
        <v>1027</v>
      </c>
      <c r="D132" s="33" t="s">
        <v>1037</v>
      </c>
      <c r="E132" s="94">
        <v>3350000</v>
      </c>
      <c r="F132" s="33" t="s">
        <v>1135</v>
      </c>
      <c r="G132" s="44" t="s">
        <v>830</v>
      </c>
      <c r="H132" s="44" t="s">
        <v>86</v>
      </c>
      <c r="I132" s="44" t="s">
        <v>969</v>
      </c>
      <c r="J132" s="44">
        <v>43903</v>
      </c>
      <c r="K132" s="91" t="s">
        <v>1041</v>
      </c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</row>
    <row r="133" spans="1:27" ht="15.75" customHeight="1">
      <c r="A133" s="44">
        <v>44085</v>
      </c>
      <c r="B133" s="95" t="s">
        <v>1136</v>
      </c>
      <c r="C133" s="33" t="s">
        <v>48</v>
      </c>
      <c r="D133" s="33" t="s">
        <v>1028</v>
      </c>
      <c r="E133" s="90">
        <v>0</v>
      </c>
      <c r="F133" s="33" t="s">
        <v>1087</v>
      </c>
      <c r="G133" s="33" t="s">
        <v>830</v>
      </c>
      <c r="H133" s="33" t="s">
        <v>86</v>
      </c>
      <c r="I133" s="33" t="s">
        <v>830</v>
      </c>
      <c r="J133" s="44">
        <v>44043</v>
      </c>
      <c r="K133" s="92" t="s">
        <v>1041</v>
      </c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</row>
    <row r="134" spans="1:27" ht="15.75" customHeight="1">
      <c r="A134" s="45">
        <v>44085</v>
      </c>
      <c r="B134" s="64" t="s">
        <v>1137</v>
      </c>
      <c r="C134" s="46" t="s">
        <v>48</v>
      </c>
      <c r="D134" s="33" t="s">
        <v>1037</v>
      </c>
      <c r="E134" s="90">
        <v>277581.55</v>
      </c>
      <c r="F134" s="33" t="s">
        <v>1138</v>
      </c>
      <c r="G134" s="33" t="s">
        <v>830</v>
      </c>
      <c r="H134" s="33" t="s">
        <v>86</v>
      </c>
      <c r="I134" s="33" t="s">
        <v>830</v>
      </c>
      <c r="J134" s="44">
        <v>44068</v>
      </c>
      <c r="K134" s="92" t="s">
        <v>1041</v>
      </c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</row>
    <row r="135" spans="1:27" ht="15.75" customHeight="1">
      <c r="A135" s="45">
        <v>44085</v>
      </c>
      <c r="B135" s="64" t="s">
        <v>1136</v>
      </c>
      <c r="C135" s="46" t="s">
        <v>48</v>
      </c>
      <c r="D135" s="33" t="s">
        <v>1062</v>
      </c>
      <c r="E135" s="90">
        <v>110000</v>
      </c>
      <c r="F135" s="33" t="s">
        <v>1087</v>
      </c>
      <c r="G135" s="33" t="s">
        <v>830</v>
      </c>
      <c r="H135" s="33" t="s">
        <v>86</v>
      </c>
      <c r="I135" s="33" t="s">
        <v>830</v>
      </c>
      <c r="J135" s="44">
        <v>44043</v>
      </c>
      <c r="K135" s="92" t="s">
        <v>1041</v>
      </c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</row>
    <row r="136" spans="1:27" ht="15.75" customHeight="1">
      <c r="A136" s="44">
        <v>44086</v>
      </c>
      <c r="B136" s="57" t="s">
        <v>1086</v>
      </c>
      <c r="C136" s="33" t="s">
        <v>1027</v>
      </c>
      <c r="D136" s="33" t="s">
        <v>1028</v>
      </c>
      <c r="E136" s="90">
        <v>0</v>
      </c>
      <c r="F136" s="33" t="s">
        <v>1087</v>
      </c>
      <c r="G136" s="44" t="s">
        <v>830</v>
      </c>
      <c r="H136" s="44" t="s">
        <v>86</v>
      </c>
      <c r="I136" s="44" t="s">
        <v>969</v>
      </c>
      <c r="J136" s="44">
        <v>43913</v>
      </c>
      <c r="K136" s="91" t="s">
        <v>1041</v>
      </c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</row>
    <row r="137" spans="1:27" ht="15.75" customHeight="1">
      <c r="A137" s="45">
        <v>44088</v>
      </c>
      <c r="B137" s="93" t="s">
        <v>1058</v>
      </c>
      <c r="C137" s="46" t="s">
        <v>48</v>
      </c>
      <c r="D137" s="33" t="s">
        <v>1037</v>
      </c>
      <c r="E137" s="90">
        <v>27000</v>
      </c>
      <c r="F137" s="33" t="s">
        <v>1059</v>
      </c>
      <c r="G137" s="33" t="s">
        <v>830</v>
      </c>
      <c r="H137" s="33" t="s">
        <v>86</v>
      </c>
      <c r="I137" s="33" t="s">
        <v>830</v>
      </c>
      <c r="J137" s="44">
        <v>44252</v>
      </c>
      <c r="K137" s="92" t="s">
        <v>1054</v>
      </c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</row>
    <row r="138" spans="1:27" ht="15.75" customHeight="1">
      <c r="A138" s="45">
        <v>44088</v>
      </c>
      <c r="B138" s="64" t="s">
        <v>1050</v>
      </c>
      <c r="C138" s="46" t="s">
        <v>1027</v>
      </c>
      <c r="D138" s="33" t="s">
        <v>1037</v>
      </c>
      <c r="E138" s="90">
        <v>50000</v>
      </c>
      <c r="F138" s="33" t="s">
        <v>1051</v>
      </c>
      <c r="G138" s="44" t="s">
        <v>830</v>
      </c>
      <c r="H138" s="44" t="s">
        <v>86</v>
      </c>
      <c r="I138" s="44" t="s">
        <v>878</v>
      </c>
      <c r="J138" s="44">
        <v>43567</v>
      </c>
      <c r="K138" s="91" t="s">
        <v>1041</v>
      </c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</row>
    <row r="139" spans="1:27" ht="15.75" customHeight="1">
      <c r="A139" s="45">
        <v>44089</v>
      </c>
      <c r="B139" s="64" t="s">
        <v>1080</v>
      </c>
      <c r="C139" s="46" t="s">
        <v>1027</v>
      </c>
      <c r="D139" s="33" t="s">
        <v>1037</v>
      </c>
      <c r="E139" s="90">
        <v>7000</v>
      </c>
      <c r="F139" s="33" t="s">
        <v>1081</v>
      </c>
      <c r="G139" s="44" t="s">
        <v>830</v>
      </c>
      <c r="H139" s="44" t="s">
        <v>86</v>
      </c>
      <c r="I139" s="44" t="s">
        <v>878</v>
      </c>
      <c r="J139" s="44">
        <v>43699</v>
      </c>
      <c r="K139" s="91" t="s">
        <v>1033</v>
      </c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</row>
    <row r="140" spans="1:27" ht="15.75" customHeight="1">
      <c r="A140" s="45">
        <v>44089</v>
      </c>
      <c r="B140" s="64" t="s">
        <v>1093</v>
      </c>
      <c r="C140" s="46" t="s">
        <v>1027</v>
      </c>
      <c r="D140" s="33" t="s">
        <v>1037</v>
      </c>
      <c r="E140" s="90">
        <v>14000</v>
      </c>
      <c r="F140" s="33" t="s">
        <v>1094</v>
      </c>
      <c r="G140" s="44" t="s">
        <v>830</v>
      </c>
      <c r="H140" s="44" t="s">
        <v>86</v>
      </c>
      <c r="I140" s="44" t="s">
        <v>878</v>
      </c>
      <c r="J140" s="44">
        <v>43564</v>
      </c>
      <c r="K140" s="91" t="s">
        <v>1030</v>
      </c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</row>
    <row r="141" spans="1:27" ht="15.75" customHeight="1">
      <c r="A141" s="45">
        <v>44089</v>
      </c>
      <c r="B141" s="93" t="s">
        <v>1139</v>
      </c>
      <c r="C141" s="46" t="s">
        <v>1027</v>
      </c>
      <c r="D141" s="33" t="s">
        <v>1037</v>
      </c>
      <c r="E141" s="90">
        <v>50000</v>
      </c>
      <c r="F141" s="33" t="s">
        <v>1140</v>
      </c>
      <c r="G141" s="44" t="s">
        <v>830</v>
      </c>
      <c r="H141" s="44" t="s">
        <v>86</v>
      </c>
      <c r="I141" s="44" t="s">
        <v>878</v>
      </c>
      <c r="J141" s="44">
        <v>44041</v>
      </c>
      <c r="K141" s="91" t="s">
        <v>1041</v>
      </c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</row>
    <row r="142" spans="1:27" ht="15.75" customHeight="1">
      <c r="A142" s="44">
        <v>44091</v>
      </c>
      <c r="B142" s="57" t="s">
        <v>1141</v>
      </c>
      <c r="C142" s="33" t="s">
        <v>48</v>
      </c>
      <c r="D142" s="33" t="s">
        <v>1028</v>
      </c>
      <c r="E142" s="90">
        <v>0</v>
      </c>
      <c r="F142" s="33" t="s">
        <v>712</v>
      </c>
      <c r="G142" s="33" t="s">
        <v>830</v>
      </c>
      <c r="H142" s="33" t="s">
        <v>86</v>
      </c>
      <c r="I142" s="33" t="s">
        <v>830</v>
      </c>
      <c r="J142" s="44">
        <v>43696</v>
      </c>
      <c r="K142" s="92" t="s">
        <v>1041</v>
      </c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</row>
    <row r="143" spans="1:27" ht="15.75" customHeight="1">
      <c r="A143" s="45">
        <v>44091</v>
      </c>
      <c r="B143" s="64" t="s">
        <v>1141</v>
      </c>
      <c r="C143" s="46" t="s">
        <v>48</v>
      </c>
      <c r="D143" s="33" t="s">
        <v>1062</v>
      </c>
      <c r="E143" s="90">
        <v>6400</v>
      </c>
      <c r="F143" s="33" t="s">
        <v>712</v>
      </c>
      <c r="G143" s="33" t="s">
        <v>830</v>
      </c>
      <c r="H143" s="33" t="s">
        <v>86</v>
      </c>
      <c r="I143" s="33" t="s">
        <v>830</v>
      </c>
      <c r="J143" s="44">
        <v>43696</v>
      </c>
      <c r="K143" s="92" t="s">
        <v>1041</v>
      </c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</row>
    <row r="144" spans="1:27" ht="15.75" customHeight="1">
      <c r="A144" s="45">
        <v>44096</v>
      </c>
      <c r="B144" s="93" t="s">
        <v>1137</v>
      </c>
      <c r="C144" s="46" t="s">
        <v>48</v>
      </c>
      <c r="D144" s="33" t="s">
        <v>1037</v>
      </c>
      <c r="E144" s="90">
        <v>0</v>
      </c>
      <c r="F144" s="33" t="s">
        <v>1138</v>
      </c>
      <c r="G144" s="33" t="s">
        <v>830</v>
      </c>
      <c r="H144" s="33" t="s">
        <v>86</v>
      </c>
      <c r="I144" s="33" t="s">
        <v>830</v>
      </c>
      <c r="J144" s="44">
        <v>44068</v>
      </c>
      <c r="K144" s="92" t="s">
        <v>1041</v>
      </c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</row>
    <row r="145" spans="1:27" ht="15.75" customHeight="1">
      <c r="A145" s="45">
        <v>44096</v>
      </c>
      <c r="B145" s="64" t="s">
        <v>1142</v>
      </c>
      <c r="C145" s="46" t="s">
        <v>1027</v>
      </c>
      <c r="D145" s="33" t="s">
        <v>1037</v>
      </c>
      <c r="E145" s="90">
        <v>27000</v>
      </c>
      <c r="F145" s="33" t="s">
        <v>1143</v>
      </c>
      <c r="G145" s="44" t="s">
        <v>830</v>
      </c>
      <c r="H145" s="44" t="s">
        <v>86</v>
      </c>
      <c r="I145" s="44" t="s">
        <v>878</v>
      </c>
      <c r="J145" s="44">
        <v>43711</v>
      </c>
      <c r="K145" s="91" t="s">
        <v>1033</v>
      </c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</row>
    <row r="146" spans="1:27" ht="15.75" customHeight="1">
      <c r="A146" s="45">
        <v>44097</v>
      </c>
      <c r="B146" s="64" t="s">
        <v>1144</v>
      </c>
      <c r="C146" s="46" t="s">
        <v>48</v>
      </c>
      <c r="D146" s="33" t="s">
        <v>1037</v>
      </c>
      <c r="E146" s="90">
        <v>9000</v>
      </c>
      <c r="F146" s="33" t="s">
        <v>1145</v>
      </c>
      <c r="G146" s="33" t="s">
        <v>830</v>
      </c>
      <c r="H146" s="33" t="s">
        <v>86</v>
      </c>
      <c r="I146" s="33" t="s">
        <v>830</v>
      </c>
      <c r="J146" s="44">
        <v>44043</v>
      </c>
      <c r="K146" s="92" t="s">
        <v>1041</v>
      </c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</row>
    <row r="147" spans="1:27" ht="15.75" customHeight="1">
      <c r="A147" s="45">
        <v>44099</v>
      </c>
      <c r="B147" s="93" t="s">
        <v>1065</v>
      </c>
      <c r="C147" s="46" t="s">
        <v>1027</v>
      </c>
      <c r="D147" s="33" t="s">
        <v>1037</v>
      </c>
      <c r="E147" s="90">
        <v>20000</v>
      </c>
      <c r="F147" s="33" t="s">
        <v>1066</v>
      </c>
      <c r="G147" s="44" t="s">
        <v>830</v>
      </c>
      <c r="H147" s="44" t="s">
        <v>86</v>
      </c>
      <c r="I147" s="44" t="s">
        <v>969</v>
      </c>
      <c r="J147" s="44">
        <v>43559</v>
      </c>
      <c r="K147" s="91" t="s">
        <v>1033</v>
      </c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</row>
    <row r="148" spans="1:27" ht="15.75" customHeight="1">
      <c r="A148" s="45">
        <v>44099</v>
      </c>
      <c r="B148" s="64" t="s">
        <v>1052</v>
      </c>
      <c r="C148" s="46" t="s">
        <v>1027</v>
      </c>
      <c r="D148" s="33" t="s">
        <v>1037</v>
      </c>
      <c r="E148" s="90">
        <v>25000</v>
      </c>
      <c r="F148" s="33" t="s">
        <v>1053</v>
      </c>
      <c r="G148" s="44" t="s">
        <v>830</v>
      </c>
      <c r="H148" s="44" t="s">
        <v>86</v>
      </c>
      <c r="I148" s="44" t="s">
        <v>878</v>
      </c>
      <c r="J148" s="44">
        <v>43605</v>
      </c>
      <c r="K148" s="91" t="s">
        <v>1054</v>
      </c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</row>
    <row r="149" spans="1:27" ht="15.75" customHeight="1">
      <c r="A149" s="45">
        <v>44102</v>
      </c>
      <c r="B149" s="93" t="s">
        <v>1042</v>
      </c>
      <c r="C149" s="46" t="s">
        <v>48</v>
      </c>
      <c r="D149" s="33" t="s">
        <v>1037</v>
      </c>
      <c r="E149" s="90">
        <v>10000</v>
      </c>
      <c r="F149" s="33" t="s">
        <v>776</v>
      </c>
      <c r="G149" s="33" t="s">
        <v>830</v>
      </c>
      <c r="H149" s="33" t="s">
        <v>86</v>
      </c>
      <c r="I149" s="33" t="s">
        <v>830</v>
      </c>
      <c r="J149" s="44">
        <v>43749</v>
      </c>
      <c r="K149" s="92" t="s">
        <v>1033</v>
      </c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</row>
    <row r="150" spans="1:27" ht="15.75" customHeight="1">
      <c r="A150" s="45">
        <v>44103</v>
      </c>
      <c r="B150" s="64" t="s">
        <v>1063</v>
      </c>
      <c r="C150" s="46" t="s">
        <v>1027</v>
      </c>
      <c r="D150" s="33" t="s">
        <v>1037</v>
      </c>
      <c r="E150" s="90">
        <v>10000</v>
      </c>
      <c r="F150" s="33" t="s">
        <v>1064</v>
      </c>
      <c r="G150" s="44" t="s">
        <v>830</v>
      </c>
      <c r="H150" s="44" t="s">
        <v>86</v>
      </c>
      <c r="I150" s="44" t="s">
        <v>969</v>
      </c>
      <c r="J150" s="44">
        <v>43664</v>
      </c>
      <c r="K150" s="91" t="s">
        <v>1033</v>
      </c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</row>
    <row r="151" spans="1:27" ht="15.75" customHeight="1">
      <c r="A151" s="45">
        <v>44103</v>
      </c>
      <c r="B151" s="93" t="s">
        <v>1146</v>
      </c>
      <c r="C151" s="46" t="s">
        <v>1076</v>
      </c>
      <c r="D151" s="33" t="s">
        <v>1062</v>
      </c>
      <c r="E151" s="90">
        <v>7000</v>
      </c>
      <c r="F151" s="33" t="s">
        <v>1147</v>
      </c>
      <c r="G151" s="44" t="s">
        <v>835</v>
      </c>
      <c r="H151" s="44" t="s">
        <v>86</v>
      </c>
      <c r="I151" s="44" t="s">
        <v>937</v>
      </c>
      <c r="J151" s="44">
        <v>43742</v>
      </c>
      <c r="K151" s="91" t="s">
        <v>1033</v>
      </c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</row>
    <row r="152" spans="1:27" ht="15.75" customHeight="1">
      <c r="A152" s="45">
        <v>44103</v>
      </c>
      <c r="B152" s="64" t="s">
        <v>1148</v>
      </c>
      <c r="C152" s="46" t="s">
        <v>1027</v>
      </c>
      <c r="D152" s="33" t="s">
        <v>1037</v>
      </c>
      <c r="E152" s="90">
        <v>10000</v>
      </c>
      <c r="F152" s="33" t="s">
        <v>1149</v>
      </c>
      <c r="G152" s="44" t="s">
        <v>830</v>
      </c>
      <c r="H152" s="44" t="s">
        <v>86</v>
      </c>
      <c r="I152" s="44" t="s">
        <v>878</v>
      </c>
      <c r="J152" s="44">
        <v>43707</v>
      </c>
      <c r="K152" s="91" t="s">
        <v>1030</v>
      </c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</row>
    <row r="153" spans="1:27" ht="15.75" customHeight="1">
      <c r="A153" s="45">
        <v>44103</v>
      </c>
      <c r="B153" s="64" t="s">
        <v>1150</v>
      </c>
      <c r="C153" s="46" t="s">
        <v>48</v>
      </c>
      <c r="D153" s="33" t="s">
        <v>1037</v>
      </c>
      <c r="E153" s="90">
        <v>4000</v>
      </c>
      <c r="F153" s="33" t="s">
        <v>1151</v>
      </c>
      <c r="G153" s="33" t="s">
        <v>830</v>
      </c>
      <c r="H153" s="33" t="s">
        <v>86</v>
      </c>
      <c r="I153" s="33" t="s">
        <v>830</v>
      </c>
      <c r="J153" s="44">
        <v>43901</v>
      </c>
      <c r="K153" s="92" t="s">
        <v>1122</v>
      </c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</row>
    <row r="154" spans="1:27" ht="15.75" customHeight="1">
      <c r="A154" s="45">
        <v>44103</v>
      </c>
      <c r="B154" s="64" t="s">
        <v>1048</v>
      </c>
      <c r="C154" s="46" t="s">
        <v>1027</v>
      </c>
      <c r="D154" s="33" t="s">
        <v>1037</v>
      </c>
      <c r="E154" s="90">
        <v>6000</v>
      </c>
      <c r="F154" s="33" t="s">
        <v>1049</v>
      </c>
      <c r="G154" s="44" t="s">
        <v>830</v>
      </c>
      <c r="H154" s="44" t="s">
        <v>86</v>
      </c>
      <c r="I154" s="44" t="s">
        <v>878</v>
      </c>
      <c r="J154" s="44">
        <v>43703</v>
      </c>
      <c r="K154" s="91" t="s">
        <v>1033</v>
      </c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</row>
    <row r="155" spans="1:27" ht="15.75" customHeight="1">
      <c r="A155" s="45">
        <v>44103</v>
      </c>
      <c r="B155" s="93" t="s">
        <v>1036</v>
      </c>
      <c r="C155" s="46" t="s">
        <v>1027</v>
      </c>
      <c r="D155" s="33" t="s">
        <v>1037</v>
      </c>
      <c r="E155" s="90">
        <v>1500</v>
      </c>
      <c r="F155" s="33" t="s">
        <v>1038</v>
      </c>
      <c r="G155" s="44" t="s">
        <v>830</v>
      </c>
      <c r="H155" s="44" t="s">
        <v>86</v>
      </c>
      <c r="I155" s="44" t="s">
        <v>878</v>
      </c>
      <c r="J155" s="44">
        <v>43675</v>
      </c>
      <c r="K155" s="91" t="s">
        <v>1033</v>
      </c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</row>
    <row r="156" spans="1:27" ht="15.75" customHeight="1">
      <c r="A156" s="44">
        <v>44105</v>
      </c>
      <c r="B156" s="57" t="s">
        <v>1080</v>
      </c>
      <c r="C156" s="33" t="s">
        <v>1027</v>
      </c>
      <c r="D156" s="33" t="s">
        <v>1028</v>
      </c>
      <c r="E156" s="90">
        <v>17805.25</v>
      </c>
      <c r="F156" s="33" t="s">
        <v>1081</v>
      </c>
      <c r="G156" s="44" t="s">
        <v>830</v>
      </c>
      <c r="H156" s="44" t="s">
        <v>86</v>
      </c>
      <c r="I156" s="44" t="s">
        <v>878</v>
      </c>
      <c r="J156" s="44">
        <v>43699</v>
      </c>
      <c r="K156" s="91" t="s">
        <v>1033</v>
      </c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</row>
    <row r="157" spans="1:27" ht="15.75" customHeight="1">
      <c r="A157" s="44">
        <v>44105</v>
      </c>
      <c r="B157" s="95" t="s">
        <v>1115</v>
      </c>
      <c r="C157" s="33" t="s">
        <v>48</v>
      </c>
      <c r="D157" s="33" t="s">
        <v>1028</v>
      </c>
      <c r="E157" s="90">
        <v>0</v>
      </c>
      <c r="F157" s="33" t="s">
        <v>1114</v>
      </c>
      <c r="G157" s="33" t="s">
        <v>830</v>
      </c>
      <c r="H157" s="33" t="s">
        <v>86</v>
      </c>
      <c r="I157" s="33" t="s">
        <v>830</v>
      </c>
      <c r="J157" s="44">
        <v>43700</v>
      </c>
      <c r="K157" s="92" t="s">
        <v>1041</v>
      </c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</row>
    <row r="158" spans="1:27" ht="15.75" customHeight="1">
      <c r="A158" s="44">
        <v>44105</v>
      </c>
      <c r="B158" s="57" t="s">
        <v>1152</v>
      </c>
      <c r="C158" s="33" t="s">
        <v>48</v>
      </c>
      <c r="D158" s="33" t="s">
        <v>1028</v>
      </c>
      <c r="E158" s="90">
        <v>0</v>
      </c>
      <c r="F158" s="33" t="s">
        <v>790</v>
      </c>
      <c r="G158" s="33" t="s">
        <v>835</v>
      </c>
      <c r="H158" s="33" t="s">
        <v>86</v>
      </c>
      <c r="I158" s="33" t="s">
        <v>888</v>
      </c>
      <c r="J158" s="44">
        <v>43777</v>
      </c>
      <c r="K158" s="92" t="s">
        <v>1153</v>
      </c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</row>
    <row r="159" spans="1:27" ht="15.75" customHeight="1">
      <c r="A159" s="45">
        <v>44105</v>
      </c>
      <c r="B159" s="64" t="s">
        <v>1104</v>
      </c>
      <c r="C159" s="46" t="s">
        <v>1027</v>
      </c>
      <c r="D159" s="33" t="s">
        <v>1037</v>
      </c>
      <c r="E159" s="90">
        <v>20000</v>
      </c>
      <c r="F159" s="33" t="s">
        <v>1105</v>
      </c>
      <c r="G159" s="44" t="s">
        <v>830</v>
      </c>
      <c r="H159" s="44" t="s">
        <v>86</v>
      </c>
      <c r="I159" s="44" t="s">
        <v>878</v>
      </c>
      <c r="J159" s="44">
        <v>43840</v>
      </c>
      <c r="K159" s="91" t="s">
        <v>1054</v>
      </c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</row>
    <row r="160" spans="1:27" ht="15.75" customHeight="1">
      <c r="A160" s="44">
        <v>44109</v>
      </c>
      <c r="B160" s="95" t="s">
        <v>1154</v>
      </c>
      <c r="C160" s="33" t="s">
        <v>1027</v>
      </c>
      <c r="D160" s="33" t="s">
        <v>1028</v>
      </c>
      <c r="E160" s="90">
        <v>379116.63</v>
      </c>
      <c r="F160" s="33" t="s">
        <v>1155</v>
      </c>
      <c r="G160" s="44" t="s">
        <v>977</v>
      </c>
      <c r="H160" s="44" t="s">
        <v>86</v>
      </c>
      <c r="I160" s="44" t="s">
        <v>977</v>
      </c>
      <c r="J160" s="44">
        <v>43426</v>
      </c>
      <c r="K160" s="91" t="s">
        <v>1030</v>
      </c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</row>
    <row r="161" spans="1:27" ht="15.75" customHeight="1">
      <c r="A161" s="45">
        <v>44109</v>
      </c>
      <c r="B161" s="64" t="s">
        <v>1137</v>
      </c>
      <c r="C161" s="46" t="s">
        <v>48</v>
      </c>
      <c r="D161" s="33" t="s">
        <v>1037</v>
      </c>
      <c r="E161" s="90">
        <v>10000</v>
      </c>
      <c r="F161" s="33" t="s">
        <v>1138</v>
      </c>
      <c r="G161" s="33" t="s">
        <v>830</v>
      </c>
      <c r="H161" s="33" t="s">
        <v>86</v>
      </c>
      <c r="I161" s="33" t="s">
        <v>830</v>
      </c>
      <c r="J161" s="44">
        <v>44068</v>
      </c>
      <c r="K161" s="92" t="s">
        <v>1041</v>
      </c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</row>
    <row r="162" spans="1:27" ht="15.75" customHeight="1">
      <c r="A162" s="45">
        <v>44109</v>
      </c>
      <c r="B162" s="64" t="s">
        <v>1052</v>
      </c>
      <c r="C162" s="46" t="s">
        <v>1027</v>
      </c>
      <c r="D162" s="33" t="s">
        <v>1037</v>
      </c>
      <c r="E162" s="90">
        <v>10000</v>
      </c>
      <c r="F162" s="33" t="s">
        <v>1053</v>
      </c>
      <c r="G162" s="44" t="s">
        <v>830</v>
      </c>
      <c r="H162" s="44" t="s">
        <v>86</v>
      </c>
      <c r="I162" s="44" t="s">
        <v>878</v>
      </c>
      <c r="J162" s="44">
        <v>43605</v>
      </c>
      <c r="K162" s="91" t="s">
        <v>1054</v>
      </c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</row>
    <row r="163" spans="1:27" ht="15.75" customHeight="1">
      <c r="A163" s="45">
        <v>44109</v>
      </c>
      <c r="B163" s="64" t="s">
        <v>1093</v>
      </c>
      <c r="C163" s="46" t="s">
        <v>1027</v>
      </c>
      <c r="D163" s="33" t="s">
        <v>1037</v>
      </c>
      <c r="E163" s="90">
        <v>14000</v>
      </c>
      <c r="F163" s="33" t="s">
        <v>1094</v>
      </c>
      <c r="G163" s="44" t="s">
        <v>830</v>
      </c>
      <c r="H163" s="44" t="s">
        <v>86</v>
      </c>
      <c r="I163" s="44" t="s">
        <v>878</v>
      </c>
      <c r="J163" s="44">
        <v>43564</v>
      </c>
      <c r="K163" s="91" t="s">
        <v>1030</v>
      </c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</row>
    <row r="164" spans="1:27" ht="15.75" customHeight="1">
      <c r="A164" s="45">
        <v>44119</v>
      </c>
      <c r="B164" s="64" t="s">
        <v>1082</v>
      </c>
      <c r="C164" s="46" t="s">
        <v>1027</v>
      </c>
      <c r="D164" s="33" t="s">
        <v>1037</v>
      </c>
      <c r="E164" s="90">
        <v>7000</v>
      </c>
      <c r="F164" s="33" t="s">
        <v>1083</v>
      </c>
      <c r="G164" s="44" t="s">
        <v>830</v>
      </c>
      <c r="H164" s="44" t="s">
        <v>86</v>
      </c>
      <c r="I164" s="44" t="s">
        <v>878</v>
      </c>
      <c r="J164" s="44">
        <v>43717</v>
      </c>
      <c r="K164" s="91" t="s">
        <v>1033</v>
      </c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</row>
    <row r="165" spans="1:27" ht="15.75" customHeight="1">
      <c r="A165" s="45">
        <v>44120</v>
      </c>
      <c r="B165" s="93" t="s">
        <v>1137</v>
      </c>
      <c r="C165" s="46" t="s">
        <v>48</v>
      </c>
      <c r="D165" s="33" t="s">
        <v>1037</v>
      </c>
      <c r="E165" s="90">
        <v>8000</v>
      </c>
      <c r="F165" s="33" t="s">
        <v>1138</v>
      </c>
      <c r="G165" s="33" t="s">
        <v>830</v>
      </c>
      <c r="H165" s="33" t="s">
        <v>86</v>
      </c>
      <c r="I165" s="33" t="s">
        <v>830</v>
      </c>
      <c r="J165" s="44">
        <v>44068</v>
      </c>
      <c r="K165" s="92" t="s">
        <v>1041</v>
      </c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</row>
    <row r="166" spans="1:27" ht="15.75" customHeight="1">
      <c r="A166" s="45">
        <v>44124</v>
      </c>
      <c r="B166" s="64" t="s">
        <v>1084</v>
      </c>
      <c r="C166" s="46" t="s">
        <v>1027</v>
      </c>
      <c r="D166" s="33" t="s">
        <v>1037</v>
      </c>
      <c r="E166" s="90">
        <v>140000</v>
      </c>
      <c r="F166" s="33" t="s">
        <v>1085</v>
      </c>
      <c r="G166" s="44" t="s">
        <v>830</v>
      </c>
      <c r="H166" s="44" t="s">
        <v>86</v>
      </c>
      <c r="I166" s="44" t="s">
        <v>878</v>
      </c>
      <c r="J166" s="44">
        <v>43894</v>
      </c>
      <c r="K166" s="91" t="s">
        <v>1054</v>
      </c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</row>
    <row r="167" spans="1:27" ht="15.75" customHeight="1">
      <c r="A167" s="45">
        <v>44124</v>
      </c>
      <c r="B167" s="64" t="s">
        <v>1156</v>
      </c>
      <c r="C167" s="46" t="s">
        <v>1027</v>
      </c>
      <c r="D167" s="33" t="s">
        <v>1037</v>
      </c>
      <c r="E167" s="90">
        <v>10000</v>
      </c>
      <c r="F167" s="33" t="s">
        <v>1157</v>
      </c>
      <c r="G167" s="44" t="s">
        <v>830</v>
      </c>
      <c r="H167" s="44" t="s">
        <v>86</v>
      </c>
      <c r="I167" s="44" t="s">
        <v>969</v>
      </c>
      <c r="J167" s="44">
        <v>43622</v>
      </c>
      <c r="K167" s="91" t="s">
        <v>1054</v>
      </c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</row>
    <row r="168" spans="1:27" ht="15.75" customHeight="1">
      <c r="A168" s="45">
        <v>44125</v>
      </c>
      <c r="B168" s="64" t="s">
        <v>1058</v>
      </c>
      <c r="C168" s="46" t="s">
        <v>48</v>
      </c>
      <c r="D168" s="33" t="s">
        <v>1037</v>
      </c>
      <c r="E168" s="90">
        <v>130000</v>
      </c>
      <c r="F168" s="33" t="s">
        <v>1059</v>
      </c>
      <c r="G168" s="33" t="s">
        <v>830</v>
      </c>
      <c r="H168" s="33" t="s">
        <v>86</v>
      </c>
      <c r="I168" s="33" t="s">
        <v>830</v>
      </c>
      <c r="J168" s="44">
        <v>44252</v>
      </c>
      <c r="K168" s="92" t="s">
        <v>1054</v>
      </c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</row>
    <row r="169" spans="1:27" ht="15.75" customHeight="1">
      <c r="A169" s="45">
        <v>44127</v>
      </c>
      <c r="B169" s="64" t="s">
        <v>1093</v>
      </c>
      <c r="C169" s="46" t="s">
        <v>1027</v>
      </c>
      <c r="D169" s="33" t="s">
        <v>1037</v>
      </c>
      <c r="E169" s="90">
        <v>12000</v>
      </c>
      <c r="F169" s="33" t="s">
        <v>1094</v>
      </c>
      <c r="G169" s="44" t="s">
        <v>830</v>
      </c>
      <c r="H169" s="44" t="s">
        <v>86</v>
      </c>
      <c r="I169" s="44" t="s">
        <v>878</v>
      </c>
      <c r="J169" s="44">
        <v>43564</v>
      </c>
      <c r="K169" s="91" t="s">
        <v>1030</v>
      </c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</row>
    <row r="170" spans="1:27" ht="15.75" customHeight="1">
      <c r="A170" s="45">
        <v>44130</v>
      </c>
      <c r="B170" s="64" t="s">
        <v>1052</v>
      </c>
      <c r="C170" s="46" t="s">
        <v>1027</v>
      </c>
      <c r="D170" s="33" t="s">
        <v>1037</v>
      </c>
      <c r="E170" s="90">
        <v>34182</v>
      </c>
      <c r="F170" s="33" t="s">
        <v>1053</v>
      </c>
      <c r="G170" s="44" t="s">
        <v>830</v>
      </c>
      <c r="H170" s="44" t="s">
        <v>86</v>
      </c>
      <c r="I170" s="44" t="s">
        <v>878</v>
      </c>
      <c r="J170" s="44">
        <v>43605</v>
      </c>
      <c r="K170" s="91" t="s">
        <v>1054</v>
      </c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</row>
    <row r="171" spans="1:27" ht="15.75" customHeight="1">
      <c r="A171" s="45">
        <v>44131</v>
      </c>
      <c r="B171" s="64" t="s">
        <v>1137</v>
      </c>
      <c r="C171" s="46" t="s">
        <v>48</v>
      </c>
      <c r="D171" s="33" t="s">
        <v>1037</v>
      </c>
      <c r="E171" s="90">
        <v>20000</v>
      </c>
      <c r="F171" s="33" t="s">
        <v>1138</v>
      </c>
      <c r="G171" s="33" t="s">
        <v>830</v>
      </c>
      <c r="H171" s="33" t="s">
        <v>86</v>
      </c>
      <c r="I171" s="33" t="s">
        <v>830</v>
      </c>
      <c r="J171" s="44">
        <v>44068</v>
      </c>
      <c r="K171" s="92" t="s">
        <v>1041</v>
      </c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</row>
    <row r="172" spans="1:27" ht="15.75" customHeight="1">
      <c r="A172" s="45">
        <v>44131</v>
      </c>
      <c r="B172" s="64" t="s">
        <v>1104</v>
      </c>
      <c r="C172" s="46" t="s">
        <v>1027</v>
      </c>
      <c r="D172" s="33" t="s">
        <v>1037</v>
      </c>
      <c r="E172" s="90">
        <v>20000</v>
      </c>
      <c r="F172" s="33" t="s">
        <v>1105</v>
      </c>
      <c r="G172" s="44" t="s">
        <v>830</v>
      </c>
      <c r="H172" s="44" t="s">
        <v>86</v>
      </c>
      <c r="I172" s="44" t="s">
        <v>878</v>
      </c>
      <c r="J172" s="44">
        <v>43840</v>
      </c>
      <c r="K172" s="91" t="s">
        <v>1054</v>
      </c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</row>
    <row r="173" spans="1:27" ht="15.75" customHeight="1">
      <c r="A173" s="45">
        <v>44131</v>
      </c>
      <c r="B173" s="64" t="s">
        <v>1088</v>
      </c>
      <c r="C173" s="46" t="s">
        <v>1027</v>
      </c>
      <c r="D173" s="33" t="s">
        <v>1037</v>
      </c>
      <c r="E173" s="90">
        <v>3000</v>
      </c>
      <c r="F173" s="33" t="s">
        <v>1089</v>
      </c>
      <c r="G173" s="44" t="s">
        <v>830</v>
      </c>
      <c r="H173" s="44" t="s">
        <v>86</v>
      </c>
      <c r="I173" s="44" t="s">
        <v>878</v>
      </c>
      <c r="J173" s="44">
        <v>43867</v>
      </c>
      <c r="K173" s="91" t="s">
        <v>1041</v>
      </c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</row>
    <row r="174" spans="1:27" ht="15.75" customHeight="1">
      <c r="A174" s="45">
        <v>44131</v>
      </c>
      <c r="B174" s="64" t="s">
        <v>1048</v>
      </c>
      <c r="C174" s="46" t="s">
        <v>1027</v>
      </c>
      <c r="D174" s="33" t="s">
        <v>1037</v>
      </c>
      <c r="E174" s="90">
        <v>7000</v>
      </c>
      <c r="F174" s="33" t="s">
        <v>1049</v>
      </c>
      <c r="G174" s="44" t="s">
        <v>830</v>
      </c>
      <c r="H174" s="44" t="s">
        <v>86</v>
      </c>
      <c r="I174" s="44" t="s">
        <v>878</v>
      </c>
      <c r="J174" s="44">
        <v>43703</v>
      </c>
      <c r="K174" s="91" t="s">
        <v>1033</v>
      </c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</row>
    <row r="175" spans="1:27" ht="15.75" customHeight="1">
      <c r="A175" s="45">
        <v>44131</v>
      </c>
      <c r="B175" s="64" t="s">
        <v>1111</v>
      </c>
      <c r="C175" s="46" t="s">
        <v>1027</v>
      </c>
      <c r="D175" s="33" t="s">
        <v>1037</v>
      </c>
      <c r="E175" s="90">
        <v>10000</v>
      </c>
      <c r="F175" s="33" t="s">
        <v>1112</v>
      </c>
      <c r="G175" s="44" t="s">
        <v>830</v>
      </c>
      <c r="H175" s="44" t="s">
        <v>86</v>
      </c>
      <c r="I175" s="44" t="s">
        <v>878</v>
      </c>
      <c r="J175" s="44">
        <v>43732</v>
      </c>
      <c r="K175" s="91" t="s">
        <v>1033</v>
      </c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</row>
    <row r="176" spans="1:27" ht="15.75" customHeight="1">
      <c r="A176" s="44">
        <v>44132</v>
      </c>
      <c r="B176" s="57" t="s">
        <v>1158</v>
      </c>
      <c r="C176" s="33" t="s">
        <v>1027</v>
      </c>
      <c r="D176" s="33" t="s">
        <v>1028</v>
      </c>
      <c r="E176" s="90">
        <v>191544.71</v>
      </c>
      <c r="F176" s="33" t="s">
        <v>1159</v>
      </c>
      <c r="G176" s="44" t="s">
        <v>977</v>
      </c>
      <c r="H176" s="44" t="s">
        <v>86</v>
      </c>
      <c r="I176" s="44" t="s">
        <v>977</v>
      </c>
      <c r="J176" s="44">
        <v>43494</v>
      </c>
      <c r="K176" s="91" t="s">
        <v>1030</v>
      </c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</row>
    <row r="177" spans="1:27" ht="15.75" customHeight="1">
      <c r="A177" s="45">
        <v>44133</v>
      </c>
      <c r="B177" s="64" t="s">
        <v>1160</v>
      </c>
      <c r="C177" s="46" t="s">
        <v>1027</v>
      </c>
      <c r="D177" s="33" t="s">
        <v>1037</v>
      </c>
      <c r="E177" s="90">
        <v>9600</v>
      </c>
      <c r="F177" s="33" t="s">
        <v>1161</v>
      </c>
      <c r="G177" s="44" t="s">
        <v>830</v>
      </c>
      <c r="H177" s="44" t="s">
        <v>86</v>
      </c>
      <c r="I177" s="44" t="s">
        <v>878</v>
      </c>
      <c r="J177" s="44">
        <v>43873</v>
      </c>
      <c r="K177" s="91" t="s">
        <v>1041</v>
      </c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</row>
    <row r="178" spans="1:27" ht="15.75" customHeight="1">
      <c r="A178" s="45">
        <v>44133</v>
      </c>
      <c r="B178" s="64" t="s">
        <v>1052</v>
      </c>
      <c r="C178" s="46" t="s">
        <v>1027</v>
      </c>
      <c r="D178" s="33" t="s">
        <v>1037</v>
      </c>
      <c r="E178" s="90">
        <v>8000</v>
      </c>
      <c r="F178" s="33" t="s">
        <v>1053</v>
      </c>
      <c r="G178" s="44" t="s">
        <v>830</v>
      </c>
      <c r="H178" s="44" t="s">
        <v>86</v>
      </c>
      <c r="I178" s="44" t="s">
        <v>878</v>
      </c>
      <c r="J178" s="44">
        <v>43605</v>
      </c>
      <c r="K178" s="91" t="s">
        <v>1054</v>
      </c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</row>
    <row r="179" spans="1:27" ht="15.75" customHeight="1">
      <c r="A179" s="45">
        <v>44138</v>
      </c>
      <c r="B179" s="64" t="s">
        <v>1036</v>
      </c>
      <c r="C179" s="46" t="s">
        <v>1027</v>
      </c>
      <c r="D179" s="33" t="s">
        <v>1037</v>
      </c>
      <c r="E179" s="90">
        <v>100000</v>
      </c>
      <c r="F179" s="33" t="s">
        <v>1038</v>
      </c>
      <c r="G179" s="44" t="s">
        <v>830</v>
      </c>
      <c r="H179" s="44" t="s">
        <v>86</v>
      </c>
      <c r="I179" s="44" t="s">
        <v>878</v>
      </c>
      <c r="J179" s="44">
        <v>43675</v>
      </c>
      <c r="K179" s="91" t="s">
        <v>1033</v>
      </c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</row>
    <row r="180" spans="1:27" ht="15.75" customHeight="1">
      <c r="A180" s="45">
        <v>44138</v>
      </c>
      <c r="B180" s="93" t="s">
        <v>1102</v>
      </c>
      <c r="C180" s="46" t="s">
        <v>1027</v>
      </c>
      <c r="D180" s="33" t="s">
        <v>1037</v>
      </c>
      <c r="E180" s="90">
        <v>30000</v>
      </c>
      <c r="F180" s="33" t="s">
        <v>1103</v>
      </c>
      <c r="G180" s="44" t="s">
        <v>830</v>
      </c>
      <c r="H180" s="44" t="s">
        <v>86</v>
      </c>
      <c r="I180" s="44" t="s">
        <v>878</v>
      </c>
      <c r="J180" s="44">
        <v>43888</v>
      </c>
      <c r="K180" s="91" t="s">
        <v>1041</v>
      </c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</row>
    <row r="181" spans="1:27" ht="15.75" customHeight="1">
      <c r="A181" s="45">
        <v>44138</v>
      </c>
      <c r="B181" s="64" t="s">
        <v>1052</v>
      </c>
      <c r="C181" s="46" t="s">
        <v>1027</v>
      </c>
      <c r="D181" s="33" t="s">
        <v>1037</v>
      </c>
      <c r="E181" s="90">
        <v>6000</v>
      </c>
      <c r="F181" s="33" t="s">
        <v>1053</v>
      </c>
      <c r="G181" s="44" t="s">
        <v>830</v>
      </c>
      <c r="H181" s="44" t="s">
        <v>86</v>
      </c>
      <c r="I181" s="44" t="s">
        <v>878</v>
      </c>
      <c r="J181" s="44">
        <v>43605</v>
      </c>
      <c r="K181" s="91" t="s">
        <v>1054</v>
      </c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</row>
    <row r="182" spans="1:27" ht="15.75" customHeight="1">
      <c r="A182" s="45">
        <v>44138</v>
      </c>
      <c r="B182" s="64" t="s">
        <v>1065</v>
      </c>
      <c r="C182" s="46" t="s">
        <v>1027</v>
      </c>
      <c r="D182" s="33" t="s">
        <v>1037</v>
      </c>
      <c r="E182" s="90">
        <v>6000</v>
      </c>
      <c r="F182" s="33" t="s">
        <v>1066</v>
      </c>
      <c r="G182" s="44" t="s">
        <v>830</v>
      </c>
      <c r="H182" s="44" t="s">
        <v>86</v>
      </c>
      <c r="I182" s="44" t="s">
        <v>969</v>
      </c>
      <c r="J182" s="44">
        <v>43559</v>
      </c>
      <c r="K182" s="91" t="s">
        <v>1033</v>
      </c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</row>
    <row r="183" spans="1:27" ht="15.75" customHeight="1">
      <c r="A183" s="45">
        <v>44138</v>
      </c>
      <c r="B183" s="64" t="s">
        <v>1048</v>
      </c>
      <c r="C183" s="46" t="s">
        <v>1027</v>
      </c>
      <c r="D183" s="33" t="s">
        <v>1037</v>
      </c>
      <c r="E183" s="90">
        <v>6300</v>
      </c>
      <c r="F183" s="33" t="s">
        <v>1049</v>
      </c>
      <c r="G183" s="44" t="s">
        <v>830</v>
      </c>
      <c r="H183" s="44" t="s">
        <v>86</v>
      </c>
      <c r="I183" s="44" t="s">
        <v>878</v>
      </c>
      <c r="J183" s="44">
        <v>43703</v>
      </c>
      <c r="K183" s="91" t="s">
        <v>1033</v>
      </c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</row>
    <row r="184" spans="1:27" ht="15.75" customHeight="1">
      <c r="A184" s="45">
        <v>44138</v>
      </c>
      <c r="B184" s="64" t="s">
        <v>1048</v>
      </c>
      <c r="C184" s="46" t="s">
        <v>1027</v>
      </c>
      <c r="D184" s="33" t="s">
        <v>1037</v>
      </c>
      <c r="E184" s="90">
        <v>10000</v>
      </c>
      <c r="F184" s="33" t="s">
        <v>1049</v>
      </c>
      <c r="G184" s="44" t="s">
        <v>830</v>
      </c>
      <c r="H184" s="44" t="s">
        <v>86</v>
      </c>
      <c r="I184" s="44" t="s">
        <v>878</v>
      </c>
      <c r="J184" s="44">
        <v>43703</v>
      </c>
      <c r="K184" s="91" t="s">
        <v>1033</v>
      </c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</row>
    <row r="185" spans="1:27" ht="15.75" customHeight="1">
      <c r="A185" s="45">
        <v>44138</v>
      </c>
      <c r="B185" s="64" t="s">
        <v>1137</v>
      </c>
      <c r="C185" s="46" t="s">
        <v>48</v>
      </c>
      <c r="D185" s="33" t="s">
        <v>1037</v>
      </c>
      <c r="E185" s="90">
        <v>5000</v>
      </c>
      <c r="F185" s="33" t="s">
        <v>1138</v>
      </c>
      <c r="G185" s="33" t="s">
        <v>830</v>
      </c>
      <c r="H185" s="33" t="s">
        <v>86</v>
      </c>
      <c r="I185" s="33" t="s">
        <v>830</v>
      </c>
      <c r="J185" s="44">
        <v>44068</v>
      </c>
      <c r="K185" s="92" t="s">
        <v>1041</v>
      </c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</row>
    <row r="186" spans="1:27" ht="15.75" customHeight="1">
      <c r="A186" s="45">
        <v>44139</v>
      </c>
      <c r="B186" s="64" t="s">
        <v>1162</v>
      </c>
      <c r="C186" s="46" t="s">
        <v>1027</v>
      </c>
      <c r="D186" s="33" t="s">
        <v>1037</v>
      </c>
      <c r="E186" s="90">
        <v>10000</v>
      </c>
      <c r="F186" s="33" t="s">
        <v>1163</v>
      </c>
      <c r="G186" s="44" t="s">
        <v>830</v>
      </c>
      <c r="H186" s="44" t="s">
        <v>86</v>
      </c>
      <c r="I186" s="44" t="s">
        <v>878</v>
      </c>
      <c r="J186" s="44">
        <v>43875</v>
      </c>
      <c r="K186" s="91" t="s">
        <v>1054</v>
      </c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</row>
    <row r="187" spans="1:27" ht="15.75" customHeight="1">
      <c r="A187" s="45">
        <v>44139</v>
      </c>
      <c r="B187" s="64" t="s">
        <v>1156</v>
      </c>
      <c r="C187" s="46" t="s">
        <v>1027</v>
      </c>
      <c r="D187" s="33" t="s">
        <v>1037</v>
      </c>
      <c r="E187" s="90">
        <v>20000</v>
      </c>
      <c r="F187" s="33" t="s">
        <v>1157</v>
      </c>
      <c r="G187" s="44" t="s">
        <v>830</v>
      </c>
      <c r="H187" s="44" t="s">
        <v>86</v>
      </c>
      <c r="I187" s="44" t="s">
        <v>969</v>
      </c>
      <c r="J187" s="44">
        <v>43622</v>
      </c>
      <c r="K187" s="91" t="s">
        <v>1054</v>
      </c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</row>
    <row r="188" spans="1:27" ht="15.75" customHeight="1">
      <c r="A188" s="45">
        <v>44139</v>
      </c>
      <c r="B188" s="64" t="s">
        <v>1164</v>
      </c>
      <c r="C188" s="46" t="s">
        <v>1076</v>
      </c>
      <c r="D188" s="33" t="s">
        <v>1037</v>
      </c>
      <c r="E188" s="90">
        <v>30000</v>
      </c>
      <c r="F188" s="33" t="s">
        <v>1165</v>
      </c>
      <c r="G188" s="44" t="s">
        <v>835</v>
      </c>
      <c r="H188" s="44" t="s">
        <v>86</v>
      </c>
      <c r="I188" s="44" t="s">
        <v>835</v>
      </c>
      <c r="J188" s="44">
        <v>44062</v>
      </c>
      <c r="K188" s="91" t="s">
        <v>1041</v>
      </c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</row>
    <row r="189" spans="1:27" ht="15.75" customHeight="1">
      <c r="A189" s="45">
        <v>44139</v>
      </c>
      <c r="B189" s="64" t="s">
        <v>1126</v>
      </c>
      <c r="C189" s="46" t="s">
        <v>1076</v>
      </c>
      <c r="D189" s="33" t="s">
        <v>1037</v>
      </c>
      <c r="E189" s="90">
        <v>28000</v>
      </c>
      <c r="F189" s="33" t="s">
        <v>1127</v>
      </c>
      <c r="G189" s="44" t="s">
        <v>835</v>
      </c>
      <c r="H189" s="44" t="s">
        <v>86</v>
      </c>
      <c r="I189" s="44" t="s">
        <v>920</v>
      </c>
      <c r="J189" s="44">
        <v>43635</v>
      </c>
      <c r="K189" s="91" t="s">
        <v>1033</v>
      </c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</row>
    <row r="190" spans="1:27" ht="15.75" customHeight="1">
      <c r="A190" s="45">
        <v>44141</v>
      </c>
      <c r="B190" s="64" t="s">
        <v>1063</v>
      </c>
      <c r="C190" s="46" t="s">
        <v>1027</v>
      </c>
      <c r="D190" s="33" t="s">
        <v>1037</v>
      </c>
      <c r="E190" s="90">
        <v>1800000</v>
      </c>
      <c r="F190" s="33" t="s">
        <v>1064</v>
      </c>
      <c r="G190" s="44" t="s">
        <v>830</v>
      </c>
      <c r="H190" s="44" t="s">
        <v>86</v>
      </c>
      <c r="I190" s="44" t="s">
        <v>969</v>
      </c>
      <c r="J190" s="44">
        <v>43664</v>
      </c>
      <c r="K190" s="91" t="s">
        <v>1033</v>
      </c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</row>
    <row r="191" spans="1:27" ht="15.75" customHeight="1">
      <c r="A191" s="45">
        <v>44144</v>
      </c>
      <c r="B191" s="64" t="s">
        <v>1052</v>
      </c>
      <c r="C191" s="46" t="s">
        <v>1027</v>
      </c>
      <c r="D191" s="33" t="s">
        <v>1037</v>
      </c>
      <c r="E191" s="90">
        <v>15000</v>
      </c>
      <c r="F191" s="33" t="s">
        <v>1053</v>
      </c>
      <c r="G191" s="44" t="s">
        <v>830</v>
      </c>
      <c r="H191" s="44" t="s">
        <v>86</v>
      </c>
      <c r="I191" s="44" t="s">
        <v>878</v>
      </c>
      <c r="J191" s="44">
        <v>43605</v>
      </c>
      <c r="K191" s="91" t="s">
        <v>1054</v>
      </c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</row>
    <row r="192" spans="1:27" ht="15.75" customHeight="1">
      <c r="A192" s="45">
        <v>44144</v>
      </c>
      <c r="B192" s="64" t="s">
        <v>1082</v>
      </c>
      <c r="C192" s="46" t="s">
        <v>1027</v>
      </c>
      <c r="D192" s="33" t="s">
        <v>1037</v>
      </c>
      <c r="E192" s="90">
        <v>7000</v>
      </c>
      <c r="F192" s="33" t="s">
        <v>1083</v>
      </c>
      <c r="G192" s="44" t="s">
        <v>830</v>
      </c>
      <c r="H192" s="44" t="s">
        <v>86</v>
      </c>
      <c r="I192" s="44" t="s">
        <v>878</v>
      </c>
      <c r="J192" s="44">
        <v>43717</v>
      </c>
      <c r="K192" s="91" t="s">
        <v>1033</v>
      </c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</row>
    <row r="193" spans="1:27" ht="15.75" customHeight="1">
      <c r="A193" s="45">
        <v>44145</v>
      </c>
      <c r="B193" s="93" t="s">
        <v>1102</v>
      </c>
      <c r="C193" s="46" t="s">
        <v>1027</v>
      </c>
      <c r="D193" s="33" t="s">
        <v>1037</v>
      </c>
      <c r="E193" s="90">
        <v>90562.43</v>
      </c>
      <c r="F193" s="33" t="s">
        <v>1103</v>
      </c>
      <c r="G193" s="44" t="s">
        <v>830</v>
      </c>
      <c r="H193" s="44" t="s">
        <v>86</v>
      </c>
      <c r="I193" s="44" t="s">
        <v>878</v>
      </c>
      <c r="J193" s="44">
        <v>43888</v>
      </c>
      <c r="K193" s="91" t="s">
        <v>1041</v>
      </c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</row>
    <row r="194" spans="1:27" ht="15.75" customHeight="1">
      <c r="A194" s="45">
        <v>44145</v>
      </c>
      <c r="B194" s="64" t="s">
        <v>1042</v>
      </c>
      <c r="C194" s="46" t="s">
        <v>48</v>
      </c>
      <c r="D194" s="33" t="s">
        <v>1037</v>
      </c>
      <c r="E194" s="90">
        <v>45400</v>
      </c>
      <c r="F194" s="33" t="s">
        <v>776</v>
      </c>
      <c r="G194" s="33" t="s">
        <v>830</v>
      </c>
      <c r="H194" s="33" t="s">
        <v>86</v>
      </c>
      <c r="I194" s="33" t="s">
        <v>830</v>
      </c>
      <c r="J194" s="44">
        <v>43749</v>
      </c>
      <c r="K194" s="92" t="s">
        <v>1033</v>
      </c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</row>
    <row r="195" spans="1:27" ht="15.75" customHeight="1">
      <c r="A195" s="45">
        <v>44147</v>
      </c>
      <c r="B195" s="64" t="s">
        <v>1050</v>
      </c>
      <c r="C195" s="46" t="s">
        <v>1027</v>
      </c>
      <c r="D195" s="33" t="s">
        <v>1037</v>
      </c>
      <c r="E195" s="90">
        <v>10000</v>
      </c>
      <c r="F195" s="33" t="s">
        <v>1051</v>
      </c>
      <c r="G195" s="44" t="s">
        <v>830</v>
      </c>
      <c r="H195" s="44" t="s">
        <v>86</v>
      </c>
      <c r="I195" s="44" t="s">
        <v>878</v>
      </c>
      <c r="J195" s="44">
        <v>43567</v>
      </c>
      <c r="K195" s="91" t="s">
        <v>1041</v>
      </c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</row>
    <row r="196" spans="1:27" ht="15.75" customHeight="1">
      <c r="A196" s="45">
        <v>44147</v>
      </c>
      <c r="B196" s="64" t="s">
        <v>1166</v>
      </c>
      <c r="C196" s="46" t="s">
        <v>48</v>
      </c>
      <c r="D196" s="33" t="s">
        <v>1037</v>
      </c>
      <c r="E196" s="90">
        <v>20000</v>
      </c>
      <c r="F196" s="33" t="s">
        <v>1167</v>
      </c>
      <c r="G196" s="33" t="s">
        <v>830</v>
      </c>
      <c r="H196" s="33" t="s">
        <v>86</v>
      </c>
      <c r="I196" s="33" t="s">
        <v>830</v>
      </c>
      <c r="J196" s="44">
        <v>43717</v>
      </c>
      <c r="K196" s="92" t="s">
        <v>1033</v>
      </c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</row>
    <row r="197" spans="1:27" ht="15.75" customHeight="1">
      <c r="A197" s="45">
        <v>44147</v>
      </c>
      <c r="B197" s="64" t="s">
        <v>1139</v>
      </c>
      <c r="C197" s="46" t="s">
        <v>1027</v>
      </c>
      <c r="D197" s="33" t="s">
        <v>1037</v>
      </c>
      <c r="E197" s="90">
        <v>50000</v>
      </c>
      <c r="F197" s="33" t="s">
        <v>1140</v>
      </c>
      <c r="G197" s="44" t="s">
        <v>830</v>
      </c>
      <c r="H197" s="44" t="s">
        <v>86</v>
      </c>
      <c r="I197" s="44" t="s">
        <v>878</v>
      </c>
      <c r="J197" s="44">
        <v>44041</v>
      </c>
      <c r="K197" s="91" t="s">
        <v>1041</v>
      </c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</row>
    <row r="198" spans="1:27" ht="15.75" customHeight="1">
      <c r="A198" s="45">
        <v>44151</v>
      </c>
      <c r="B198" s="64" t="s">
        <v>1075</v>
      </c>
      <c r="C198" s="46" t="s">
        <v>1076</v>
      </c>
      <c r="D198" s="33" t="s">
        <v>1037</v>
      </c>
      <c r="E198" s="90">
        <v>6000</v>
      </c>
      <c r="F198" s="33" t="s">
        <v>1077</v>
      </c>
      <c r="G198" s="44" t="s">
        <v>835</v>
      </c>
      <c r="H198" s="44" t="s">
        <v>86</v>
      </c>
      <c r="I198" s="44" t="s">
        <v>845</v>
      </c>
      <c r="J198" s="44">
        <v>43797</v>
      </c>
      <c r="K198" s="91" t="s">
        <v>1054</v>
      </c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</row>
    <row r="199" spans="1:27" ht="15.75" customHeight="1">
      <c r="A199" s="45">
        <v>44152</v>
      </c>
      <c r="B199" s="64" t="s">
        <v>1137</v>
      </c>
      <c r="C199" s="46" t="s">
        <v>48</v>
      </c>
      <c r="D199" s="33" t="s">
        <v>1037</v>
      </c>
      <c r="E199" s="90">
        <v>20000</v>
      </c>
      <c r="F199" s="33" t="s">
        <v>1138</v>
      </c>
      <c r="G199" s="33" t="s">
        <v>830</v>
      </c>
      <c r="H199" s="33" t="s">
        <v>86</v>
      </c>
      <c r="I199" s="33" t="s">
        <v>830</v>
      </c>
      <c r="J199" s="44">
        <v>44068</v>
      </c>
      <c r="K199" s="92" t="s">
        <v>1041</v>
      </c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</row>
    <row r="200" spans="1:27" ht="15.75" customHeight="1">
      <c r="A200" s="44">
        <v>44153</v>
      </c>
      <c r="B200" s="57" t="s">
        <v>1104</v>
      </c>
      <c r="C200" s="33" t="s">
        <v>1027</v>
      </c>
      <c r="D200" s="33" t="s">
        <v>1028</v>
      </c>
      <c r="E200" s="90">
        <v>90562.43</v>
      </c>
      <c r="F200" s="33" t="s">
        <v>1105</v>
      </c>
      <c r="G200" s="44" t="s">
        <v>830</v>
      </c>
      <c r="H200" s="44" t="s">
        <v>86</v>
      </c>
      <c r="I200" s="44" t="s">
        <v>878</v>
      </c>
      <c r="J200" s="44">
        <v>43840</v>
      </c>
      <c r="K200" s="91" t="s">
        <v>1054</v>
      </c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</row>
    <row r="201" spans="1:27" ht="15.75" customHeight="1">
      <c r="A201" s="45">
        <v>44153</v>
      </c>
      <c r="B201" s="64" t="s">
        <v>1104</v>
      </c>
      <c r="C201" s="46" t="s">
        <v>1027</v>
      </c>
      <c r="D201" s="33" t="s">
        <v>1037</v>
      </c>
      <c r="E201" s="94">
        <v>30000</v>
      </c>
      <c r="F201" s="33" t="s">
        <v>1105</v>
      </c>
      <c r="G201" s="44" t="s">
        <v>830</v>
      </c>
      <c r="H201" s="44" t="s">
        <v>86</v>
      </c>
      <c r="I201" s="44" t="s">
        <v>878</v>
      </c>
      <c r="J201" s="44">
        <v>43840</v>
      </c>
      <c r="K201" s="91" t="s">
        <v>1054</v>
      </c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</row>
    <row r="202" spans="1:27" ht="15.75" customHeight="1">
      <c r="A202" s="45">
        <v>44159</v>
      </c>
      <c r="B202" s="64" t="s">
        <v>1052</v>
      </c>
      <c r="C202" s="46" t="s">
        <v>1027</v>
      </c>
      <c r="D202" s="33" t="s">
        <v>1037</v>
      </c>
      <c r="E202" s="90">
        <v>7000</v>
      </c>
      <c r="F202" s="33" t="s">
        <v>1053</v>
      </c>
      <c r="G202" s="44" t="s">
        <v>830</v>
      </c>
      <c r="H202" s="44" t="s">
        <v>86</v>
      </c>
      <c r="I202" s="44" t="s">
        <v>878</v>
      </c>
      <c r="J202" s="44">
        <v>43605</v>
      </c>
      <c r="K202" s="91" t="s">
        <v>1054</v>
      </c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</row>
    <row r="203" spans="1:27" ht="15.75" customHeight="1">
      <c r="A203" s="45">
        <v>44160</v>
      </c>
      <c r="B203" s="64" t="s">
        <v>1048</v>
      </c>
      <c r="C203" s="46" t="s">
        <v>1027</v>
      </c>
      <c r="D203" s="33" t="s">
        <v>1037</v>
      </c>
      <c r="E203" s="90">
        <v>112433.37</v>
      </c>
      <c r="F203" s="33" t="s">
        <v>1049</v>
      </c>
      <c r="G203" s="44" t="s">
        <v>830</v>
      </c>
      <c r="H203" s="44" t="s">
        <v>86</v>
      </c>
      <c r="I203" s="44" t="s">
        <v>878</v>
      </c>
      <c r="J203" s="44">
        <v>43703</v>
      </c>
      <c r="K203" s="91" t="s">
        <v>1033</v>
      </c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</row>
    <row r="204" spans="1:27" ht="15.75" customHeight="1">
      <c r="A204" s="45">
        <v>44161</v>
      </c>
      <c r="B204" s="64" t="s">
        <v>1137</v>
      </c>
      <c r="C204" s="46" t="s">
        <v>48</v>
      </c>
      <c r="D204" s="33" t="s">
        <v>1037</v>
      </c>
      <c r="E204" s="90">
        <v>286876.15999999997</v>
      </c>
      <c r="F204" s="33" t="s">
        <v>1138</v>
      </c>
      <c r="G204" s="33" t="s">
        <v>830</v>
      </c>
      <c r="H204" s="33" t="s">
        <v>86</v>
      </c>
      <c r="I204" s="33" t="s">
        <v>830</v>
      </c>
      <c r="J204" s="44">
        <v>44068</v>
      </c>
      <c r="K204" s="92" t="s">
        <v>1041</v>
      </c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</row>
    <row r="205" spans="1:27" ht="15.75" customHeight="1">
      <c r="A205" s="45">
        <v>44165</v>
      </c>
      <c r="B205" s="64" t="s">
        <v>1050</v>
      </c>
      <c r="C205" s="46" t="s">
        <v>1027</v>
      </c>
      <c r="D205" s="33" t="s">
        <v>1037</v>
      </c>
      <c r="E205" s="90">
        <v>34941.81</v>
      </c>
      <c r="F205" s="33" t="s">
        <v>1051</v>
      </c>
      <c r="G205" s="44" t="s">
        <v>830</v>
      </c>
      <c r="H205" s="44" t="s">
        <v>86</v>
      </c>
      <c r="I205" s="44" t="s">
        <v>878</v>
      </c>
      <c r="J205" s="44">
        <v>43567</v>
      </c>
      <c r="K205" s="91" t="s">
        <v>1041</v>
      </c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</row>
    <row r="206" spans="1:27" ht="15.75" customHeight="1">
      <c r="A206" s="45">
        <v>44166</v>
      </c>
      <c r="B206" s="64" t="s">
        <v>1036</v>
      </c>
      <c r="C206" s="46" t="s">
        <v>1027</v>
      </c>
      <c r="D206" s="33" t="s">
        <v>1037</v>
      </c>
      <c r="E206" s="90">
        <v>130950.51000000001</v>
      </c>
      <c r="F206" s="33" t="s">
        <v>1038</v>
      </c>
      <c r="G206" s="44" t="s">
        <v>830</v>
      </c>
      <c r="H206" s="44" t="s">
        <v>86</v>
      </c>
      <c r="I206" s="44" t="s">
        <v>878</v>
      </c>
      <c r="J206" s="44">
        <v>43675</v>
      </c>
      <c r="K206" s="91" t="s">
        <v>1033</v>
      </c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</row>
    <row r="207" spans="1:27" ht="15.75" customHeight="1">
      <c r="A207" s="45">
        <v>44166</v>
      </c>
      <c r="B207" s="64" t="s">
        <v>1082</v>
      </c>
      <c r="C207" s="46" t="s">
        <v>1027</v>
      </c>
      <c r="D207" s="33" t="s">
        <v>1037</v>
      </c>
      <c r="E207" s="90">
        <v>10000</v>
      </c>
      <c r="F207" s="33" t="s">
        <v>1083</v>
      </c>
      <c r="G207" s="44" t="s">
        <v>830</v>
      </c>
      <c r="H207" s="44" t="s">
        <v>86</v>
      </c>
      <c r="I207" s="44" t="s">
        <v>878</v>
      </c>
      <c r="J207" s="44">
        <v>43717</v>
      </c>
      <c r="K207" s="91" t="s">
        <v>1033</v>
      </c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</row>
    <row r="208" spans="1:27" ht="15.75" customHeight="1">
      <c r="A208" s="45">
        <v>44172</v>
      </c>
      <c r="B208" s="93" t="s">
        <v>1102</v>
      </c>
      <c r="C208" s="46" t="s">
        <v>1027</v>
      </c>
      <c r="D208" s="33" t="s">
        <v>1037</v>
      </c>
      <c r="E208" s="90">
        <v>5500</v>
      </c>
      <c r="F208" s="33" t="s">
        <v>1103</v>
      </c>
      <c r="G208" s="44" t="s">
        <v>830</v>
      </c>
      <c r="H208" s="44" t="s">
        <v>86</v>
      </c>
      <c r="I208" s="44" t="s">
        <v>878</v>
      </c>
      <c r="J208" s="44">
        <v>43888</v>
      </c>
      <c r="K208" s="91" t="s">
        <v>1041</v>
      </c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</row>
    <row r="209" spans="1:27" ht="15.75" customHeight="1">
      <c r="A209" s="45">
        <v>44172</v>
      </c>
      <c r="B209" s="64" t="s">
        <v>1065</v>
      </c>
      <c r="C209" s="46" t="s">
        <v>1027</v>
      </c>
      <c r="D209" s="33" t="s">
        <v>1037</v>
      </c>
      <c r="E209" s="90">
        <v>35000</v>
      </c>
      <c r="F209" s="33" t="s">
        <v>1066</v>
      </c>
      <c r="G209" s="44" t="s">
        <v>830</v>
      </c>
      <c r="H209" s="44" t="s">
        <v>86</v>
      </c>
      <c r="I209" s="44" t="s">
        <v>969</v>
      </c>
      <c r="J209" s="44">
        <v>43559</v>
      </c>
      <c r="K209" s="91" t="s">
        <v>1033</v>
      </c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</row>
    <row r="210" spans="1:27" ht="15.75" customHeight="1">
      <c r="A210" s="45">
        <v>44173</v>
      </c>
      <c r="B210" s="64" t="s">
        <v>1168</v>
      </c>
      <c r="C210" s="46" t="s">
        <v>1027</v>
      </c>
      <c r="D210" s="33" t="s">
        <v>1037</v>
      </c>
      <c r="E210" s="90">
        <v>100000</v>
      </c>
      <c r="F210" s="33" t="s">
        <v>1169</v>
      </c>
      <c r="G210" s="44" t="s">
        <v>830</v>
      </c>
      <c r="H210" s="44" t="s">
        <v>86</v>
      </c>
      <c r="I210" s="44" t="s">
        <v>878</v>
      </c>
      <c r="J210" s="44">
        <v>43922</v>
      </c>
      <c r="K210" s="91" t="s">
        <v>1054</v>
      </c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</row>
    <row r="211" spans="1:27" ht="15.75" customHeight="1">
      <c r="A211" s="45">
        <v>44173</v>
      </c>
      <c r="B211" s="64" t="s">
        <v>1168</v>
      </c>
      <c r="C211" s="46" t="s">
        <v>1027</v>
      </c>
      <c r="D211" s="33" t="s">
        <v>1037</v>
      </c>
      <c r="E211" s="90">
        <v>32772.800000000003</v>
      </c>
      <c r="F211" s="33" t="s">
        <v>1169</v>
      </c>
      <c r="G211" s="44" t="s">
        <v>830</v>
      </c>
      <c r="H211" s="44" t="s">
        <v>86</v>
      </c>
      <c r="I211" s="44" t="s">
        <v>878</v>
      </c>
      <c r="J211" s="44">
        <v>43922</v>
      </c>
      <c r="K211" s="91" t="s">
        <v>1054</v>
      </c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</row>
    <row r="212" spans="1:27" ht="15.75" customHeight="1">
      <c r="A212" s="45">
        <v>44173</v>
      </c>
      <c r="B212" s="64" t="s">
        <v>1168</v>
      </c>
      <c r="C212" s="46" t="s">
        <v>1027</v>
      </c>
      <c r="D212" s="33" t="s">
        <v>1037</v>
      </c>
      <c r="E212" s="90">
        <v>13100.45</v>
      </c>
      <c r="F212" s="33" t="s">
        <v>1169</v>
      </c>
      <c r="G212" s="44" t="s">
        <v>830</v>
      </c>
      <c r="H212" s="44" t="s">
        <v>86</v>
      </c>
      <c r="I212" s="44" t="s">
        <v>878</v>
      </c>
      <c r="J212" s="44">
        <v>43922</v>
      </c>
      <c r="K212" s="91" t="s">
        <v>1054</v>
      </c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</row>
    <row r="213" spans="1:27" ht="15.75" customHeight="1">
      <c r="A213" s="45">
        <v>44173</v>
      </c>
      <c r="B213" s="64" t="s">
        <v>1168</v>
      </c>
      <c r="C213" s="46" t="s">
        <v>1027</v>
      </c>
      <c r="D213" s="33" t="s">
        <v>1037</v>
      </c>
      <c r="E213" s="90">
        <v>40379.75</v>
      </c>
      <c r="F213" s="33" t="s">
        <v>1169</v>
      </c>
      <c r="G213" s="44" t="s">
        <v>830</v>
      </c>
      <c r="H213" s="44" t="s">
        <v>86</v>
      </c>
      <c r="I213" s="44" t="s">
        <v>878</v>
      </c>
      <c r="J213" s="44">
        <v>43922</v>
      </c>
      <c r="K213" s="91" t="s">
        <v>1054</v>
      </c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</row>
    <row r="214" spans="1:27" ht="15.75" customHeight="1">
      <c r="A214" s="45">
        <v>44174</v>
      </c>
      <c r="B214" s="64" t="s">
        <v>1048</v>
      </c>
      <c r="C214" s="46" t="s">
        <v>1027</v>
      </c>
      <c r="D214" s="33" t="s">
        <v>1037</v>
      </c>
      <c r="E214" s="90">
        <v>8747</v>
      </c>
      <c r="F214" s="33" t="s">
        <v>1049</v>
      </c>
      <c r="G214" s="44" t="s">
        <v>830</v>
      </c>
      <c r="H214" s="44" t="s">
        <v>86</v>
      </c>
      <c r="I214" s="44" t="s">
        <v>878</v>
      </c>
      <c r="J214" s="44">
        <v>43703</v>
      </c>
      <c r="K214" s="91" t="s">
        <v>1033</v>
      </c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</row>
    <row r="215" spans="1:27" ht="15.75" customHeight="1">
      <c r="A215" s="45">
        <v>44174</v>
      </c>
      <c r="B215" s="64" t="s">
        <v>1048</v>
      </c>
      <c r="C215" s="46" t="s">
        <v>1027</v>
      </c>
      <c r="D215" s="33" t="s">
        <v>1037</v>
      </c>
      <c r="E215" s="90">
        <v>10000</v>
      </c>
      <c r="F215" s="33" t="s">
        <v>1049</v>
      </c>
      <c r="G215" s="44" t="s">
        <v>830</v>
      </c>
      <c r="H215" s="44" t="s">
        <v>86</v>
      </c>
      <c r="I215" s="44" t="s">
        <v>878</v>
      </c>
      <c r="J215" s="44">
        <v>43703</v>
      </c>
      <c r="K215" s="91" t="s">
        <v>1033</v>
      </c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</row>
    <row r="216" spans="1:27" ht="15.75" customHeight="1">
      <c r="A216" s="45">
        <v>44174</v>
      </c>
      <c r="B216" s="64" t="s">
        <v>1170</v>
      </c>
      <c r="C216" s="46" t="s">
        <v>1027</v>
      </c>
      <c r="D216" s="33" t="s">
        <v>1037</v>
      </c>
      <c r="E216" s="90">
        <v>20000</v>
      </c>
      <c r="F216" s="33" t="s">
        <v>1171</v>
      </c>
      <c r="G216" s="44" t="s">
        <v>830</v>
      </c>
      <c r="H216" s="44" t="s">
        <v>86</v>
      </c>
      <c r="I216" s="44" t="s">
        <v>969</v>
      </c>
      <c r="J216" s="44">
        <v>43531</v>
      </c>
      <c r="K216" s="91" t="s">
        <v>1030</v>
      </c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</row>
    <row r="217" spans="1:27" ht="15.75" customHeight="1">
      <c r="A217" s="45">
        <v>44174</v>
      </c>
      <c r="B217" s="64" t="s">
        <v>1170</v>
      </c>
      <c r="C217" s="46" t="s">
        <v>1027</v>
      </c>
      <c r="D217" s="33" t="s">
        <v>1037</v>
      </c>
      <c r="E217" s="90">
        <v>20000</v>
      </c>
      <c r="F217" s="33" t="s">
        <v>1171</v>
      </c>
      <c r="G217" s="44" t="s">
        <v>830</v>
      </c>
      <c r="H217" s="44" t="s">
        <v>86</v>
      </c>
      <c r="I217" s="44" t="s">
        <v>969</v>
      </c>
      <c r="J217" s="44">
        <v>43531</v>
      </c>
      <c r="K217" s="91" t="s">
        <v>1030</v>
      </c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</row>
    <row r="218" spans="1:27" ht="15.75" customHeight="1">
      <c r="A218" s="45">
        <v>44175</v>
      </c>
      <c r="B218" s="64" t="s">
        <v>1075</v>
      </c>
      <c r="C218" s="46" t="s">
        <v>1076</v>
      </c>
      <c r="D218" s="33" t="s">
        <v>1037</v>
      </c>
      <c r="E218" s="90">
        <v>28000</v>
      </c>
      <c r="F218" s="33" t="s">
        <v>1077</v>
      </c>
      <c r="G218" s="44" t="s">
        <v>835</v>
      </c>
      <c r="H218" s="44" t="s">
        <v>86</v>
      </c>
      <c r="I218" s="44" t="s">
        <v>845</v>
      </c>
      <c r="J218" s="44">
        <v>43797</v>
      </c>
      <c r="K218" s="91" t="s">
        <v>1054</v>
      </c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</row>
    <row r="219" spans="1:27" ht="15.75" customHeight="1">
      <c r="A219" s="45">
        <v>44175</v>
      </c>
      <c r="B219" s="64" t="s">
        <v>1075</v>
      </c>
      <c r="C219" s="46" t="s">
        <v>1076</v>
      </c>
      <c r="D219" s="33" t="s">
        <v>1037</v>
      </c>
      <c r="E219" s="90">
        <v>25000</v>
      </c>
      <c r="F219" s="33" t="s">
        <v>1077</v>
      </c>
      <c r="G219" s="44" t="s">
        <v>835</v>
      </c>
      <c r="H219" s="44" t="s">
        <v>86</v>
      </c>
      <c r="I219" s="44" t="s">
        <v>845</v>
      </c>
      <c r="J219" s="44">
        <v>43797</v>
      </c>
      <c r="K219" s="91" t="s">
        <v>1054</v>
      </c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</row>
    <row r="220" spans="1:27" ht="15.75" customHeight="1">
      <c r="A220" s="45">
        <v>44175</v>
      </c>
      <c r="B220" s="64" t="s">
        <v>1075</v>
      </c>
      <c r="C220" s="46" t="s">
        <v>1076</v>
      </c>
      <c r="D220" s="33" t="s">
        <v>1037</v>
      </c>
      <c r="E220" s="90">
        <v>43000</v>
      </c>
      <c r="F220" s="33" t="s">
        <v>1077</v>
      </c>
      <c r="G220" s="44" t="s">
        <v>835</v>
      </c>
      <c r="H220" s="44" t="s">
        <v>86</v>
      </c>
      <c r="I220" s="44" t="s">
        <v>845</v>
      </c>
      <c r="J220" s="44">
        <v>43797</v>
      </c>
      <c r="K220" s="91" t="s">
        <v>1054</v>
      </c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</row>
    <row r="221" spans="1:27" ht="15.75" customHeight="1">
      <c r="A221" s="45">
        <v>44175</v>
      </c>
      <c r="B221" s="64" t="s">
        <v>1075</v>
      </c>
      <c r="C221" s="46" t="s">
        <v>1076</v>
      </c>
      <c r="D221" s="33" t="s">
        <v>1037</v>
      </c>
      <c r="E221" s="90">
        <v>200000</v>
      </c>
      <c r="F221" s="33" t="s">
        <v>1077</v>
      </c>
      <c r="G221" s="44" t="s">
        <v>835</v>
      </c>
      <c r="H221" s="44" t="s">
        <v>86</v>
      </c>
      <c r="I221" s="44" t="s">
        <v>845</v>
      </c>
      <c r="J221" s="44">
        <v>43797</v>
      </c>
      <c r="K221" s="91" t="s">
        <v>1054</v>
      </c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</row>
    <row r="222" spans="1:27" ht="15.75" customHeight="1">
      <c r="A222" s="45">
        <v>44179</v>
      </c>
      <c r="B222" s="96" t="s">
        <v>1065</v>
      </c>
      <c r="C222" s="46" t="s">
        <v>1027</v>
      </c>
      <c r="D222" s="33" t="s">
        <v>1037</v>
      </c>
      <c r="E222" s="90">
        <v>25000</v>
      </c>
      <c r="F222" s="33" t="s">
        <v>1066</v>
      </c>
      <c r="G222" s="44" t="s">
        <v>830</v>
      </c>
      <c r="H222" s="44" t="s">
        <v>86</v>
      </c>
      <c r="I222" s="44" t="s">
        <v>969</v>
      </c>
      <c r="J222" s="44">
        <v>43559</v>
      </c>
      <c r="K222" s="91" t="s">
        <v>1033</v>
      </c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</row>
    <row r="223" spans="1:27" ht="15.75" customHeight="1">
      <c r="A223" s="45">
        <v>44179</v>
      </c>
      <c r="B223" s="64" t="s">
        <v>1093</v>
      </c>
      <c r="C223" s="46" t="s">
        <v>1027</v>
      </c>
      <c r="D223" s="33" t="s">
        <v>1037</v>
      </c>
      <c r="E223" s="90">
        <v>14000</v>
      </c>
      <c r="F223" s="33" t="s">
        <v>1094</v>
      </c>
      <c r="G223" s="44" t="s">
        <v>830</v>
      </c>
      <c r="H223" s="44" t="s">
        <v>86</v>
      </c>
      <c r="I223" s="44" t="s">
        <v>878</v>
      </c>
      <c r="J223" s="44">
        <v>43564</v>
      </c>
      <c r="K223" s="91" t="s">
        <v>1030</v>
      </c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</row>
    <row r="224" spans="1:27" ht="15.75" customHeight="1">
      <c r="A224" s="45">
        <v>44180</v>
      </c>
      <c r="B224" s="64" t="s">
        <v>1042</v>
      </c>
      <c r="C224" s="46" t="s">
        <v>48</v>
      </c>
      <c r="D224" s="33" t="s">
        <v>1037</v>
      </c>
      <c r="E224" s="90">
        <v>153000</v>
      </c>
      <c r="F224" s="33" t="s">
        <v>776</v>
      </c>
      <c r="G224" s="33" t="s">
        <v>830</v>
      </c>
      <c r="H224" s="33" t="s">
        <v>86</v>
      </c>
      <c r="I224" s="33" t="s">
        <v>830</v>
      </c>
      <c r="J224" s="44">
        <v>43749</v>
      </c>
      <c r="K224" s="92" t="s">
        <v>1033</v>
      </c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</row>
    <row r="225" spans="1:27" ht="15.75" customHeight="1">
      <c r="A225" s="44">
        <v>44181</v>
      </c>
      <c r="B225" s="97" t="s">
        <v>1172</v>
      </c>
      <c r="C225" s="33" t="s">
        <v>1027</v>
      </c>
      <c r="D225" s="33" t="s">
        <v>1028</v>
      </c>
      <c r="E225" s="90">
        <v>268845.87</v>
      </c>
      <c r="F225" s="33" t="s">
        <v>1173</v>
      </c>
      <c r="G225" s="44" t="s">
        <v>977</v>
      </c>
      <c r="H225" s="44" t="s">
        <v>86</v>
      </c>
      <c r="I225" s="44" t="s">
        <v>977</v>
      </c>
      <c r="J225" s="44">
        <v>43563</v>
      </c>
      <c r="K225" s="91" t="s">
        <v>1030</v>
      </c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</row>
    <row r="226" spans="1:27" ht="15.75" customHeight="1">
      <c r="A226" s="45">
        <v>44182</v>
      </c>
      <c r="B226" s="64" t="s">
        <v>1142</v>
      </c>
      <c r="C226" s="46" t="s">
        <v>1027</v>
      </c>
      <c r="D226" s="33" t="s">
        <v>1037</v>
      </c>
      <c r="E226" s="90">
        <v>7000</v>
      </c>
      <c r="F226" s="33" t="s">
        <v>1143</v>
      </c>
      <c r="G226" s="44" t="s">
        <v>830</v>
      </c>
      <c r="H226" s="44" t="s">
        <v>86</v>
      </c>
      <c r="I226" s="44" t="s">
        <v>878</v>
      </c>
      <c r="J226" s="44">
        <v>43711</v>
      </c>
      <c r="K226" s="91" t="s">
        <v>1033</v>
      </c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</row>
    <row r="227" spans="1:27" ht="15.75" customHeight="1">
      <c r="A227" s="45">
        <v>44186</v>
      </c>
      <c r="B227" s="96" t="s">
        <v>1052</v>
      </c>
      <c r="C227" s="46" t="s">
        <v>1027</v>
      </c>
      <c r="D227" s="33" t="s">
        <v>1037</v>
      </c>
      <c r="E227" s="90">
        <v>25000</v>
      </c>
      <c r="F227" s="33" t="s">
        <v>1053</v>
      </c>
      <c r="G227" s="44" t="s">
        <v>830</v>
      </c>
      <c r="H227" s="44" t="s">
        <v>86</v>
      </c>
      <c r="I227" s="44" t="s">
        <v>878</v>
      </c>
      <c r="J227" s="44">
        <v>43605</v>
      </c>
      <c r="K227" s="91" t="s">
        <v>1054</v>
      </c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</row>
    <row r="228" spans="1:27" ht="15.75" customHeight="1">
      <c r="A228" s="45">
        <v>44186</v>
      </c>
      <c r="B228" s="64" t="s">
        <v>1137</v>
      </c>
      <c r="C228" s="46" t="s">
        <v>48</v>
      </c>
      <c r="D228" s="33" t="s">
        <v>1037</v>
      </c>
      <c r="E228" s="90">
        <v>19000</v>
      </c>
      <c r="F228" s="33" t="s">
        <v>1138</v>
      </c>
      <c r="G228" s="33" t="s">
        <v>830</v>
      </c>
      <c r="H228" s="33" t="s">
        <v>86</v>
      </c>
      <c r="I228" s="33" t="s">
        <v>830</v>
      </c>
      <c r="J228" s="44">
        <v>44068</v>
      </c>
      <c r="K228" s="92" t="s">
        <v>1041</v>
      </c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</row>
    <row r="229" spans="1:27" ht="15.75" customHeight="1">
      <c r="A229" s="45">
        <v>44187</v>
      </c>
      <c r="B229" s="64" t="s">
        <v>1048</v>
      </c>
      <c r="C229" s="46" t="s">
        <v>1027</v>
      </c>
      <c r="D229" s="33" t="s">
        <v>1037</v>
      </c>
      <c r="E229" s="90">
        <v>6500</v>
      </c>
      <c r="F229" s="33" t="s">
        <v>1049</v>
      </c>
      <c r="G229" s="44" t="s">
        <v>830</v>
      </c>
      <c r="H229" s="44" t="s">
        <v>86</v>
      </c>
      <c r="I229" s="44" t="s">
        <v>878</v>
      </c>
      <c r="J229" s="44">
        <v>43703</v>
      </c>
      <c r="K229" s="91" t="s">
        <v>1033</v>
      </c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</row>
    <row r="230" spans="1:27" ht="15.75" customHeight="1">
      <c r="A230" s="45">
        <v>44193</v>
      </c>
      <c r="B230" s="64" t="s">
        <v>1093</v>
      </c>
      <c r="C230" s="46" t="s">
        <v>1027</v>
      </c>
      <c r="D230" s="33" t="s">
        <v>1037</v>
      </c>
      <c r="E230" s="90">
        <v>2000</v>
      </c>
      <c r="F230" s="33" t="s">
        <v>1094</v>
      </c>
      <c r="G230" s="44" t="s">
        <v>830</v>
      </c>
      <c r="H230" s="44" t="s">
        <v>86</v>
      </c>
      <c r="I230" s="44" t="s">
        <v>878</v>
      </c>
      <c r="J230" s="44">
        <v>43564</v>
      </c>
      <c r="K230" s="91" t="s">
        <v>1030</v>
      </c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</row>
    <row r="231" spans="1:27" ht="15.75" customHeight="1">
      <c r="A231" s="45">
        <v>44193</v>
      </c>
      <c r="B231" s="64" t="s">
        <v>1052</v>
      </c>
      <c r="C231" s="46" t="s">
        <v>1027</v>
      </c>
      <c r="D231" s="33" t="s">
        <v>1037</v>
      </c>
      <c r="E231" s="90">
        <v>40000</v>
      </c>
      <c r="F231" s="33" t="s">
        <v>1053</v>
      </c>
      <c r="G231" s="44" t="s">
        <v>830</v>
      </c>
      <c r="H231" s="44" t="s">
        <v>86</v>
      </c>
      <c r="I231" s="44" t="s">
        <v>878</v>
      </c>
      <c r="J231" s="44">
        <v>43605</v>
      </c>
      <c r="K231" s="91" t="s">
        <v>1054</v>
      </c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</row>
    <row r="232" spans="1:27" ht="15.75" customHeight="1">
      <c r="A232" s="45">
        <v>44194</v>
      </c>
      <c r="B232" s="64" t="s">
        <v>1088</v>
      </c>
      <c r="C232" s="46" t="s">
        <v>1027</v>
      </c>
      <c r="D232" s="33" t="s">
        <v>1037</v>
      </c>
      <c r="E232" s="90">
        <v>271260.25</v>
      </c>
      <c r="F232" s="33" t="s">
        <v>1089</v>
      </c>
      <c r="G232" s="44" t="s">
        <v>830</v>
      </c>
      <c r="H232" s="44" t="s">
        <v>86</v>
      </c>
      <c r="I232" s="44" t="s">
        <v>878</v>
      </c>
      <c r="J232" s="44">
        <v>43867</v>
      </c>
      <c r="K232" s="91" t="s">
        <v>1041</v>
      </c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</row>
    <row r="233" spans="1:27" ht="15.75" customHeight="1">
      <c r="A233" s="45">
        <v>44199</v>
      </c>
      <c r="B233" s="38" t="s">
        <v>1174</v>
      </c>
      <c r="C233" s="46" t="s">
        <v>1027</v>
      </c>
      <c r="D233" s="33" t="s">
        <v>1037</v>
      </c>
      <c r="E233" s="98">
        <v>40000</v>
      </c>
      <c r="F233" s="33" t="s">
        <v>1175</v>
      </c>
      <c r="G233" s="44" t="s">
        <v>835</v>
      </c>
      <c r="H233" s="44" t="s">
        <v>1176</v>
      </c>
      <c r="I233" s="44" t="s">
        <v>973</v>
      </c>
      <c r="J233" s="44">
        <v>44321</v>
      </c>
      <c r="K233" s="91" t="s">
        <v>1041</v>
      </c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</row>
    <row r="234" spans="1:27" ht="15.75" customHeight="1">
      <c r="A234" s="45">
        <v>44199</v>
      </c>
      <c r="B234" s="38" t="s">
        <v>1177</v>
      </c>
      <c r="C234" s="46" t="s">
        <v>1027</v>
      </c>
      <c r="D234" s="33" t="s">
        <v>1037</v>
      </c>
      <c r="E234" s="98">
        <v>10000</v>
      </c>
      <c r="F234" s="33" t="s">
        <v>1178</v>
      </c>
      <c r="G234" s="44" t="s">
        <v>835</v>
      </c>
      <c r="H234" s="44" t="s">
        <v>1176</v>
      </c>
      <c r="I234" s="44" t="s">
        <v>973</v>
      </c>
      <c r="J234" s="44">
        <v>44295</v>
      </c>
      <c r="K234" s="91" t="s">
        <v>1179</v>
      </c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</row>
    <row r="235" spans="1:27" ht="15.75" customHeight="1">
      <c r="A235" s="45">
        <v>44199</v>
      </c>
      <c r="B235" s="38" t="s">
        <v>1180</v>
      </c>
      <c r="C235" s="46" t="s">
        <v>1027</v>
      </c>
      <c r="D235" s="33" t="s">
        <v>1062</v>
      </c>
      <c r="E235" s="39">
        <v>459854.95</v>
      </c>
      <c r="F235" s="33" t="s">
        <v>1181</v>
      </c>
      <c r="G235" s="44" t="s">
        <v>835</v>
      </c>
      <c r="H235" s="44" t="s">
        <v>1176</v>
      </c>
      <c r="I235" s="44" t="s">
        <v>973</v>
      </c>
      <c r="J235" s="44">
        <v>44272</v>
      </c>
      <c r="K235" s="91" t="s">
        <v>1182</v>
      </c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</row>
    <row r="236" spans="1:27" ht="15.75" customHeight="1">
      <c r="A236" s="45">
        <v>44199</v>
      </c>
      <c r="B236" s="40" t="s">
        <v>1183</v>
      </c>
      <c r="C236" s="46" t="s">
        <v>48</v>
      </c>
      <c r="D236" s="33" t="s">
        <v>1037</v>
      </c>
      <c r="E236" s="98">
        <v>10000</v>
      </c>
      <c r="F236" s="33" t="s">
        <v>1184</v>
      </c>
      <c r="G236" s="33" t="s">
        <v>904</v>
      </c>
      <c r="H236" s="33" t="s">
        <v>86</v>
      </c>
      <c r="I236" s="33" t="s">
        <v>912</v>
      </c>
      <c r="J236" s="44">
        <v>44263</v>
      </c>
      <c r="K236" s="92" t="s">
        <v>1041</v>
      </c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</row>
    <row r="237" spans="1:27" ht="15.75" customHeight="1">
      <c r="A237" s="45">
        <v>44200</v>
      </c>
      <c r="B237" s="38" t="s">
        <v>1185</v>
      </c>
      <c r="C237" s="46" t="s">
        <v>1027</v>
      </c>
      <c r="D237" s="33" t="s">
        <v>1037</v>
      </c>
      <c r="E237" s="98">
        <v>200000</v>
      </c>
      <c r="F237" s="33" t="s">
        <v>1186</v>
      </c>
      <c r="G237" s="44" t="s">
        <v>835</v>
      </c>
      <c r="H237" s="44" t="s">
        <v>1176</v>
      </c>
      <c r="I237" s="44" t="s">
        <v>973</v>
      </c>
      <c r="J237" s="44">
        <v>44319</v>
      </c>
      <c r="K237" s="91" t="s">
        <v>1041</v>
      </c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</row>
    <row r="238" spans="1:27" ht="15.75" customHeight="1">
      <c r="A238" s="45">
        <v>44200</v>
      </c>
      <c r="B238" s="64" t="s">
        <v>1065</v>
      </c>
      <c r="C238" s="46" t="s">
        <v>1027</v>
      </c>
      <c r="D238" s="33" t="s">
        <v>1037</v>
      </c>
      <c r="E238" s="90">
        <v>1500</v>
      </c>
      <c r="F238" s="33" t="s">
        <v>1066</v>
      </c>
      <c r="G238" s="44" t="s">
        <v>830</v>
      </c>
      <c r="H238" s="44" t="s">
        <v>86</v>
      </c>
      <c r="I238" s="44" t="s">
        <v>969</v>
      </c>
      <c r="J238" s="44">
        <v>43559</v>
      </c>
      <c r="K238" s="91" t="s">
        <v>1033</v>
      </c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</row>
    <row r="239" spans="1:27" ht="15.75" customHeight="1">
      <c r="A239" s="45">
        <v>44200</v>
      </c>
      <c r="B239" s="64" t="s">
        <v>1036</v>
      </c>
      <c r="C239" s="46" t="s">
        <v>1027</v>
      </c>
      <c r="D239" s="33" t="s">
        <v>1037</v>
      </c>
      <c r="E239" s="90">
        <v>10000</v>
      </c>
      <c r="F239" s="33" t="s">
        <v>1038</v>
      </c>
      <c r="G239" s="44" t="s">
        <v>830</v>
      </c>
      <c r="H239" s="44" t="s">
        <v>86</v>
      </c>
      <c r="I239" s="44" t="s">
        <v>878</v>
      </c>
      <c r="J239" s="44">
        <v>43675</v>
      </c>
      <c r="K239" s="91" t="s">
        <v>1033</v>
      </c>
      <c r="L239" s="54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</row>
    <row r="240" spans="1:27" ht="15.75" customHeight="1">
      <c r="A240" s="45">
        <v>44200</v>
      </c>
      <c r="B240" s="64" t="s">
        <v>1052</v>
      </c>
      <c r="C240" s="46" t="s">
        <v>1027</v>
      </c>
      <c r="D240" s="33" t="s">
        <v>1037</v>
      </c>
      <c r="E240" s="90">
        <v>15000</v>
      </c>
      <c r="F240" s="33" t="s">
        <v>1053</v>
      </c>
      <c r="G240" s="44" t="s">
        <v>830</v>
      </c>
      <c r="H240" s="44" t="s">
        <v>86</v>
      </c>
      <c r="I240" s="44" t="s">
        <v>878</v>
      </c>
      <c r="J240" s="44">
        <v>43605</v>
      </c>
      <c r="K240" s="91" t="s">
        <v>1054</v>
      </c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</row>
    <row r="241" spans="1:47" ht="15.75" customHeight="1">
      <c r="A241" s="45">
        <v>44201</v>
      </c>
      <c r="B241" s="64" t="s">
        <v>1048</v>
      </c>
      <c r="C241" s="46" t="s">
        <v>1027</v>
      </c>
      <c r="D241" s="33" t="s">
        <v>1037</v>
      </c>
      <c r="E241" s="94">
        <v>100638.85</v>
      </c>
      <c r="F241" s="33" t="s">
        <v>1049</v>
      </c>
      <c r="G241" s="44" t="s">
        <v>830</v>
      </c>
      <c r="H241" s="44" t="s">
        <v>86</v>
      </c>
      <c r="I241" s="44" t="s">
        <v>878</v>
      </c>
      <c r="J241" s="44">
        <v>43703</v>
      </c>
      <c r="K241" s="91" t="s">
        <v>1033</v>
      </c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</row>
    <row r="242" spans="1:47" ht="15.75" customHeight="1">
      <c r="A242" s="45">
        <v>44201</v>
      </c>
      <c r="B242" s="64" t="s">
        <v>1150</v>
      </c>
      <c r="C242" s="46" t="s">
        <v>48</v>
      </c>
      <c r="D242" s="33" t="s">
        <v>1037</v>
      </c>
      <c r="E242" s="90">
        <v>5000</v>
      </c>
      <c r="F242" s="33" t="s">
        <v>1151</v>
      </c>
      <c r="G242" s="33" t="s">
        <v>830</v>
      </c>
      <c r="H242" s="33" t="s">
        <v>86</v>
      </c>
      <c r="I242" s="33" t="s">
        <v>830</v>
      </c>
      <c r="J242" s="44">
        <v>43901</v>
      </c>
      <c r="K242" s="92" t="s">
        <v>1122</v>
      </c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</row>
    <row r="243" spans="1:47" ht="15.75" customHeight="1">
      <c r="A243" s="45">
        <v>44201</v>
      </c>
      <c r="B243" s="64" t="s">
        <v>1187</v>
      </c>
      <c r="C243" s="46" t="s">
        <v>48</v>
      </c>
      <c r="D243" s="33" t="s">
        <v>1037</v>
      </c>
      <c r="E243" s="90">
        <v>13400</v>
      </c>
      <c r="F243" s="33" t="s">
        <v>1188</v>
      </c>
      <c r="G243" s="33" t="s">
        <v>830</v>
      </c>
      <c r="H243" s="33" t="s">
        <v>86</v>
      </c>
      <c r="I243" s="33" t="s">
        <v>830</v>
      </c>
      <c r="J243" s="44">
        <v>43847</v>
      </c>
      <c r="K243" s="92" t="s">
        <v>1041</v>
      </c>
      <c r="L243" s="99"/>
      <c r="M243" s="54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</row>
    <row r="244" spans="1:47" ht="15.75" customHeight="1">
      <c r="A244" s="45">
        <v>44202</v>
      </c>
      <c r="B244" s="96" t="s">
        <v>1189</v>
      </c>
      <c r="C244" s="46" t="s">
        <v>1027</v>
      </c>
      <c r="D244" s="33" t="s">
        <v>1062</v>
      </c>
      <c r="E244" s="90">
        <v>5000</v>
      </c>
      <c r="F244" s="33" t="s">
        <v>1190</v>
      </c>
      <c r="G244" s="44" t="s">
        <v>830</v>
      </c>
      <c r="H244" s="44" t="s">
        <v>86</v>
      </c>
      <c r="I244" s="44" t="s">
        <v>969</v>
      </c>
      <c r="J244" s="44">
        <v>43795</v>
      </c>
      <c r="K244" s="91" t="s">
        <v>1054</v>
      </c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</row>
    <row r="245" spans="1:47" ht="15.75" customHeight="1">
      <c r="A245" s="45">
        <v>44207</v>
      </c>
      <c r="B245" s="64" t="s">
        <v>1084</v>
      </c>
      <c r="C245" s="46" t="s">
        <v>1027</v>
      </c>
      <c r="D245" s="33" t="s">
        <v>1037</v>
      </c>
      <c r="E245" s="90">
        <v>14000</v>
      </c>
      <c r="F245" s="33" t="s">
        <v>1085</v>
      </c>
      <c r="G245" s="44" t="s">
        <v>830</v>
      </c>
      <c r="H245" s="44" t="s">
        <v>86</v>
      </c>
      <c r="I245" s="44" t="s">
        <v>878</v>
      </c>
      <c r="J245" s="44">
        <v>43894</v>
      </c>
      <c r="K245" s="91" t="s">
        <v>1054</v>
      </c>
      <c r="L245" s="54"/>
      <c r="M245" s="99"/>
      <c r="N245" s="54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</row>
    <row r="246" spans="1:47" ht="15.75" customHeight="1">
      <c r="A246" s="45">
        <v>44208</v>
      </c>
      <c r="B246" s="96" t="s">
        <v>1048</v>
      </c>
      <c r="C246" s="46" t="s">
        <v>1027</v>
      </c>
      <c r="D246" s="33" t="s">
        <v>1037</v>
      </c>
      <c r="E246" s="90">
        <v>10000</v>
      </c>
      <c r="F246" s="33" t="s">
        <v>1049</v>
      </c>
      <c r="G246" s="44" t="s">
        <v>830</v>
      </c>
      <c r="H246" s="44" t="s">
        <v>86</v>
      </c>
      <c r="I246" s="44" t="s">
        <v>878</v>
      </c>
      <c r="J246" s="44">
        <v>43703</v>
      </c>
      <c r="K246" s="91" t="s">
        <v>1033</v>
      </c>
      <c r="L246" s="100"/>
      <c r="M246" s="54"/>
      <c r="N246" s="99"/>
      <c r="O246" s="54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</row>
    <row r="247" spans="1:47" ht="15.75" customHeight="1">
      <c r="A247" s="45">
        <v>44209</v>
      </c>
      <c r="B247" s="64" t="s">
        <v>1093</v>
      </c>
      <c r="C247" s="46" t="s">
        <v>1027</v>
      </c>
      <c r="D247" s="33" t="s">
        <v>1037</v>
      </c>
      <c r="E247" s="90">
        <v>24000</v>
      </c>
      <c r="F247" s="33" t="s">
        <v>1094</v>
      </c>
      <c r="G247" s="44" t="s">
        <v>830</v>
      </c>
      <c r="H247" s="44" t="s">
        <v>86</v>
      </c>
      <c r="I247" s="44" t="s">
        <v>878</v>
      </c>
      <c r="J247" s="44">
        <v>43564</v>
      </c>
      <c r="K247" s="91" t="s">
        <v>1030</v>
      </c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</row>
    <row r="248" spans="1:47" ht="15.75" customHeight="1">
      <c r="A248" s="45">
        <v>44211</v>
      </c>
      <c r="B248" s="64" t="s">
        <v>1191</v>
      </c>
      <c r="C248" s="46" t="s">
        <v>1027</v>
      </c>
      <c r="D248" s="33" t="s">
        <v>1062</v>
      </c>
      <c r="E248" s="39">
        <v>100832.44</v>
      </c>
      <c r="F248" s="33" t="s">
        <v>1192</v>
      </c>
      <c r="G248" s="44" t="s">
        <v>830</v>
      </c>
      <c r="H248" s="44" t="s">
        <v>86</v>
      </c>
      <c r="I248" s="44" t="s">
        <v>878</v>
      </c>
      <c r="J248" s="44">
        <v>43725</v>
      </c>
      <c r="K248" s="91" t="s">
        <v>1033</v>
      </c>
      <c r="L248" s="54"/>
      <c r="M248" s="100"/>
      <c r="N248" s="54"/>
      <c r="O248" s="99"/>
      <c r="P248" s="54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</row>
    <row r="249" spans="1:47" ht="15.75" customHeight="1">
      <c r="A249" s="45">
        <v>44215</v>
      </c>
      <c r="B249" s="96" t="s">
        <v>1052</v>
      </c>
      <c r="C249" s="46" t="s">
        <v>1027</v>
      </c>
      <c r="D249" s="33" t="s">
        <v>1037</v>
      </c>
      <c r="E249" s="90">
        <v>50000</v>
      </c>
      <c r="F249" s="33" t="s">
        <v>1053</v>
      </c>
      <c r="G249" s="44" t="s">
        <v>830</v>
      </c>
      <c r="H249" s="44" t="s">
        <v>86</v>
      </c>
      <c r="I249" s="44" t="s">
        <v>878</v>
      </c>
      <c r="J249" s="44">
        <v>43605</v>
      </c>
      <c r="K249" s="91" t="s">
        <v>1054</v>
      </c>
      <c r="L249" s="54"/>
      <c r="M249" s="54"/>
      <c r="N249" s="100"/>
      <c r="O249" s="54"/>
      <c r="P249" s="99"/>
      <c r="Q249" s="54"/>
      <c r="R249" s="27"/>
      <c r="S249" s="27"/>
      <c r="T249" s="27"/>
      <c r="U249" s="27"/>
      <c r="V249" s="27"/>
      <c r="W249" s="27"/>
      <c r="X249" s="27"/>
      <c r="Y249" s="27"/>
      <c r="Z249" s="27"/>
      <c r="AA249" s="27"/>
    </row>
    <row r="250" spans="1:47" ht="15.75" customHeight="1">
      <c r="A250" s="45">
        <v>44217</v>
      </c>
      <c r="B250" s="64" t="s">
        <v>1193</v>
      </c>
      <c r="C250" s="46" t="s">
        <v>1027</v>
      </c>
      <c r="D250" s="33" t="s">
        <v>1037</v>
      </c>
      <c r="E250" s="90">
        <v>30000</v>
      </c>
      <c r="F250" s="33" t="s">
        <v>1194</v>
      </c>
      <c r="G250" s="44" t="s">
        <v>830</v>
      </c>
      <c r="H250" s="44" t="s">
        <v>86</v>
      </c>
      <c r="I250" s="44" t="s">
        <v>969</v>
      </c>
      <c r="J250" s="44">
        <v>43822</v>
      </c>
      <c r="K250" s="91" t="s">
        <v>1054</v>
      </c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</row>
    <row r="251" spans="1:47" ht="15.75" customHeight="1">
      <c r="A251" s="45">
        <v>44218</v>
      </c>
      <c r="B251" s="64" t="s">
        <v>1093</v>
      </c>
      <c r="C251" s="46" t="s">
        <v>1027</v>
      </c>
      <c r="D251" s="33" t="s">
        <v>1037</v>
      </c>
      <c r="E251" s="90">
        <v>13000</v>
      </c>
      <c r="F251" s="33" t="s">
        <v>1094</v>
      </c>
      <c r="G251" s="44" t="s">
        <v>830</v>
      </c>
      <c r="H251" s="44" t="s">
        <v>86</v>
      </c>
      <c r="I251" s="44" t="s">
        <v>878</v>
      </c>
      <c r="J251" s="44">
        <v>43564</v>
      </c>
      <c r="K251" s="91" t="s">
        <v>1030</v>
      </c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</row>
    <row r="252" spans="1:47" ht="15.75" customHeight="1">
      <c r="A252" s="45">
        <v>44221</v>
      </c>
      <c r="B252" s="64" t="s">
        <v>1052</v>
      </c>
      <c r="C252" s="46" t="s">
        <v>1027</v>
      </c>
      <c r="D252" s="33" t="s">
        <v>1037</v>
      </c>
      <c r="E252" s="90">
        <v>5000</v>
      </c>
      <c r="F252" s="33" t="s">
        <v>1053</v>
      </c>
      <c r="G252" s="44" t="s">
        <v>830</v>
      </c>
      <c r="H252" s="44" t="s">
        <v>86</v>
      </c>
      <c r="I252" s="44" t="s">
        <v>878</v>
      </c>
      <c r="J252" s="44">
        <v>43605</v>
      </c>
      <c r="K252" s="91" t="s">
        <v>1054</v>
      </c>
      <c r="L252" s="54"/>
      <c r="M252" s="54"/>
      <c r="N252" s="54"/>
      <c r="O252" s="100"/>
      <c r="P252" s="54"/>
      <c r="Q252" s="99"/>
      <c r="R252" s="54"/>
      <c r="S252" s="27"/>
      <c r="T252" s="27"/>
      <c r="U252" s="27"/>
      <c r="V252" s="27"/>
      <c r="W252" s="27"/>
      <c r="X252" s="27"/>
      <c r="Y252" s="27"/>
      <c r="Z252" s="27"/>
      <c r="AA252" s="27"/>
    </row>
    <row r="253" spans="1:47" ht="15.75" customHeight="1">
      <c r="A253" s="45">
        <v>44223</v>
      </c>
      <c r="B253" s="64" t="s">
        <v>1048</v>
      </c>
      <c r="C253" s="46" t="s">
        <v>1027</v>
      </c>
      <c r="D253" s="33" t="s">
        <v>1037</v>
      </c>
      <c r="E253" s="90">
        <v>3000</v>
      </c>
      <c r="F253" s="33" t="s">
        <v>1049</v>
      </c>
      <c r="G253" s="44" t="s">
        <v>830</v>
      </c>
      <c r="H253" s="44" t="s">
        <v>86</v>
      </c>
      <c r="I253" s="44" t="s">
        <v>878</v>
      </c>
      <c r="J253" s="44">
        <v>43703</v>
      </c>
      <c r="K253" s="91" t="s">
        <v>1033</v>
      </c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</row>
    <row r="254" spans="1:47" ht="15.75" customHeight="1">
      <c r="A254" s="45">
        <v>44228</v>
      </c>
      <c r="B254" s="64" t="s">
        <v>1036</v>
      </c>
      <c r="C254" s="46" t="s">
        <v>1027</v>
      </c>
      <c r="D254" s="33" t="s">
        <v>1037</v>
      </c>
      <c r="E254" s="90">
        <v>37000</v>
      </c>
      <c r="F254" s="33" t="s">
        <v>1038</v>
      </c>
      <c r="G254" s="44" t="s">
        <v>830</v>
      </c>
      <c r="H254" s="44" t="s">
        <v>86</v>
      </c>
      <c r="I254" s="44" t="s">
        <v>878</v>
      </c>
      <c r="J254" s="44">
        <v>43675</v>
      </c>
      <c r="K254" s="91" t="s">
        <v>1033</v>
      </c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</row>
    <row r="255" spans="1:47" ht="15.75" customHeight="1">
      <c r="A255" s="44">
        <v>44229</v>
      </c>
      <c r="B255" s="57" t="s">
        <v>1195</v>
      </c>
      <c r="C255" s="33" t="s">
        <v>48</v>
      </c>
      <c r="D255" s="33" t="s">
        <v>1028</v>
      </c>
      <c r="E255" s="90">
        <v>0</v>
      </c>
      <c r="F255" s="33" t="s">
        <v>1196</v>
      </c>
      <c r="G255" s="33" t="s">
        <v>835</v>
      </c>
      <c r="H255" s="33" t="s">
        <v>86</v>
      </c>
      <c r="I255" s="33" t="s">
        <v>839</v>
      </c>
      <c r="J255" s="44">
        <v>44167</v>
      </c>
      <c r="K255" s="92" t="s">
        <v>1030</v>
      </c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</row>
    <row r="256" spans="1:47" ht="15.75" customHeight="1">
      <c r="A256" s="45">
        <v>44229</v>
      </c>
      <c r="B256" s="64" t="s">
        <v>1160</v>
      </c>
      <c r="C256" s="46" t="s">
        <v>1027</v>
      </c>
      <c r="D256" s="33" t="s">
        <v>1037</v>
      </c>
      <c r="E256" s="90">
        <v>49992.45</v>
      </c>
      <c r="F256" s="33" t="s">
        <v>1161</v>
      </c>
      <c r="G256" s="44" t="s">
        <v>830</v>
      </c>
      <c r="H256" s="44" t="s">
        <v>86</v>
      </c>
      <c r="I256" s="44" t="s">
        <v>878</v>
      </c>
      <c r="J256" s="44">
        <v>43873</v>
      </c>
      <c r="K256" s="91" t="s">
        <v>1041</v>
      </c>
      <c r="L256" s="54"/>
      <c r="M256" s="54"/>
      <c r="N256" s="54"/>
      <c r="O256" s="100"/>
      <c r="P256" s="54"/>
      <c r="Q256" s="99"/>
      <c r="R256" s="54"/>
      <c r="S256" s="27"/>
      <c r="T256" s="27"/>
      <c r="U256" s="27"/>
      <c r="V256" s="27"/>
      <c r="W256" s="27"/>
      <c r="X256" s="27"/>
      <c r="Y256" s="27"/>
      <c r="Z256" s="27"/>
      <c r="AA256" s="27"/>
      <c r="AF256" s="27"/>
      <c r="AG256" s="27"/>
      <c r="AH256" s="27"/>
      <c r="AI256" s="27"/>
      <c r="AJ256" s="27"/>
      <c r="AK256" s="27"/>
      <c r="AL256" s="27"/>
      <c r="AM256" s="27"/>
      <c r="AN256" s="27"/>
      <c r="AO256" s="27"/>
      <c r="AP256" s="27"/>
      <c r="AQ256" s="27"/>
      <c r="AR256" s="27"/>
      <c r="AS256" s="27"/>
      <c r="AT256" s="27"/>
      <c r="AU256" s="27"/>
    </row>
    <row r="257" spans="1:47" ht="15.75" customHeight="1">
      <c r="A257" s="45">
        <v>44230</v>
      </c>
      <c r="B257" s="64" t="s">
        <v>1042</v>
      </c>
      <c r="C257" s="46" t="s">
        <v>48</v>
      </c>
      <c r="D257" s="33" t="s">
        <v>1037</v>
      </c>
      <c r="E257" s="90">
        <v>80000</v>
      </c>
      <c r="F257" s="33" t="s">
        <v>776</v>
      </c>
      <c r="G257" s="33" t="s">
        <v>830</v>
      </c>
      <c r="H257" s="33" t="s">
        <v>86</v>
      </c>
      <c r="I257" s="33" t="s">
        <v>830</v>
      </c>
      <c r="J257" s="44">
        <v>43749</v>
      </c>
      <c r="K257" s="92" t="s">
        <v>1033</v>
      </c>
      <c r="L257" s="54"/>
      <c r="M257" s="54"/>
      <c r="N257" s="54"/>
      <c r="O257" s="54"/>
      <c r="P257" s="100"/>
      <c r="Q257" s="54"/>
      <c r="R257" s="99"/>
      <c r="S257" s="54"/>
      <c r="T257" s="27"/>
      <c r="U257" s="27"/>
      <c r="V257" s="27"/>
      <c r="W257" s="27"/>
      <c r="X257" s="27"/>
      <c r="Y257" s="27"/>
      <c r="Z257" s="27"/>
      <c r="AA257" s="27"/>
      <c r="AF257" s="27"/>
      <c r="AG257" s="27"/>
      <c r="AH257" s="27"/>
      <c r="AI257" s="27"/>
      <c r="AJ257" s="27"/>
      <c r="AK257" s="27"/>
      <c r="AL257" s="27"/>
      <c r="AM257" s="27"/>
      <c r="AN257" s="27"/>
      <c r="AO257" s="27"/>
      <c r="AP257" s="27"/>
      <c r="AQ257" s="27"/>
      <c r="AR257" s="27"/>
      <c r="AS257" s="27"/>
      <c r="AT257" s="27"/>
      <c r="AU257" s="27"/>
    </row>
    <row r="258" spans="1:47" ht="15.75" customHeight="1">
      <c r="A258" s="45">
        <v>44230</v>
      </c>
      <c r="B258" s="64" t="s">
        <v>1144</v>
      </c>
      <c r="C258" s="46" t="s">
        <v>48</v>
      </c>
      <c r="D258" s="33" t="s">
        <v>1037</v>
      </c>
      <c r="E258" s="90">
        <v>5000</v>
      </c>
      <c r="F258" s="33" t="s">
        <v>1145</v>
      </c>
      <c r="G258" s="33" t="s">
        <v>830</v>
      </c>
      <c r="H258" s="33" t="s">
        <v>86</v>
      </c>
      <c r="I258" s="33" t="s">
        <v>830</v>
      </c>
      <c r="J258" s="44">
        <v>44043</v>
      </c>
      <c r="K258" s="92" t="s">
        <v>1041</v>
      </c>
      <c r="L258" s="54"/>
      <c r="M258" s="54"/>
      <c r="N258" s="54"/>
      <c r="O258" s="54"/>
      <c r="P258" s="54"/>
      <c r="Q258" s="100"/>
      <c r="R258" s="54"/>
      <c r="S258" s="99"/>
      <c r="T258" s="54"/>
      <c r="U258" s="27"/>
      <c r="V258" s="27"/>
      <c r="W258" s="27"/>
      <c r="X258" s="27"/>
      <c r="Y258" s="27"/>
      <c r="Z258" s="27"/>
      <c r="AA258" s="27"/>
      <c r="AF258" s="27"/>
      <c r="AG258" s="27"/>
      <c r="AH258" s="27"/>
      <c r="AI258" s="27"/>
      <c r="AJ258" s="27"/>
      <c r="AK258" s="27"/>
      <c r="AL258" s="27"/>
      <c r="AM258" s="27"/>
      <c r="AN258" s="27"/>
      <c r="AO258" s="27"/>
      <c r="AP258" s="27"/>
      <c r="AQ258" s="27"/>
      <c r="AR258" s="27"/>
      <c r="AS258" s="27"/>
      <c r="AT258" s="27"/>
      <c r="AU258" s="27"/>
    </row>
    <row r="259" spans="1:47" ht="15.75" customHeight="1">
      <c r="A259" s="45">
        <v>44230</v>
      </c>
      <c r="B259" s="64" t="s">
        <v>1102</v>
      </c>
      <c r="C259" s="46" t="s">
        <v>1027</v>
      </c>
      <c r="D259" s="33" t="s">
        <v>1037</v>
      </c>
      <c r="E259" s="90">
        <v>100000</v>
      </c>
      <c r="F259" s="33" t="s">
        <v>1103</v>
      </c>
      <c r="G259" s="44" t="s">
        <v>830</v>
      </c>
      <c r="H259" s="44" t="s">
        <v>86</v>
      </c>
      <c r="I259" s="44" t="s">
        <v>878</v>
      </c>
      <c r="J259" s="44">
        <v>43888</v>
      </c>
      <c r="K259" s="91" t="s">
        <v>1041</v>
      </c>
      <c r="L259" s="54"/>
      <c r="M259" s="54"/>
      <c r="N259" s="54"/>
      <c r="O259" s="54"/>
      <c r="P259" s="54"/>
      <c r="Q259" s="100"/>
      <c r="R259" s="54"/>
      <c r="S259" s="99"/>
      <c r="T259" s="54"/>
      <c r="U259" s="27"/>
      <c r="V259" s="27"/>
      <c r="W259" s="27"/>
      <c r="X259" s="27"/>
      <c r="Y259" s="27"/>
      <c r="Z259" s="27"/>
      <c r="AA259" s="27"/>
      <c r="AF259" s="27"/>
      <c r="AG259" s="27"/>
      <c r="AH259" s="27"/>
      <c r="AI259" s="27"/>
      <c r="AJ259" s="27"/>
      <c r="AK259" s="27"/>
      <c r="AL259" s="27"/>
      <c r="AM259" s="27"/>
      <c r="AN259" s="27"/>
      <c r="AO259" s="27"/>
      <c r="AP259" s="27"/>
      <c r="AQ259" s="27"/>
      <c r="AR259" s="27"/>
      <c r="AS259" s="27"/>
      <c r="AT259" s="27"/>
      <c r="AU259" s="27"/>
    </row>
    <row r="260" spans="1:47" ht="15.75" customHeight="1">
      <c r="A260" s="45">
        <v>44235</v>
      </c>
      <c r="B260" s="64" t="s">
        <v>1075</v>
      </c>
      <c r="C260" s="46" t="s">
        <v>1076</v>
      </c>
      <c r="D260" s="33" t="s">
        <v>1037</v>
      </c>
      <c r="E260" s="90">
        <v>75000</v>
      </c>
      <c r="F260" s="33" t="s">
        <v>1077</v>
      </c>
      <c r="G260" s="44" t="s">
        <v>835</v>
      </c>
      <c r="H260" s="44" t="s">
        <v>86</v>
      </c>
      <c r="I260" s="44" t="s">
        <v>845</v>
      </c>
      <c r="J260" s="44">
        <v>43797</v>
      </c>
      <c r="K260" s="91" t="s">
        <v>1054</v>
      </c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F260" s="27"/>
      <c r="AG260" s="27"/>
      <c r="AH260" s="27"/>
      <c r="AI260" s="27"/>
      <c r="AJ260" s="27"/>
      <c r="AK260" s="27"/>
      <c r="AL260" s="27"/>
      <c r="AM260" s="27"/>
      <c r="AN260" s="27"/>
      <c r="AO260" s="27"/>
      <c r="AP260" s="27"/>
      <c r="AQ260" s="27"/>
      <c r="AR260" s="27"/>
      <c r="AS260" s="27"/>
      <c r="AT260" s="27"/>
      <c r="AU260" s="27"/>
    </row>
    <row r="261" spans="1:47" ht="15.75" customHeight="1">
      <c r="A261" s="45">
        <v>44236</v>
      </c>
      <c r="B261" s="64" t="s">
        <v>1197</v>
      </c>
      <c r="C261" s="46" t="s">
        <v>48</v>
      </c>
      <c r="D261" s="33" t="s">
        <v>1037</v>
      </c>
      <c r="E261" s="90">
        <v>40000</v>
      </c>
      <c r="F261" s="33" t="s">
        <v>1198</v>
      </c>
      <c r="G261" s="33" t="s">
        <v>835</v>
      </c>
      <c r="H261" s="33" t="s">
        <v>86</v>
      </c>
      <c r="I261" s="33" t="s">
        <v>997</v>
      </c>
      <c r="J261" s="44">
        <v>44089</v>
      </c>
      <c r="K261" s="92" t="s">
        <v>1179</v>
      </c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 t="s">
        <v>1028</v>
      </c>
      <c r="AF261" s="27"/>
      <c r="AG261" s="27"/>
      <c r="AH261" s="27"/>
      <c r="AI261" s="27"/>
      <c r="AJ261" s="27"/>
      <c r="AK261" s="27"/>
      <c r="AL261" s="27"/>
      <c r="AM261" s="27"/>
      <c r="AN261" s="27"/>
      <c r="AO261" s="27"/>
      <c r="AP261" s="27"/>
      <c r="AQ261" s="27"/>
      <c r="AR261" s="27"/>
      <c r="AS261" s="27"/>
      <c r="AT261" s="27"/>
      <c r="AU261" s="27"/>
    </row>
    <row r="262" spans="1:47" ht="15.75" customHeight="1">
      <c r="A262" s="45">
        <v>44237</v>
      </c>
      <c r="B262" s="64" t="s">
        <v>1150</v>
      </c>
      <c r="C262" s="46" t="s">
        <v>48</v>
      </c>
      <c r="D262" s="33" t="s">
        <v>1037</v>
      </c>
      <c r="E262" s="90">
        <v>60000</v>
      </c>
      <c r="F262" s="33" t="s">
        <v>1151</v>
      </c>
      <c r="G262" s="33" t="s">
        <v>830</v>
      </c>
      <c r="H262" s="33" t="s">
        <v>86</v>
      </c>
      <c r="I262" s="33" t="s">
        <v>830</v>
      </c>
      <c r="J262" s="44">
        <v>43901</v>
      </c>
      <c r="K262" s="92" t="s">
        <v>1122</v>
      </c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 t="s">
        <v>1062</v>
      </c>
      <c r="AF262" s="27"/>
      <c r="AG262" s="27"/>
      <c r="AH262" s="27"/>
      <c r="AI262" s="27"/>
      <c r="AJ262" s="27"/>
      <c r="AK262" s="27"/>
      <c r="AL262" s="27"/>
      <c r="AM262" s="27"/>
      <c r="AN262" s="27"/>
      <c r="AO262" s="27"/>
      <c r="AP262" s="27"/>
      <c r="AQ262" s="27"/>
      <c r="AR262" s="27"/>
      <c r="AS262" s="27"/>
      <c r="AT262" s="27"/>
      <c r="AU262" s="27"/>
    </row>
    <row r="263" spans="1:47" ht="15.75" customHeight="1">
      <c r="A263" s="45">
        <v>44239</v>
      </c>
      <c r="B263" s="64" t="s">
        <v>1199</v>
      </c>
      <c r="C263" s="46" t="s">
        <v>1027</v>
      </c>
      <c r="D263" s="33" t="s">
        <v>1037</v>
      </c>
      <c r="E263" s="90">
        <v>0</v>
      </c>
      <c r="F263" s="33" t="s">
        <v>1200</v>
      </c>
      <c r="G263" s="44" t="s">
        <v>830</v>
      </c>
      <c r="H263" s="44" t="s">
        <v>86</v>
      </c>
      <c r="I263" s="44" t="s">
        <v>878</v>
      </c>
      <c r="J263" s="44">
        <v>43888</v>
      </c>
      <c r="K263" s="91" t="s">
        <v>1054</v>
      </c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 t="s">
        <v>1037</v>
      </c>
      <c r="AF263" s="27"/>
      <c r="AG263" s="27"/>
      <c r="AH263" s="27"/>
      <c r="AI263" s="27"/>
      <c r="AJ263" s="27"/>
      <c r="AK263" s="27"/>
      <c r="AL263" s="27"/>
      <c r="AM263" s="27"/>
      <c r="AN263" s="27"/>
      <c r="AO263" s="27"/>
      <c r="AP263" s="27"/>
      <c r="AQ263" s="27"/>
      <c r="AR263" s="27"/>
      <c r="AS263" s="27"/>
      <c r="AT263" s="27"/>
      <c r="AU263" s="27"/>
    </row>
    <row r="264" spans="1:47" ht="15.75" customHeight="1">
      <c r="A264" s="45">
        <v>44246</v>
      </c>
      <c r="B264" s="64" t="s">
        <v>1201</v>
      </c>
      <c r="C264" s="46" t="s">
        <v>48</v>
      </c>
      <c r="D264" s="33" t="s">
        <v>1037</v>
      </c>
      <c r="E264" s="90">
        <v>147535.35999999999</v>
      </c>
      <c r="F264" s="33" t="s">
        <v>1202</v>
      </c>
      <c r="G264" s="33" t="s">
        <v>830</v>
      </c>
      <c r="H264" s="33" t="s">
        <v>86</v>
      </c>
      <c r="I264" s="33" t="s">
        <v>830</v>
      </c>
      <c r="J264" s="44">
        <v>44180</v>
      </c>
      <c r="K264" s="92" t="s">
        <v>1041</v>
      </c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F264" s="27"/>
      <c r="AG264" s="27"/>
      <c r="AH264" s="27"/>
      <c r="AI264" s="27"/>
      <c r="AJ264" s="27"/>
      <c r="AK264" s="27"/>
      <c r="AL264" s="27"/>
      <c r="AM264" s="27"/>
      <c r="AN264" s="27"/>
      <c r="AO264" s="27"/>
      <c r="AP264" s="27"/>
      <c r="AQ264" s="27"/>
      <c r="AR264" s="27"/>
      <c r="AS264" s="27"/>
      <c r="AT264" s="27"/>
      <c r="AU264" s="27"/>
    </row>
    <row r="265" spans="1:47" ht="15.75" customHeight="1">
      <c r="A265" s="45">
        <v>44246</v>
      </c>
      <c r="B265" s="64" t="s">
        <v>1082</v>
      </c>
      <c r="C265" s="46" t="s">
        <v>1027</v>
      </c>
      <c r="D265" s="33" t="s">
        <v>1037</v>
      </c>
      <c r="E265" s="90">
        <v>10000</v>
      </c>
      <c r="F265" s="33" t="s">
        <v>1083</v>
      </c>
      <c r="G265" s="44" t="s">
        <v>830</v>
      </c>
      <c r="H265" s="44" t="s">
        <v>86</v>
      </c>
      <c r="I265" s="44" t="s">
        <v>878</v>
      </c>
      <c r="J265" s="44">
        <v>43717</v>
      </c>
      <c r="K265" s="91" t="s">
        <v>1033</v>
      </c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F265" s="27"/>
      <c r="AG265" s="27"/>
      <c r="AH265" s="27"/>
      <c r="AI265" s="27"/>
      <c r="AJ265" s="27"/>
      <c r="AK265" s="27"/>
      <c r="AL265" s="27"/>
      <c r="AM265" s="27"/>
      <c r="AN265" s="27"/>
      <c r="AO265" s="27"/>
      <c r="AP265" s="27"/>
      <c r="AQ265" s="27"/>
      <c r="AR265" s="27"/>
      <c r="AS265" s="27"/>
      <c r="AT265" s="27"/>
      <c r="AU265" s="27"/>
    </row>
    <row r="266" spans="1:47" ht="15.75" customHeight="1">
      <c r="A266" s="45">
        <v>44251</v>
      </c>
      <c r="B266" s="64" t="s">
        <v>1203</v>
      </c>
      <c r="C266" s="46" t="s">
        <v>1027</v>
      </c>
      <c r="D266" s="33" t="s">
        <v>1037</v>
      </c>
      <c r="E266" s="90">
        <v>7000</v>
      </c>
      <c r="F266" s="33" t="s">
        <v>1204</v>
      </c>
      <c r="G266" s="44" t="s">
        <v>835</v>
      </c>
      <c r="H266" s="44" t="s">
        <v>86</v>
      </c>
      <c r="I266" s="44" t="s">
        <v>920</v>
      </c>
      <c r="J266" s="44">
        <v>43417</v>
      </c>
      <c r="K266" s="91" t="s">
        <v>1205</v>
      </c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F266" s="27"/>
      <c r="AG266" s="27"/>
      <c r="AH266" s="27"/>
      <c r="AI266" s="27"/>
      <c r="AJ266" s="27"/>
      <c r="AK266" s="27"/>
      <c r="AL266" s="27"/>
      <c r="AM266" s="27"/>
      <c r="AN266" s="27"/>
      <c r="AO266" s="27"/>
      <c r="AP266" s="27"/>
      <c r="AQ266" s="27"/>
      <c r="AR266" s="27"/>
      <c r="AS266" s="27"/>
      <c r="AT266" s="27"/>
      <c r="AU266" s="27"/>
    </row>
    <row r="267" spans="1:47" ht="15.75" customHeight="1">
      <c r="A267" s="44">
        <v>44252</v>
      </c>
      <c r="B267" s="57" t="s">
        <v>1058</v>
      </c>
      <c r="C267" s="33" t="s">
        <v>48</v>
      </c>
      <c r="D267" s="33" t="s">
        <v>1028</v>
      </c>
      <c r="E267" s="90">
        <v>0</v>
      </c>
      <c r="F267" s="33" t="s">
        <v>1059</v>
      </c>
      <c r="G267" s="33" t="s">
        <v>830</v>
      </c>
      <c r="H267" s="33" t="s">
        <v>86</v>
      </c>
      <c r="I267" s="33" t="s">
        <v>830</v>
      </c>
      <c r="J267" s="44">
        <v>44252</v>
      </c>
      <c r="K267" s="92" t="s">
        <v>1054</v>
      </c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F267" s="27"/>
      <c r="AG267" s="27"/>
      <c r="AH267" s="27"/>
      <c r="AI267" s="27"/>
      <c r="AJ267" s="27"/>
      <c r="AK267" s="27"/>
      <c r="AL267" s="27"/>
      <c r="AM267" s="27"/>
      <c r="AN267" s="27"/>
      <c r="AO267" s="27"/>
      <c r="AP267" s="27"/>
      <c r="AQ267" s="27"/>
      <c r="AR267" s="27"/>
      <c r="AS267" s="27"/>
      <c r="AT267" s="27"/>
      <c r="AU267" s="27"/>
    </row>
    <row r="268" spans="1:47" ht="15.75" customHeight="1">
      <c r="A268" s="45">
        <v>44252</v>
      </c>
      <c r="B268" s="64" t="s">
        <v>1078</v>
      </c>
      <c r="C268" s="46" t="s">
        <v>48</v>
      </c>
      <c r="D268" s="33" t="s">
        <v>1037</v>
      </c>
      <c r="E268" s="90">
        <v>359512.5</v>
      </c>
      <c r="F268" s="33" t="s">
        <v>1079</v>
      </c>
      <c r="G268" s="33" t="s">
        <v>830</v>
      </c>
      <c r="H268" s="33" t="s">
        <v>86</v>
      </c>
      <c r="I268" s="33" t="s">
        <v>830</v>
      </c>
      <c r="J268" s="44">
        <v>44225</v>
      </c>
      <c r="K268" s="92" t="s">
        <v>1041</v>
      </c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F268" s="27"/>
      <c r="AG268" s="27"/>
      <c r="AH268" s="27"/>
      <c r="AI268" s="27"/>
      <c r="AJ268" s="27"/>
      <c r="AK268" s="27"/>
      <c r="AL268" s="27"/>
      <c r="AM268" s="27"/>
      <c r="AN268" s="27"/>
      <c r="AO268" s="27"/>
      <c r="AP268" s="27"/>
      <c r="AQ268" s="27"/>
      <c r="AR268" s="27"/>
      <c r="AS268" s="27"/>
      <c r="AT268" s="27"/>
      <c r="AU268" s="27"/>
    </row>
    <row r="269" spans="1:47" ht="15.75" customHeight="1">
      <c r="A269" s="45">
        <v>44252</v>
      </c>
      <c r="B269" s="64" t="s">
        <v>1042</v>
      </c>
      <c r="C269" s="46" t="s">
        <v>48</v>
      </c>
      <c r="D269" s="33" t="s">
        <v>1037</v>
      </c>
      <c r="E269" s="90">
        <v>0</v>
      </c>
      <c r="F269" s="33" t="s">
        <v>776</v>
      </c>
      <c r="G269" s="33" t="s">
        <v>830</v>
      </c>
      <c r="H269" s="33" t="s">
        <v>86</v>
      </c>
      <c r="I269" s="33" t="s">
        <v>830</v>
      </c>
      <c r="J269" s="44">
        <v>43749</v>
      </c>
      <c r="K269" s="92" t="s">
        <v>1033</v>
      </c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F269" s="27"/>
      <c r="AG269" s="27"/>
      <c r="AH269" s="27"/>
      <c r="AI269" s="27"/>
      <c r="AJ269" s="27"/>
      <c r="AK269" s="27"/>
      <c r="AL269" s="27"/>
      <c r="AM269" s="27"/>
      <c r="AN269" s="27"/>
      <c r="AO269" s="27"/>
      <c r="AP269" s="27"/>
      <c r="AQ269" s="27"/>
      <c r="AR269" s="27"/>
      <c r="AS269" s="27"/>
      <c r="AT269" s="27"/>
      <c r="AU269" s="27"/>
    </row>
    <row r="270" spans="1:47" ht="15.75" customHeight="1">
      <c r="A270" s="45">
        <v>44252</v>
      </c>
      <c r="B270" s="64" t="s">
        <v>1144</v>
      </c>
      <c r="C270" s="46" t="s">
        <v>48</v>
      </c>
      <c r="D270" s="33" t="s">
        <v>1037</v>
      </c>
      <c r="E270" s="90">
        <v>30000</v>
      </c>
      <c r="F270" s="33" t="s">
        <v>1145</v>
      </c>
      <c r="G270" s="33" t="s">
        <v>830</v>
      </c>
      <c r="H270" s="33" t="s">
        <v>86</v>
      </c>
      <c r="I270" s="33" t="s">
        <v>830</v>
      </c>
      <c r="J270" s="44">
        <v>44043</v>
      </c>
      <c r="K270" s="92" t="s">
        <v>1041</v>
      </c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F270" s="27"/>
      <c r="AG270" s="27"/>
      <c r="AH270" s="27"/>
      <c r="AI270" s="27"/>
      <c r="AJ270" s="27"/>
      <c r="AK270" s="27"/>
      <c r="AL270" s="27"/>
      <c r="AM270" s="27"/>
      <c r="AN270" s="27"/>
      <c r="AO270" s="27"/>
      <c r="AP270" s="27"/>
      <c r="AQ270" s="27"/>
      <c r="AR270" s="27"/>
      <c r="AS270" s="27"/>
      <c r="AT270" s="27"/>
      <c r="AU270" s="27"/>
    </row>
    <row r="271" spans="1:47" ht="15.75" customHeight="1">
      <c r="A271" s="44">
        <v>44253</v>
      </c>
      <c r="B271" s="57" t="s">
        <v>1206</v>
      </c>
      <c r="C271" s="33" t="s">
        <v>48</v>
      </c>
      <c r="D271" s="33" t="s">
        <v>1028</v>
      </c>
      <c r="E271" s="90">
        <v>0</v>
      </c>
      <c r="F271" s="33" t="s">
        <v>1207</v>
      </c>
      <c r="G271" s="33" t="s">
        <v>904</v>
      </c>
      <c r="H271" s="33" t="s">
        <v>86</v>
      </c>
      <c r="I271" s="33" t="s">
        <v>908</v>
      </c>
      <c r="J271" s="44">
        <v>44183</v>
      </c>
      <c r="K271" s="92" t="s">
        <v>1041</v>
      </c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F271" s="27"/>
      <c r="AG271" s="27"/>
      <c r="AH271" s="27"/>
      <c r="AI271" s="27"/>
      <c r="AJ271" s="27"/>
      <c r="AK271" s="27"/>
      <c r="AL271" s="27"/>
      <c r="AM271" s="27"/>
      <c r="AN271" s="27"/>
      <c r="AO271" s="27"/>
      <c r="AP271" s="27"/>
      <c r="AQ271" s="27"/>
      <c r="AR271" s="27"/>
      <c r="AS271" s="27"/>
      <c r="AT271" s="27"/>
      <c r="AU271" s="27"/>
    </row>
    <row r="272" spans="1:47" ht="15.75" customHeight="1">
      <c r="A272" s="45">
        <v>44253</v>
      </c>
      <c r="B272" s="64" t="s">
        <v>1208</v>
      </c>
      <c r="C272" s="46" t="s">
        <v>48</v>
      </c>
      <c r="D272" s="33" t="s">
        <v>1037</v>
      </c>
      <c r="E272" s="90">
        <v>600000</v>
      </c>
      <c r="F272" s="33" t="s">
        <v>1209</v>
      </c>
      <c r="G272" s="33" t="s">
        <v>904</v>
      </c>
      <c r="H272" s="33" t="s">
        <v>86</v>
      </c>
      <c r="I272" s="33" t="s">
        <v>894</v>
      </c>
      <c r="J272" s="44">
        <v>44067</v>
      </c>
      <c r="K272" s="92" t="s">
        <v>1030</v>
      </c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F272" s="27"/>
      <c r="AG272" s="27"/>
      <c r="AH272" s="27"/>
      <c r="AI272" s="27"/>
      <c r="AJ272" s="27"/>
      <c r="AK272" s="27"/>
      <c r="AL272" s="27"/>
      <c r="AM272" s="27"/>
      <c r="AN272" s="27"/>
      <c r="AO272" s="27"/>
      <c r="AP272" s="27"/>
      <c r="AQ272" s="27"/>
      <c r="AR272" s="27"/>
      <c r="AS272" s="27"/>
      <c r="AT272" s="27"/>
      <c r="AU272" s="27"/>
    </row>
    <row r="273" spans="1:47" ht="15.75" customHeight="1">
      <c r="A273" s="45">
        <v>44253</v>
      </c>
      <c r="B273" s="64" t="s">
        <v>1206</v>
      </c>
      <c r="C273" s="46" t="s">
        <v>48</v>
      </c>
      <c r="D273" s="33" t="s">
        <v>1037</v>
      </c>
      <c r="E273" s="90">
        <v>33961.75</v>
      </c>
      <c r="F273" s="33" t="s">
        <v>1207</v>
      </c>
      <c r="G273" s="33" t="s">
        <v>904</v>
      </c>
      <c r="H273" s="33" t="s">
        <v>86</v>
      </c>
      <c r="I273" s="33" t="s">
        <v>908</v>
      </c>
      <c r="J273" s="44">
        <v>44183</v>
      </c>
      <c r="K273" s="92" t="s">
        <v>1041</v>
      </c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F273" s="27"/>
      <c r="AG273" s="27"/>
      <c r="AH273" s="27"/>
      <c r="AI273" s="27"/>
      <c r="AJ273" s="27"/>
      <c r="AK273" s="27"/>
      <c r="AL273" s="27"/>
      <c r="AM273" s="27"/>
      <c r="AN273" s="27"/>
      <c r="AO273" s="27"/>
      <c r="AP273" s="27"/>
      <c r="AQ273" s="27"/>
      <c r="AR273" s="27"/>
      <c r="AS273" s="27"/>
      <c r="AT273" s="27"/>
      <c r="AU273" s="27"/>
    </row>
    <row r="274" spans="1:47" ht="15.75" customHeight="1">
      <c r="A274" s="45">
        <v>44258</v>
      </c>
      <c r="B274" s="64" t="s">
        <v>1065</v>
      </c>
      <c r="C274" s="46" t="s">
        <v>1027</v>
      </c>
      <c r="D274" s="33" t="s">
        <v>1037</v>
      </c>
      <c r="E274" s="90">
        <v>47591.43</v>
      </c>
      <c r="F274" s="33" t="s">
        <v>1066</v>
      </c>
      <c r="G274" s="44" t="s">
        <v>830</v>
      </c>
      <c r="H274" s="44" t="s">
        <v>86</v>
      </c>
      <c r="I274" s="44" t="s">
        <v>969</v>
      </c>
      <c r="J274" s="44">
        <v>43559</v>
      </c>
      <c r="K274" s="91" t="s">
        <v>1033</v>
      </c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F274" s="27"/>
      <c r="AG274" s="27"/>
      <c r="AH274" s="27"/>
      <c r="AI274" s="27"/>
      <c r="AJ274" s="27"/>
      <c r="AK274" s="27"/>
      <c r="AL274" s="27"/>
      <c r="AM274" s="27"/>
      <c r="AN274" s="27"/>
      <c r="AO274" s="27"/>
      <c r="AP274" s="27"/>
      <c r="AQ274" s="27"/>
      <c r="AR274" s="27"/>
      <c r="AS274" s="27"/>
      <c r="AT274" s="27"/>
      <c r="AU274" s="27"/>
    </row>
    <row r="275" spans="1:47" ht="15.75" customHeight="1">
      <c r="A275" s="45">
        <v>44258</v>
      </c>
      <c r="B275" s="64" t="s">
        <v>1210</v>
      </c>
      <c r="C275" s="46" t="s">
        <v>1027</v>
      </c>
      <c r="D275" s="33" t="s">
        <v>1062</v>
      </c>
      <c r="E275" s="90">
        <v>5000</v>
      </c>
      <c r="F275" s="33" t="s">
        <v>1211</v>
      </c>
      <c r="G275" s="44" t="s">
        <v>835</v>
      </c>
      <c r="H275" s="44" t="s">
        <v>86</v>
      </c>
      <c r="I275" s="44" t="s">
        <v>920</v>
      </c>
      <c r="J275" s="44">
        <v>43416</v>
      </c>
      <c r="K275" s="91" t="s">
        <v>1030</v>
      </c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F275" s="27"/>
      <c r="AG275" s="27"/>
      <c r="AH275" s="27"/>
      <c r="AI275" s="27"/>
      <c r="AJ275" s="27"/>
      <c r="AK275" s="27"/>
      <c r="AL275" s="27"/>
      <c r="AM275" s="27"/>
      <c r="AN275" s="27"/>
      <c r="AO275" s="27"/>
      <c r="AP275" s="27"/>
      <c r="AQ275" s="27"/>
      <c r="AR275" s="27"/>
      <c r="AS275" s="27"/>
      <c r="AT275" s="27"/>
      <c r="AU275" s="27"/>
    </row>
    <row r="276" spans="1:47" ht="15.75" customHeight="1">
      <c r="A276" s="45">
        <v>44258</v>
      </c>
      <c r="B276" s="64" t="s">
        <v>1075</v>
      </c>
      <c r="C276" s="46" t="s">
        <v>1076</v>
      </c>
      <c r="D276" s="33" t="s">
        <v>1062</v>
      </c>
      <c r="E276" s="90">
        <v>721960.02</v>
      </c>
      <c r="F276" s="33" t="s">
        <v>1077</v>
      </c>
      <c r="G276" s="44" t="s">
        <v>835</v>
      </c>
      <c r="H276" s="44" t="s">
        <v>86</v>
      </c>
      <c r="I276" s="44" t="s">
        <v>845</v>
      </c>
      <c r="J276" s="44">
        <v>43797</v>
      </c>
      <c r="K276" s="91" t="s">
        <v>1054</v>
      </c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F276" s="27"/>
      <c r="AG276" s="27"/>
      <c r="AH276" s="27"/>
      <c r="AI276" s="27"/>
      <c r="AJ276" s="27"/>
      <c r="AK276" s="27"/>
      <c r="AL276" s="27"/>
      <c r="AM276" s="27"/>
      <c r="AN276" s="27"/>
      <c r="AO276" s="27"/>
      <c r="AP276" s="27"/>
      <c r="AQ276" s="27"/>
      <c r="AR276" s="27"/>
      <c r="AS276" s="27"/>
      <c r="AT276" s="27"/>
      <c r="AU276" s="27"/>
    </row>
    <row r="277" spans="1:47" ht="15.75" customHeight="1">
      <c r="A277" s="45">
        <v>44260</v>
      </c>
      <c r="B277" s="64" t="s">
        <v>1102</v>
      </c>
      <c r="C277" s="46" t="s">
        <v>1027</v>
      </c>
      <c r="D277" s="33" t="s">
        <v>1037</v>
      </c>
      <c r="E277" s="90">
        <v>50844.88</v>
      </c>
      <c r="F277" s="33" t="s">
        <v>1103</v>
      </c>
      <c r="G277" s="44" t="s">
        <v>830</v>
      </c>
      <c r="H277" s="44" t="s">
        <v>86</v>
      </c>
      <c r="I277" s="44" t="s">
        <v>878</v>
      </c>
      <c r="J277" s="44">
        <v>43888</v>
      </c>
      <c r="K277" s="91" t="s">
        <v>1041</v>
      </c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F277" s="27"/>
      <c r="AG277" s="27"/>
      <c r="AH277" s="27"/>
      <c r="AI277" s="27"/>
      <c r="AJ277" s="27"/>
      <c r="AK277" s="27"/>
      <c r="AL277" s="27"/>
      <c r="AM277" s="27"/>
      <c r="AN277" s="27"/>
      <c r="AO277" s="27"/>
      <c r="AP277" s="27"/>
      <c r="AQ277" s="27"/>
      <c r="AR277" s="27"/>
      <c r="AS277" s="27"/>
      <c r="AT277" s="27"/>
      <c r="AU277" s="27"/>
    </row>
    <row r="278" spans="1:47" ht="15.75" customHeight="1">
      <c r="A278" s="45">
        <v>44263</v>
      </c>
      <c r="B278" s="64" t="s">
        <v>1212</v>
      </c>
      <c r="C278" s="46" t="s">
        <v>1027</v>
      </c>
      <c r="D278" s="33" t="s">
        <v>1037</v>
      </c>
      <c r="E278" s="90">
        <v>20000</v>
      </c>
      <c r="F278" s="33" t="s">
        <v>1213</v>
      </c>
      <c r="G278" s="44" t="s">
        <v>835</v>
      </c>
      <c r="H278" s="44" t="s">
        <v>86</v>
      </c>
      <c r="I278" s="44" t="s">
        <v>920</v>
      </c>
      <c r="J278" s="44">
        <v>43515</v>
      </c>
      <c r="K278" s="91" t="s">
        <v>1030</v>
      </c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F278" s="27"/>
      <c r="AG278" s="27"/>
      <c r="AH278" s="27"/>
      <c r="AI278" s="27"/>
      <c r="AJ278" s="27"/>
      <c r="AK278" s="27"/>
      <c r="AL278" s="27"/>
      <c r="AM278" s="27"/>
      <c r="AN278" s="27"/>
      <c r="AO278" s="27"/>
      <c r="AP278" s="27"/>
      <c r="AQ278" s="27"/>
      <c r="AR278" s="27"/>
      <c r="AS278" s="27"/>
      <c r="AT278" s="27"/>
      <c r="AU278" s="27"/>
    </row>
    <row r="279" spans="1:47" ht="15.75" customHeight="1">
      <c r="A279" s="44">
        <v>44264</v>
      </c>
      <c r="B279" s="57" t="s">
        <v>1102</v>
      </c>
      <c r="C279" s="33" t="s">
        <v>1027</v>
      </c>
      <c r="D279" s="33" t="s">
        <v>1028</v>
      </c>
      <c r="E279" s="90">
        <v>111979.59</v>
      </c>
      <c r="F279" s="33" t="s">
        <v>1103</v>
      </c>
      <c r="G279" s="44" t="s">
        <v>830</v>
      </c>
      <c r="H279" s="44" t="s">
        <v>86</v>
      </c>
      <c r="I279" s="44" t="s">
        <v>878</v>
      </c>
      <c r="J279" s="44">
        <v>43888</v>
      </c>
      <c r="K279" s="91" t="s">
        <v>1041</v>
      </c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F279" s="27"/>
      <c r="AG279" s="27"/>
      <c r="AH279" s="27"/>
      <c r="AI279" s="27"/>
      <c r="AJ279" s="27"/>
      <c r="AK279" s="27"/>
      <c r="AL279" s="27"/>
      <c r="AM279" s="27"/>
      <c r="AN279" s="27"/>
      <c r="AO279" s="27"/>
      <c r="AP279" s="27"/>
      <c r="AQ279" s="27"/>
      <c r="AR279" s="27"/>
      <c r="AS279" s="27"/>
      <c r="AT279" s="27"/>
      <c r="AU279" s="27"/>
    </row>
    <row r="280" spans="1:47" ht="15.75" customHeight="1">
      <c r="A280" s="45">
        <v>44264</v>
      </c>
      <c r="B280" s="64" t="s">
        <v>1187</v>
      </c>
      <c r="C280" s="46" t="s">
        <v>48</v>
      </c>
      <c r="D280" s="33" t="s">
        <v>1062</v>
      </c>
      <c r="E280" s="90">
        <v>100000</v>
      </c>
      <c r="F280" s="33" t="s">
        <v>1188</v>
      </c>
      <c r="G280" s="33" t="s">
        <v>830</v>
      </c>
      <c r="H280" s="33" t="s">
        <v>86</v>
      </c>
      <c r="I280" s="33" t="s">
        <v>830</v>
      </c>
      <c r="J280" s="44">
        <v>43847</v>
      </c>
      <c r="K280" s="92" t="s">
        <v>1041</v>
      </c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F280" s="27"/>
      <c r="AG280" s="27"/>
      <c r="AH280" s="27"/>
      <c r="AI280" s="27"/>
      <c r="AJ280" s="27"/>
      <c r="AK280" s="27"/>
      <c r="AL280" s="27"/>
      <c r="AM280" s="27"/>
      <c r="AN280" s="27"/>
      <c r="AO280" s="27"/>
      <c r="AP280" s="27"/>
      <c r="AQ280" s="27"/>
      <c r="AR280" s="27"/>
      <c r="AS280" s="27"/>
      <c r="AT280" s="27"/>
      <c r="AU280" s="27"/>
    </row>
    <row r="281" spans="1:47" ht="15.75" customHeight="1">
      <c r="A281" s="45">
        <v>44264</v>
      </c>
      <c r="B281" s="64" t="s">
        <v>1144</v>
      </c>
      <c r="C281" s="46" t="s">
        <v>48</v>
      </c>
      <c r="D281" s="33" t="s">
        <v>1062</v>
      </c>
      <c r="E281" s="90">
        <v>900000</v>
      </c>
      <c r="F281" s="33" t="s">
        <v>1145</v>
      </c>
      <c r="G281" s="33" t="s">
        <v>830</v>
      </c>
      <c r="H281" s="33" t="s">
        <v>86</v>
      </c>
      <c r="I281" s="33" t="s">
        <v>830</v>
      </c>
      <c r="J281" s="44">
        <v>44043</v>
      </c>
      <c r="K281" s="92" t="s">
        <v>1041</v>
      </c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F281" s="27"/>
      <c r="AG281" s="27"/>
      <c r="AH281" s="27"/>
      <c r="AI281" s="27"/>
      <c r="AJ281" s="27"/>
      <c r="AK281" s="27"/>
      <c r="AL281" s="27"/>
      <c r="AM281" s="27"/>
      <c r="AN281" s="27"/>
      <c r="AO281" s="27"/>
      <c r="AP281" s="27"/>
      <c r="AQ281" s="27"/>
      <c r="AR281" s="27"/>
      <c r="AS281" s="27"/>
      <c r="AT281" s="27"/>
      <c r="AU281" s="27"/>
    </row>
    <row r="282" spans="1:47" ht="15.75" customHeight="1">
      <c r="A282" s="45">
        <v>44264</v>
      </c>
      <c r="B282" s="64" t="s">
        <v>1214</v>
      </c>
      <c r="C282" s="46" t="s">
        <v>48</v>
      </c>
      <c r="D282" s="33" t="s">
        <v>1062</v>
      </c>
      <c r="E282" s="90">
        <v>13000</v>
      </c>
      <c r="F282" s="33" t="s">
        <v>1215</v>
      </c>
      <c r="G282" s="33" t="s">
        <v>830</v>
      </c>
      <c r="H282" s="33" t="s">
        <v>86</v>
      </c>
      <c r="I282" s="33" t="s">
        <v>830</v>
      </c>
      <c r="J282" s="44">
        <v>44070</v>
      </c>
      <c r="K282" s="92" t="s">
        <v>1122</v>
      </c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F282" s="27"/>
      <c r="AG282" s="27"/>
      <c r="AH282" s="27"/>
      <c r="AI282" s="27"/>
      <c r="AJ282" s="27"/>
      <c r="AK282" s="27"/>
      <c r="AL282" s="27"/>
      <c r="AM282" s="27"/>
      <c r="AN282" s="27"/>
      <c r="AO282" s="27"/>
      <c r="AP282" s="27"/>
      <c r="AQ282" s="27"/>
      <c r="AR282" s="27"/>
      <c r="AS282" s="27"/>
      <c r="AT282" s="27"/>
      <c r="AU282" s="27"/>
    </row>
    <row r="283" spans="1:47" ht="15.75" customHeight="1">
      <c r="A283" s="44">
        <v>44270</v>
      </c>
      <c r="B283" s="57" t="s">
        <v>1216</v>
      </c>
      <c r="C283" s="33" t="s">
        <v>48</v>
      </c>
      <c r="D283" s="33" t="s">
        <v>1028</v>
      </c>
      <c r="E283" s="90">
        <v>0</v>
      </c>
      <c r="F283" s="33" t="s">
        <v>1217</v>
      </c>
      <c r="G283" s="33" t="s">
        <v>904</v>
      </c>
      <c r="H283" s="33" t="s">
        <v>86</v>
      </c>
      <c r="I283" s="33" t="s">
        <v>1218</v>
      </c>
      <c r="J283" s="44">
        <v>44160</v>
      </c>
      <c r="K283" s="92" t="s">
        <v>1122</v>
      </c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F283" s="27"/>
      <c r="AG283" s="27"/>
      <c r="AH283" s="27"/>
      <c r="AI283" s="27"/>
      <c r="AJ283" s="27"/>
      <c r="AK283" s="27"/>
      <c r="AL283" s="27"/>
      <c r="AM283" s="27"/>
      <c r="AN283" s="27"/>
      <c r="AO283" s="27"/>
      <c r="AP283" s="27"/>
      <c r="AQ283" s="27"/>
      <c r="AR283" s="27"/>
      <c r="AS283" s="27"/>
      <c r="AT283" s="27"/>
      <c r="AU283" s="27"/>
    </row>
    <row r="284" spans="1:47" ht="15.75" customHeight="1">
      <c r="A284" s="44">
        <v>44270</v>
      </c>
      <c r="B284" s="57" t="s">
        <v>1219</v>
      </c>
      <c r="C284" s="33" t="s">
        <v>48</v>
      </c>
      <c r="D284" s="33" t="s">
        <v>1028</v>
      </c>
      <c r="E284" s="90">
        <v>0</v>
      </c>
      <c r="F284" s="33" t="s">
        <v>1220</v>
      </c>
      <c r="G284" s="33" t="s">
        <v>830</v>
      </c>
      <c r="H284" s="33" t="s">
        <v>86</v>
      </c>
      <c r="I284" s="33" t="s">
        <v>830</v>
      </c>
      <c r="J284" s="44">
        <v>44244</v>
      </c>
      <c r="K284" s="92" t="s">
        <v>1041</v>
      </c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F284" s="27"/>
      <c r="AG284" s="27"/>
      <c r="AH284" s="27"/>
      <c r="AI284" s="27"/>
      <c r="AJ284" s="27"/>
      <c r="AK284" s="27"/>
      <c r="AL284" s="27"/>
      <c r="AM284" s="27"/>
      <c r="AN284" s="27"/>
      <c r="AO284" s="27"/>
      <c r="AP284" s="27"/>
      <c r="AQ284" s="27"/>
      <c r="AR284" s="27"/>
      <c r="AS284" s="27"/>
      <c r="AT284" s="27"/>
      <c r="AU284" s="27"/>
    </row>
    <row r="285" spans="1:47" ht="15.75" customHeight="1">
      <c r="A285" s="45">
        <v>44270</v>
      </c>
      <c r="B285" s="64" t="s">
        <v>1065</v>
      </c>
      <c r="C285" s="46" t="s">
        <v>1027</v>
      </c>
      <c r="D285" s="33" t="s">
        <v>1037</v>
      </c>
      <c r="E285" s="90">
        <v>100000</v>
      </c>
      <c r="F285" s="33" t="s">
        <v>1066</v>
      </c>
      <c r="G285" s="44" t="s">
        <v>830</v>
      </c>
      <c r="H285" s="44" t="s">
        <v>86</v>
      </c>
      <c r="I285" s="44" t="s">
        <v>969</v>
      </c>
      <c r="J285" s="44">
        <v>43559</v>
      </c>
      <c r="K285" s="91" t="s">
        <v>1033</v>
      </c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F285" s="27"/>
      <c r="AG285" s="27"/>
      <c r="AH285" s="27"/>
      <c r="AI285" s="27"/>
      <c r="AJ285" s="27"/>
      <c r="AK285" s="27"/>
      <c r="AL285" s="27"/>
      <c r="AM285" s="27"/>
      <c r="AN285" s="27"/>
      <c r="AO285" s="27"/>
      <c r="AP285" s="27"/>
      <c r="AQ285" s="27"/>
      <c r="AR285" s="27"/>
      <c r="AS285" s="27"/>
      <c r="AT285" s="27"/>
      <c r="AU285" s="27"/>
    </row>
    <row r="286" spans="1:47" ht="15.75" customHeight="1">
      <c r="A286" s="45">
        <v>44274</v>
      </c>
      <c r="B286" s="64" t="s">
        <v>1078</v>
      </c>
      <c r="C286" s="46" t="s">
        <v>48</v>
      </c>
      <c r="D286" s="33" t="s">
        <v>1062</v>
      </c>
      <c r="E286" s="90">
        <v>12500</v>
      </c>
      <c r="F286" s="33" t="s">
        <v>1079</v>
      </c>
      <c r="G286" s="33" t="s">
        <v>830</v>
      </c>
      <c r="H286" s="33" t="s">
        <v>86</v>
      </c>
      <c r="I286" s="33" t="s">
        <v>830</v>
      </c>
      <c r="J286" s="44">
        <v>44225</v>
      </c>
      <c r="K286" s="92" t="s">
        <v>1041</v>
      </c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F286" s="27"/>
      <c r="AG286" s="27"/>
      <c r="AH286" s="27"/>
      <c r="AI286" s="27"/>
      <c r="AJ286" s="27"/>
      <c r="AK286" s="27"/>
      <c r="AL286" s="27"/>
      <c r="AM286" s="27"/>
      <c r="AN286" s="27"/>
      <c r="AO286" s="27"/>
      <c r="AP286" s="27"/>
      <c r="AQ286" s="27"/>
      <c r="AR286" s="27"/>
      <c r="AS286" s="27"/>
      <c r="AT286" s="27"/>
      <c r="AU286" s="27"/>
    </row>
    <row r="287" spans="1:47" ht="15.75" customHeight="1">
      <c r="A287" s="45">
        <v>44277</v>
      </c>
      <c r="B287" s="64" t="s">
        <v>1221</v>
      </c>
      <c r="C287" s="46" t="s">
        <v>48</v>
      </c>
      <c r="D287" s="33" t="s">
        <v>1062</v>
      </c>
      <c r="E287" s="90">
        <v>10000</v>
      </c>
      <c r="F287" s="33" t="s">
        <v>1222</v>
      </c>
      <c r="G287" s="33" t="s">
        <v>830</v>
      </c>
      <c r="H287" s="33" t="s">
        <v>86</v>
      </c>
      <c r="I287" s="33" t="s">
        <v>830</v>
      </c>
      <c r="J287" s="44">
        <v>44075</v>
      </c>
      <c r="K287" s="41" t="s">
        <v>1041</v>
      </c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F287" s="27"/>
      <c r="AG287" s="27"/>
      <c r="AH287" s="27"/>
      <c r="AI287" s="27"/>
      <c r="AJ287" s="27"/>
      <c r="AK287" s="27"/>
      <c r="AL287" s="27"/>
      <c r="AM287" s="27"/>
      <c r="AN287" s="27"/>
      <c r="AO287" s="27"/>
      <c r="AP287" s="27"/>
      <c r="AQ287" s="27"/>
      <c r="AR287" s="27"/>
      <c r="AS287" s="27"/>
      <c r="AT287" s="27"/>
      <c r="AU287" s="27"/>
    </row>
    <row r="288" spans="1:47" ht="15.75" customHeight="1">
      <c r="A288" s="45">
        <v>44277</v>
      </c>
      <c r="B288" s="64" t="s">
        <v>1056</v>
      </c>
      <c r="C288" s="46" t="s">
        <v>1027</v>
      </c>
      <c r="D288" s="33" t="s">
        <v>1037</v>
      </c>
      <c r="E288" s="90">
        <v>96557.66</v>
      </c>
      <c r="F288" s="33" t="s">
        <v>1057</v>
      </c>
      <c r="G288" s="44" t="s">
        <v>830</v>
      </c>
      <c r="H288" s="44" t="s">
        <v>86</v>
      </c>
      <c r="I288" s="44" t="s">
        <v>878</v>
      </c>
      <c r="J288" s="44">
        <v>43822</v>
      </c>
      <c r="K288" s="44" t="s">
        <v>1054</v>
      </c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F288" s="27"/>
      <c r="AG288" s="27"/>
      <c r="AH288" s="27"/>
      <c r="AI288" s="27"/>
      <c r="AJ288" s="27"/>
      <c r="AK288" s="27"/>
      <c r="AL288" s="27"/>
      <c r="AM288" s="27"/>
      <c r="AN288" s="27"/>
      <c r="AO288" s="27"/>
      <c r="AP288" s="27"/>
      <c r="AQ288" s="27"/>
      <c r="AR288" s="27"/>
      <c r="AS288" s="27"/>
      <c r="AT288" s="27"/>
      <c r="AU288" s="27"/>
    </row>
    <row r="289" spans="1:47" ht="15.75" customHeight="1">
      <c r="A289" s="45">
        <v>44278</v>
      </c>
      <c r="B289" s="64" t="s">
        <v>1223</v>
      </c>
      <c r="C289" s="46" t="s">
        <v>1027</v>
      </c>
      <c r="D289" s="33" t="s">
        <v>1037</v>
      </c>
      <c r="E289" s="90">
        <v>120000</v>
      </c>
      <c r="F289" s="33" t="s">
        <v>1224</v>
      </c>
      <c r="G289" s="44" t="s">
        <v>830</v>
      </c>
      <c r="H289" s="44" t="s">
        <v>86</v>
      </c>
      <c r="I289" s="44" t="s">
        <v>969</v>
      </c>
      <c r="J289" s="44">
        <v>43531</v>
      </c>
      <c r="K289" s="91" t="s">
        <v>1033</v>
      </c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F289" s="27"/>
      <c r="AG289" s="27"/>
      <c r="AH289" s="27"/>
      <c r="AI289" s="27"/>
      <c r="AJ289" s="27"/>
      <c r="AK289" s="27"/>
      <c r="AL289" s="27"/>
      <c r="AM289" s="27"/>
      <c r="AN289" s="27"/>
      <c r="AO289" s="27"/>
      <c r="AP289" s="27"/>
      <c r="AQ289" s="27"/>
      <c r="AR289" s="27"/>
      <c r="AS289" s="27"/>
      <c r="AT289" s="27"/>
      <c r="AU289" s="27"/>
    </row>
    <row r="290" spans="1:47" ht="15.75" customHeight="1">
      <c r="A290" s="45">
        <v>44279</v>
      </c>
      <c r="B290" s="64" t="s">
        <v>1225</v>
      </c>
      <c r="C290" s="46" t="s">
        <v>1027</v>
      </c>
      <c r="D290" s="33" t="s">
        <v>1037</v>
      </c>
      <c r="E290" s="90">
        <v>5000</v>
      </c>
      <c r="F290" s="33" t="s">
        <v>1226</v>
      </c>
      <c r="G290" s="44" t="s">
        <v>835</v>
      </c>
      <c r="H290" s="44" t="s">
        <v>1176</v>
      </c>
      <c r="I290" s="44" t="s">
        <v>973</v>
      </c>
      <c r="J290" s="44">
        <v>44278</v>
      </c>
      <c r="K290" s="91" t="s">
        <v>1041</v>
      </c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F290" s="27"/>
      <c r="AG290" s="27"/>
      <c r="AH290" s="27"/>
      <c r="AI290" s="27"/>
      <c r="AJ290" s="27"/>
      <c r="AK290" s="27"/>
      <c r="AL290" s="27"/>
      <c r="AM290" s="27"/>
      <c r="AN290" s="27"/>
      <c r="AO290" s="27"/>
      <c r="AP290" s="27"/>
      <c r="AQ290" s="27"/>
      <c r="AR290" s="27"/>
      <c r="AS290" s="27"/>
      <c r="AT290" s="27"/>
      <c r="AU290" s="27"/>
    </row>
    <row r="291" spans="1:47" ht="15.75" customHeight="1">
      <c r="A291" s="45">
        <v>44279</v>
      </c>
      <c r="B291" s="64" t="s">
        <v>1227</v>
      </c>
      <c r="C291" s="46" t="s">
        <v>48</v>
      </c>
      <c r="D291" s="33" t="s">
        <v>1037</v>
      </c>
      <c r="E291" s="90">
        <v>7000</v>
      </c>
      <c r="F291" s="33" t="s">
        <v>1228</v>
      </c>
      <c r="G291" s="33" t="s">
        <v>904</v>
      </c>
      <c r="H291" s="33" t="s">
        <v>86</v>
      </c>
      <c r="I291" s="33" t="s">
        <v>961</v>
      </c>
      <c r="J291" s="44">
        <v>44105</v>
      </c>
      <c r="K291" s="92" t="s">
        <v>1030</v>
      </c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F291" s="27"/>
      <c r="AG291" s="27"/>
      <c r="AH291" s="27"/>
      <c r="AI291" s="27"/>
      <c r="AJ291" s="27"/>
      <c r="AK291" s="27"/>
      <c r="AL291" s="27"/>
      <c r="AM291" s="27"/>
      <c r="AN291" s="27"/>
      <c r="AO291" s="27"/>
      <c r="AP291" s="27"/>
      <c r="AQ291" s="27"/>
      <c r="AR291" s="27"/>
      <c r="AS291" s="27"/>
      <c r="AT291" s="27"/>
      <c r="AU291" s="27"/>
    </row>
    <row r="292" spans="1:47" ht="15.75" customHeight="1">
      <c r="A292" s="45">
        <v>44280</v>
      </c>
      <c r="B292" s="64" t="s">
        <v>1229</v>
      </c>
      <c r="C292" s="46" t="s">
        <v>1027</v>
      </c>
      <c r="D292" s="33" t="s">
        <v>1037</v>
      </c>
      <c r="E292" s="90">
        <v>153417.37</v>
      </c>
      <c r="F292" s="33" t="s">
        <v>1230</v>
      </c>
      <c r="G292" s="44" t="s">
        <v>835</v>
      </c>
      <c r="H292" s="44" t="s">
        <v>1176</v>
      </c>
      <c r="I292" s="44" t="s">
        <v>975</v>
      </c>
      <c r="J292" s="44">
        <v>44273</v>
      </c>
      <c r="K292" s="91" t="s">
        <v>1041</v>
      </c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F292" s="27"/>
      <c r="AG292" s="27"/>
      <c r="AH292" s="27"/>
      <c r="AI292" s="27"/>
      <c r="AJ292" s="27"/>
      <c r="AK292" s="27"/>
      <c r="AL292" s="27"/>
      <c r="AM292" s="27"/>
      <c r="AN292" s="27"/>
      <c r="AO292" s="27"/>
      <c r="AP292" s="27"/>
      <c r="AQ292" s="27"/>
      <c r="AR292" s="27"/>
      <c r="AS292" s="27"/>
      <c r="AT292" s="27"/>
      <c r="AU292" s="27"/>
    </row>
    <row r="293" spans="1:47" ht="15.75" customHeight="1">
      <c r="A293" s="45">
        <v>44280</v>
      </c>
      <c r="B293" s="64" t="s">
        <v>1052</v>
      </c>
      <c r="C293" s="46" t="s">
        <v>1027</v>
      </c>
      <c r="D293" s="33" t="s">
        <v>1037</v>
      </c>
      <c r="E293" s="90">
        <v>15000</v>
      </c>
      <c r="F293" s="33" t="s">
        <v>1053</v>
      </c>
      <c r="G293" s="44" t="s">
        <v>830</v>
      </c>
      <c r="H293" s="44" t="s">
        <v>86</v>
      </c>
      <c r="I293" s="44" t="s">
        <v>878</v>
      </c>
      <c r="J293" s="44">
        <v>43605</v>
      </c>
      <c r="K293" s="91" t="s">
        <v>1054</v>
      </c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F293" s="27"/>
      <c r="AG293" s="27"/>
      <c r="AH293" s="27"/>
      <c r="AI293" s="27"/>
      <c r="AJ293" s="27"/>
      <c r="AK293" s="27"/>
      <c r="AL293" s="27"/>
      <c r="AM293" s="27"/>
      <c r="AN293" s="27"/>
      <c r="AO293" s="27"/>
      <c r="AP293" s="27"/>
      <c r="AQ293" s="27"/>
      <c r="AR293" s="27"/>
      <c r="AS293" s="27"/>
      <c r="AT293" s="27"/>
      <c r="AU293" s="27"/>
    </row>
    <row r="294" spans="1:47" ht="15.75" customHeight="1">
      <c r="A294" s="45">
        <v>44280</v>
      </c>
      <c r="B294" s="64" t="s">
        <v>1048</v>
      </c>
      <c r="C294" s="46" t="s">
        <v>1027</v>
      </c>
      <c r="D294" s="33" t="s">
        <v>1037</v>
      </c>
      <c r="E294" s="90">
        <v>20000</v>
      </c>
      <c r="F294" s="33" t="s">
        <v>1049</v>
      </c>
      <c r="G294" s="44" t="s">
        <v>830</v>
      </c>
      <c r="H294" s="44" t="s">
        <v>86</v>
      </c>
      <c r="I294" s="44" t="s">
        <v>878</v>
      </c>
      <c r="J294" s="44">
        <v>43703</v>
      </c>
      <c r="K294" s="91" t="s">
        <v>1033</v>
      </c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F294" s="27"/>
      <c r="AG294" s="27"/>
      <c r="AH294" s="27"/>
      <c r="AI294" s="27"/>
      <c r="AJ294" s="27"/>
      <c r="AK294" s="27"/>
      <c r="AL294" s="27"/>
      <c r="AM294" s="27"/>
      <c r="AN294" s="27"/>
      <c r="AO294" s="27"/>
      <c r="AP294" s="27"/>
      <c r="AQ294" s="27"/>
      <c r="AR294" s="27"/>
      <c r="AS294" s="27"/>
      <c r="AT294" s="27"/>
      <c r="AU294" s="27"/>
    </row>
    <row r="295" spans="1:47" ht="15.75" customHeight="1">
      <c r="A295" s="44">
        <v>44281</v>
      </c>
      <c r="B295" s="57" t="s">
        <v>1231</v>
      </c>
      <c r="C295" s="33" t="s">
        <v>48</v>
      </c>
      <c r="D295" s="33" t="s">
        <v>1028</v>
      </c>
      <c r="E295" s="90">
        <v>0</v>
      </c>
      <c r="F295" s="33" t="s">
        <v>1232</v>
      </c>
      <c r="G295" s="33" t="s">
        <v>904</v>
      </c>
      <c r="H295" s="33" t="s">
        <v>86</v>
      </c>
      <c r="I295" s="33" t="s">
        <v>849</v>
      </c>
      <c r="J295" s="44">
        <v>44126</v>
      </c>
      <c r="K295" s="92" t="s">
        <v>1041</v>
      </c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F295" s="27"/>
      <c r="AG295" s="27"/>
      <c r="AH295" s="27"/>
      <c r="AI295" s="27"/>
      <c r="AJ295" s="27"/>
      <c r="AK295" s="27"/>
      <c r="AL295" s="27"/>
      <c r="AM295" s="27"/>
      <c r="AN295" s="27"/>
      <c r="AO295" s="27"/>
      <c r="AP295" s="27"/>
      <c r="AQ295" s="27"/>
      <c r="AR295" s="27"/>
      <c r="AS295" s="27"/>
      <c r="AT295" s="27"/>
      <c r="AU295" s="27"/>
    </row>
    <row r="296" spans="1:47" ht="15.75" customHeight="1">
      <c r="A296" s="44">
        <v>44281</v>
      </c>
      <c r="B296" s="57" t="s">
        <v>1233</v>
      </c>
      <c r="C296" s="33" t="s">
        <v>1027</v>
      </c>
      <c r="D296" s="33" t="s">
        <v>1028</v>
      </c>
      <c r="E296" s="90"/>
      <c r="F296" s="33" t="s">
        <v>1234</v>
      </c>
      <c r="G296" s="44" t="s">
        <v>835</v>
      </c>
      <c r="H296" s="44" t="s">
        <v>1176</v>
      </c>
      <c r="I296" s="44" t="s">
        <v>975</v>
      </c>
      <c r="J296" s="44">
        <v>44280</v>
      </c>
      <c r="K296" s="91" t="s">
        <v>1054</v>
      </c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F296" s="27"/>
      <c r="AG296" s="27"/>
      <c r="AH296" s="27"/>
      <c r="AI296" s="27"/>
      <c r="AJ296" s="27"/>
      <c r="AK296" s="27"/>
      <c r="AL296" s="27"/>
      <c r="AM296" s="27"/>
      <c r="AN296" s="27"/>
      <c r="AO296" s="27"/>
      <c r="AP296" s="27"/>
      <c r="AQ296" s="27"/>
      <c r="AR296" s="27"/>
      <c r="AS296" s="27"/>
      <c r="AT296" s="27"/>
      <c r="AU296" s="27"/>
    </row>
    <row r="297" spans="1:47" ht="15.75" customHeight="1">
      <c r="A297" s="45">
        <v>44285</v>
      </c>
      <c r="B297" s="64" t="s">
        <v>1235</v>
      </c>
      <c r="C297" s="46" t="s">
        <v>1027</v>
      </c>
      <c r="D297" s="33" t="s">
        <v>1062</v>
      </c>
      <c r="E297" s="90">
        <v>200000</v>
      </c>
      <c r="F297" s="33" t="s">
        <v>1236</v>
      </c>
      <c r="G297" s="44" t="s">
        <v>830</v>
      </c>
      <c r="H297" s="44" t="s">
        <v>86</v>
      </c>
      <c r="I297" s="44" t="s">
        <v>969</v>
      </c>
      <c r="J297" s="44">
        <v>43861</v>
      </c>
      <c r="K297" s="91" t="s">
        <v>1054</v>
      </c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F297" s="27"/>
      <c r="AG297" s="27"/>
      <c r="AH297" s="27"/>
      <c r="AI297" s="27"/>
      <c r="AJ297" s="27"/>
      <c r="AK297" s="27"/>
      <c r="AL297" s="27"/>
      <c r="AM297" s="27"/>
      <c r="AN297" s="27"/>
      <c r="AO297" s="27"/>
      <c r="AP297" s="27"/>
      <c r="AQ297" s="27"/>
      <c r="AR297" s="27"/>
      <c r="AS297" s="27"/>
      <c r="AT297" s="27"/>
      <c r="AU297" s="27"/>
    </row>
    <row r="298" spans="1:47" ht="15.75" customHeight="1">
      <c r="A298" s="45">
        <v>44286</v>
      </c>
      <c r="B298" s="64" t="s">
        <v>1237</v>
      </c>
      <c r="C298" s="46" t="s">
        <v>48</v>
      </c>
      <c r="D298" s="33" t="s">
        <v>1037</v>
      </c>
      <c r="E298" s="90">
        <v>328583.39</v>
      </c>
      <c r="F298" s="33" t="s">
        <v>1238</v>
      </c>
      <c r="G298" s="33" t="s">
        <v>904</v>
      </c>
      <c r="H298" s="33" t="s">
        <v>86</v>
      </c>
      <c r="I298" s="33" t="s">
        <v>894</v>
      </c>
      <c r="J298" s="42">
        <v>44134</v>
      </c>
      <c r="K298" s="92" t="s">
        <v>1122</v>
      </c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F298" s="27"/>
      <c r="AG298" s="27"/>
      <c r="AH298" s="27"/>
      <c r="AI298" s="27"/>
      <c r="AJ298" s="27"/>
      <c r="AK298" s="27"/>
      <c r="AL298" s="27"/>
      <c r="AM298" s="27"/>
      <c r="AN298" s="27"/>
      <c r="AO298" s="27"/>
      <c r="AP298" s="27"/>
      <c r="AQ298" s="27"/>
      <c r="AR298" s="27"/>
      <c r="AS298" s="27"/>
      <c r="AT298" s="27"/>
      <c r="AU298" s="27"/>
    </row>
    <row r="299" spans="1:47" ht="15.75" customHeight="1">
      <c r="A299" s="44">
        <v>44287</v>
      </c>
      <c r="B299" s="57" t="s">
        <v>1223</v>
      </c>
      <c r="C299" s="33" t="s">
        <v>1027</v>
      </c>
      <c r="D299" s="33" t="s">
        <v>1028</v>
      </c>
      <c r="E299" s="90">
        <v>222801.29</v>
      </c>
      <c r="F299" s="33" t="s">
        <v>1224</v>
      </c>
      <c r="G299" s="44" t="s">
        <v>830</v>
      </c>
      <c r="H299" s="44" t="s">
        <v>86</v>
      </c>
      <c r="I299" s="44" t="s">
        <v>969</v>
      </c>
      <c r="J299" s="44">
        <v>43531</v>
      </c>
      <c r="K299" s="91" t="s">
        <v>1033</v>
      </c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F299" s="27"/>
      <c r="AG299" s="27"/>
      <c r="AH299" s="27"/>
      <c r="AI299" s="27"/>
      <c r="AJ299" s="27"/>
      <c r="AK299" s="27"/>
      <c r="AL299" s="27"/>
      <c r="AM299" s="27"/>
      <c r="AN299" s="27"/>
      <c r="AO299" s="27"/>
      <c r="AP299" s="27"/>
      <c r="AQ299" s="27"/>
      <c r="AR299" s="27"/>
      <c r="AS299" s="27"/>
      <c r="AT299" s="27"/>
      <c r="AU299" s="27"/>
    </row>
    <row r="300" spans="1:47" ht="15.75" customHeight="1">
      <c r="A300" s="44">
        <v>44287</v>
      </c>
      <c r="B300" s="57" t="s">
        <v>1239</v>
      </c>
      <c r="C300" s="33" t="s">
        <v>1027</v>
      </c>
      <c r="D300" s="33" t="s">
        <v>1028</v>
      </c>
      <c r="E300" s="90"/>
      <c r="F300" s="33" t="s">
        <v>1224</v>
      </c>
      <c r="G300" s="44" t="s">
        <v>830</v>
      </c>
      <c r="H300" s="44" t="s">
        <v>86</v>
      </c>
      <c r="I300" s="44" t="s">
        <v>969</v>
      </c>
      <c r="J300" s="44">
        <v>43566</v>
      </c>
      <c r="K300" s="91" t="s">
        <v>1054</v>
      </c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F300" s="27"/>
      <c r="AG300" s="27"/>
      <c r="AH300" s="27"/>
      <c r="AI300" s="27"/>
      <c r="AJ300" s="27"/>
      <c r="AK300" s="27"/>
      <c r="AL300" s="27"/>
      <c r="AM300" s="27"/>
      <c r="AN300" s="27"/>
      <c r="AO300" s="27"/>
      <c r="AP300" s="27"/>
      <c r="AQ300" s="27"/>
      <c r="AR300" s="27"/>
      <c r="AS300" s="27"/>
      <c r="AT300" s="27"/>
      <c r="AU300" s="27"/>
    </row>
    <row r="301" spans="1:47" ht="15.75" customHeight="1">
      <c r="A301" s="45">
        <v>44287</v>
      </c>
      <c r="B301" s="64" t="s">
        <v>1240</v>
      </c>
      <c r="C301" s="46" t="s">
        <v>48</v>
      </c>
      <c r="D301" s="33" t="s">
        <v>1037</v>
      </c>
      <c r="E301" s="90">
        <v>95592.52</v>
      </c>
      <c r="F301" s="33" t="s">
        <v>1241</v>
      </c>
      <c r="G301" s="33" t="s">
        <v>904</v>
      </c>
      <c r="H301" s="33" t="s">
        <v>86</v>
      </c>
      <c r="I301" s="33" t="s">
        <v>1218</v>
      </c>
      <c r="J301" s="42">
        <v>44180</v>
      </c>
      <c r="K301" s="92" t="s">
        <v>1041</v>
      </c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F301" s="27"/>
      <c r="AG301" s="27"/>
      <c r="AH301" s="27"/>
      <c r="AI301" s="27"/>
      <c r="AJ301" s="27"/>
      <c r="AK301" s="27"/>
      <c r="AL301" s="27"/>
      <c r="AM301" s="27"/>
      <c r="AN301" s="27"/>
      <c r="AO301" s="27"/>
      <c r="AP301" s="27"/>
      <c r="AQ301" s="27"/>
      <c r="AR301" s="27"/>
      <c r="AS301" s="27"/>
      <c r="AT301" s="27"/>
      <c r="AU301" s="27"/>
    </row>
    <row r="302" spans="1:47" ht="15.75" customHeight="1">
      <c r="A302" s="44">
        <v>44291</v>
      </c>
      <c r="B302" s="57" t="s">
        <v>1242</v>
      </c>
      <c r="C302" s="33" t="s">
        <v>48</v>
      </c>
      <c r="D302" s="33" t="s">
        <v>1028</v>
      </c>
      <c r="E302" s="90">
        <v>0</v>
      </c>
      <c r="F302" s="33" t="s">
        <v>1243</v>
      </c>
      <c r="G302" s="33" t="s">
        <v>904</v>
      </c>
      <c r="H302" s="33" t="s">
        <v>86</v>
      </c>
      <c r="I302" s="33" t="s">
        <v>855</v>
      </c>
      <c r="J302" s="44">
        <v>44215</v>
      </c>
      <c r="K302" s="92" t="s">
        <v>1122</v>
      </c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F302" s="27"/>
      <c r="AG302" s="27"/>
      <c r="AH302" s="27"/>
      <c r="AI302" s="27"/>
      <c r="AJ302" s="27"/>
      <c r="AK302" s="27"/>
      <c r="AL302" s="27"/>
      <c r="AM302" s="27"/>
      <c r="AN302" s="27"/>
      <c r="AO302" s="27"/>
      <c r="AP302" s="27"/>
      <c r="AQ302" s="27"/>
      <c r="AR302" s="27"/>
      <c r="AS302" s="27"/>
      <c r="AT302" s="27"/>
      <c r="AU302" s="27"/>
    </row>
    <row r="303" spans="1:47" ht="15.75" customHeight="1">
      <c r="A303" s="45">
        <v>44291</v>
      </c>
      <c r="B303" s="64" t="s">
        <v>1065</v>
      </c>
      <c r="C303" s="46" t="s">
        <v>1027</v>
      </c>
      <c r="D303" s="33" t="s">
        <v>1037</v>
      </c>
      <c r="E303" s="90">
        <v>3500</v>
      </c>
      <c r="F303" s="33" t="s">
        <v>1066</v>
      </c>
      <c r="G303" s="44" t="s">
        <v>830</v>
      </c>
      <c r="H303" s="44" t="s">
        <v>86</v>
      </c>
      <c r="I303" s="44" t="s">
        <v>969</v>
      </c>
      <c r="J303" s="44">
        <v>43559</v>
      </c>
      <c r="K303" s="91" t="s">
        <v>1033</v>
      </c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F303" s="27"/>
      <c r="AG303" s="27"/>
      <c r="AH303" s="27"/>
      <c r="AI303" s="27"/>
      <c r="AJ303" s="27"/>
      <c r="AK303" s="27"/>
      <c r="AL303" s="27"/>
      <c r="AM303" s="27"/>
      <c r="AN303" s="27"/>
      <c r="AO303" s="27"/>
      <c r="AP303" s="27"/>
      <c r="AQ303" s="27"/>
      <c r="AR303" s="27"/>
      <c r="AS303" s="27"/>
      <c r="AT303" s="27"/>
      <c r="AU303" s="27"/>
    </row>
    <row r="304" spans="1:47" ht="15.75" customHeight="1">
      <c r="A304" s="45">
        <v>44291</v>
      </c>
      <c r="B304" s="64" t="s">
        <v>1242</v>
      </c>
      <c r="C304" s="46" t="s">
        <v>48</v>
      </c>
      <c r="D304" s="33" t="s">
        <v>1062</v>
      </c>
      <c r="E304" s="90">
        <v>6000</v>
      </c>
      <c r="F304" s="33" t="s">
        <v>1243</v>
      </c>
      <c r="G304" s="33" t="s">
        <v>904</v>
      </c>
      <c r="H304" s="33" t="s">
        <v>86</v>
      </c>
      <c r="I304" s="33" t="s">
        <v>855</v>
      </c>
      <c r="J304" s="44">
        <v>44215</v>
      </c>
      <c r="K304" s="92" t="s">
        <v>1122</v>
      </c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F304" s="27"/>
      <c r="AG304" s="27"/>
      <c r="AH304" s="27"/>
      <c r="AI304" s="27"/>
      <c r="AJ304" s="27"/>
      <c r="AK304" s="27"/>
      <c r="AL304" s="27"/>
      <c r="AM304" s="27"/>
      <c r="AN304" s="27"/>
      <c r="AO304" s="27"/>
      <c r="AP304" s="27"/>
      <c r="AQ304" s="27"/>
      <c r="AR304" s="27"/>
      <c r="AS304" s="27"/>
      <c r="AT304" s="27"/>
      <c r="AU304" s="27"/>
    </row>
    <row r="305" spans="1:47" ht="15.75" customHeight="1">
      <c r="A305" s="45">
        <v>44292</v>
      </c>
      <c r="B305" s="64" t="s">
        <v>1048</v>
      </c>
      <c r="C305" s="46" t="s">
        <v>1027</v>
      </c>
      <c r="D305" s="33" t="s">
        <v>1037</v>
      </c>
      <c r="E305" s="90">
        <v>50000</v>
      </c>
      <c r="F305" s="33" t="s">
        <v>1049</v>
      </c>
      <c r="G305" s="44" t="s">
        <v>830</v>
      </c>
      <c r="H305" s="44" t="s">
        <v>86</v>
      </c>
      <c r="I305" s="44" t="s">
        <v>878</v>
      </c>
      <c r="J305" s="44">
        <v>43703</v>
      </c>
      <c r="K305" s="91" t="s">
        <v>1033</v>
      </c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F305" s="27"/>
      <c r="AG305" s="27"/>
      <c r="AH305" s="27"/>
      <c r="AI305" s="27"/>
      <c r="AJ305" s="27"/>
      <c r="AK305" s="27"/>
      <c r="AL305" s="27"/>
      <c r="AM305" s="27"/>
      <c r="AN305" s="27"/>
      <c r="AO305" s="27"/>
      <c r="AP305" s="27"/>
      <c r="AQ305" s="27"/>
      <c r="AR305" s="27"/>
      <c r="AS305" s="27"/>
      <c r="AT305" s="27"/>
      <c r="AU305" s="27"/>
    </row>
    <row r="306" spans="1:47" ht="15.75" customHeight="1">
      <c r="A306" s="45">
        <v>44293</v>
      </c>
      <c r="B306" s="64" t="s">
        <v>1244</v>
      </c>
      <c r="C306" s="46" t="s">
        <v>48</v>
      </c>
      <c r="D306" s="33" t="s">
        <v>1037</v>
      </c>
      <c r="E306" s="90">
        <v>200000</v>
      </c>
      <c r="F306" s="33" t="s">
        <v>1245</v>
      </c>
      <c r="G306" s="33" t="s">
        <v>904</v>
      </c>
      <c r="H306" s="33" t="s">
        <v>86</v>
      </c>
      <c r="I306" s="33" t="s">
        <v>890</v>
      </c>
      <c r="J306" s="44">
        <v>44203</v>
      </c>
      <c r="K306" s="92" t="s">
        <v>1041</v>
      </c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F306" s="27"/>
      <c r="AG306" s="27"/>
      <c r="AH306" s="27"/>
      <c r="AI306" s="27"/>
      <c r="AJ306" s="27"/>
      <c r="AK306" s="27"/>
      <c r="AL306" s="27"/>
      <c r="AM306" s="27"/>
      <c r="AN306" s="27"/>
      <c r="AO306" s="27"/>
      <c r="AP306" s="27"/>
      <c r="AQ306" s="27"/>
      <c r="AR306" s="27"/>
      <c r="AS306" s="27"/>
      <c r="AT306" s="27"/>
      <c r="AU306" s="27"/>
    </row>
    <row r="307" spans="1:47" ht="15.75" customHeight="1">
      <c r="A307" s="45">
        <v>44293</v>
      </c>
      <c r="B307" s="64" t="s">
        <v>1246</v>
      </c>
      <c r="C307" s="46" t="s">
        <v>48</v>
      </c>
      <c r="D307" s="33" t="s">
        <v>1037</v>
      </c>
      <c r="E307" s="90">
        <v>7000</v>
      </c>
      <c r="F307" s="33" t="s">
        <v>1247</v>
      </c>
      <c r="G307" s="33" t="s">
        <v>835</v>
      </c>
      <c r="H307" s="33" t="s">
        <v>86</v>
      </c>
      <c r="I307" s="33" t="s">
        <v>990</v>
      </c>
      <c r="J307" s="44">
        <v>44218</v>
      </c>
      <c r="K307" s="92" t="s">
        <v>1041</v>
      </c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F307" s="27"/>
      <c r="AG307" s="27"/>
      <c r="AH307" s="27"/>
      <c r="AI307" s="27"/>
      <c r="AJ307" s="27"/>
      <c r="AK307" s="27"/>
      <c r="AL307" s="27"/>
      <c r="AM307" s="27"/>
      <c r="AN307" s="27"/>
      <c r="AO307" s="27"/>
      <c r="AP307" s="27"/>
      <c r="AQ307" s="27"/>
      <c r="AR307" s="27"/>
      <c r="AS307" s="27"/>
      <c r="AT307" s="27"/>
      <c r="AU307" s="27"/>
    </row>
    <row r="308" spans="1:47" ht="15.75" customHeight="1">
      <c r="A308" s="44">
        <v>44295</v>
      </c>
      <c r="B308" s="57" t="s">
        <v>1248</v>
      </c>
      <c r="C308" s="33" t="s">
        <v>48</v>
      </c>
      <c r="D308" s="33" t="s">
        <v>1028</v>
      </c>
      <c r="E308" s="90">
        <v>0</v>
      </c>
      <c r="F308" s="33" t="s">
        <v>1249</v>
      </c>
      <c r="G308" s="33" t="s">
        <v>904</v>
      </c>
      <c r="H308" s="33" t="s">
        <v>86</v>
      </c>
      <c r="I308" s="33" t="s">
        <v>849</v>
      </c>
      <c r="J308" s="44">
        <v>44165</v>
      </c>
      <c r="K308" s="92" t="s">
        <v>1041</v>
      </c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F308" s="27"/>
      <c r="AG308" s="27"/>
      <c r="AH308" s="27"/>
      <c r="AI308" s="27"/>
      <c r="AJ308" s="27"/>
      <c r="AK308" s="27"/>
      <c r="AL308" s="27"/>
      <c r="AM308" s="27"/>
      <c r="AN308" s="27"/>
      <c r="AO308" s="27"/>
      <c r="AP308" s="27"/>
      <c r="AQ308" s="27"/>
      <c r="AR308" s="27"/>
      <c r="AS308" s="27"/>
      <c r="AT308" s="27"/>
      <c r="AU308" s="27"/>
    </row>
    <row r="309" spans="1:47" ht="15.75" customHeight="1">
      <c r="A309" s="45">
        <v>44299</v>
      </c>
      <c r="B309" s="64" t="s">
        <v>1250</v>
      </c>
      <c r="C309" s="46" t="s">
        <v>48</v>
      </c>
      <c r="D309" s="33" t="s">
        <v>1062</v>
      </c>
      <c r="E309" s="90">
        <v>299695.62</v>
      </c>
      <c r="F309" s="33" t="s">
        <v>1251</v>
      </c>
      <c r="G309" s="33" t="s">
        <v>904</v>
      </c>
      <c r="H309" s="33" t="s">
        <v>86</v>
      </c>
      <c r="I309" s="33" t="s">
        <v>894</v>
      </c>
      <c r="J309" s="44">
        <v>44195</v>
      </c>
      <c r="K309" s="92" t="s">
        <v>1054</v>
      </c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F309" s="27"/>
      <c r="AG309" s="27"/>
      <c r="AH309" s="27"/>
      <c r="AI309" s="27"/>
      <c r="AJ309" s="27"/>
      <c r="AK309" s="27"/>
      <c r="AL309" s="27"/>
      <c r="AM309" s="27"/>
      <c r="AN309" s="27"/>
      <c r="AO309" s="27"/>
      <c r="AP309" s="27"/>
      <c r="AQ309" s="27"/>
      <c r="AR309" s="27"/>
      <c r="AS309" s="27"/>
      <c r="AT309" s="27"/>
      <c r="AU309" s="27"/>
    </row>
    <row r="310" spans="1:47" ht="15.75" customHeight="1">
      <c r="A310" s="45">
        <v>44299</v>
      </c>
      <c r="B310" s="64" t="s">
        <v>1042</v>
      </c>
      <c r="C310" s="46" t="s">
        <v>48</v>
      </c>
      <c r="D310" s="33" t="s">
        <v>1062</v>
      </c>
      <c r="E310" s="90">
        <v>203869.45</v>
      </c>
      <c r="F310" s="33" t="s">
        <v>776</v>
      </c>
      <c r="G310" s="33" t="s">
        <v>830</v>
      </c>
      <c r="H310" s="33" t="s">
        <v>86</v>
      </c>
      <c r="I310" s="33" t="s">
        <v>830</v>
      </c>
      <c r="J310" s="44">
        <v>43749</v>
      </c>
      <c r="K310" s="92" t="s">
        <v>1033</v>
      </c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F310" s="27"/>
      <c r="AG310" s="27"/>
      <c r="AH310" s="27"/>
      <c r="AI310" s="27"/>
      <c r="AJ310" s="27"/>
      <c r="AK310" s="27"/>
      <c r="AL310" s="27"/>
      <c r="AM310" s="27"/>
      <c r="AN310" s="27"/>
      <c r="AO310" s="27"/>
      <c r="AP310" s="27"/>
      <c r="AQ310" s="27"/>
      <c r="AR310" s="27"/>
      <c r="AS310" s="27"/>
      <c r="AT310" s="27"/>
      <c r="AU310" s="27"/>
    </row>
    <row r="311" spans="1:47" ht="15.75" customHeight="1">
      <c r="A311" s="45">
        <v>44302</v>
      </c>
      <c r="B311" s="64" t="s">
        <v>1048</v>
      </c>
      <c r="C311" s="46" t="s">
        <v>1027</v>
      </c>
      <c r="D311" s="33" t="s">
        <v>1037</v>
      </c>
      <c r="E311" s="90">
        <v>1000</v>
      </c>
      <c r="F311" s="33" t="s">
        <v>1049</v>
      </c>
      <c r="G311" s="44" t="s">
        <v>830</v>
      </c>
      <c r="H311" s="44" t="s">
        <v>86</v>
      </c>
      <c r="I311" s="44" t="s">
        <v>878</v>
      </c>
      <c r="J311" s="44">
        <v>43703</v>
      </c>
      <c r="K311" s="91" t="s">
        <v>1033</v>
      </c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F311" s="27"/>
      <c r="AG311" s="27"/>
      <c r="AH311" s="27"/>
      <c r="AI311" s="27"/>
      <c r="AJ311" s="27"/>
      <c r="AK311" s="27"/>
      <c r="AL311" s="27"/>
      <c r="AM311" s="27"/>
      <c r="AN311" s="27"/>
      <c r="AO311" s="27"/>
      <c r="AP311" s="27"/>
      <c r="AQ311" s="27"/>
      <c r="AR311" s="27"/>
      <c r="AS311" s="27"/>
      <c r="AT311" s="27"/>
      <c r="AU311" s="27"/>
    </row>
    <row r="312" spans="1:47" ht="15.75" customHeight="1">
      <c r="A312" s="45">
        <v>44302</v>
      </c>
      <c r="B312" s="64" t="s">
        <v>1082</v>
      </c>
      <c r="C312" s="46" t="s">
        <v>1027</v>
      </c>
      <c r="D312" s="33" t="s">
        <v>1037</v>
      </c>
      <c r="E312" s="90">
        <v>10000</v>
      </c>
      <c r="F312" s="33" t="s">
        <v>1083</v>
      </c>
      <c r="G312" s="44" t="s">
        <v>830</v>
      </c>
      <c r="H312" s="44" t="s">
        <v>86</v>
      </c>
      <c r="I312" s="44" t="s">
        <v>878</v>
      </c>
      <c r="J312" s="44">
        <v>43717</v>
      </c>
      <c r="K312" s="91" t="s">
        <v>1033</v>
      </c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F312" s="27"/>
      <c r="AG312" s="27"/>
      <c r="AH312" s="27"/>
      <c r="AI312" s="27"/>
      <c r="AJ312" s="27"/>
      <c r="AK312" s="27"/>
      <c r="AL312" s="27"/>
      <c r="AM312" s="27"/>
      <c r="AN312" s="27"/>
      <c r="AO312" s="27"/>
      <c r="AP312" s="27"/>
      <c r="AQ312" s="27"/>
      <c r="AR312" s="27"/>
      <c r="AS312" s="27"/>
      <c r="AT312" s="27"/>
      <c r="AU312" s="27"/>
    </row>
    <row r="313" spans="1:47" ht="15.75" customHeight="1">
      <c r="A313" s="44">
        <v>44305</v>
      </c>
      <c r="B313" s="57" t="s">
        <v>1042</v>
      </c>
      <c r="C313" s="33" t="s">
        <v>48</v>
      </c>
      <c r="D313" s="33" t="s">
        <v>1028</v>
      </c>
      <c r="E313" s="90">
        <v>0</v>
      </c>
      <c r="F313" s="33" t="s">
        <v>776</v>
      </c>
      <c r="G313" s="33" t="s">
        <v>830</v>
      </c>
      <c r="H313" s="33" t="s">
        <v>86</v>
      </c>
      <c r="I313" s="33" t="s">
        <v>830</v>
      </c>
      <c r="J313" s="44">
        <v>43749</v>
      </c>
      <c r="K313" s="92" t="s">
        <v>1033</v>
      </c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F313" s="27"/>
      <c r="AG313" s="27"/>
      <c r="AH313" s="27"/>
      <c r="AI313" s="27"/>
      <c r="AJ313" s="27"/>
      <c r="AK313" s="27"/>
      <c r="AL313" s="27"/>
      <c r="AM313" s="27"/>
      <c r="AN313" s="27"/>
      <c r="AO313" s="27"/>
      <c r="AP313" s="27"/>
      <c r="AQ313" s="27"/>
      <c r="AR313" s="27"/>
      <c r="AS313" s="27"/>
      <c r="AT313" s="27"/>
      <c r="AU313" s="27"/>
    </row>
    <row r="314" spans="1:47" ht="15.75" customHeight="1">
      <c r="A314" s="44">
        <v>44305</v>
      </c>
      <c r="B314" s="57" t="s">
        <v>1078</v>
      </c>
      <c r="C314" s="33" t="s">
        <v>48</v>
      </c>
      <c r="D314" s="33" t="s">
        <v>1028</v>
      </c>
      <c r="E314" s="90">
        <v>0</v>
      </c>
      <c r="F314" s="33" t="s">
        <v>1079</v>
      </c>
      <c r="G314" s="33" t="s">
        <v>830</v>
      </c>
      <c r="H314" s="33" t="s">
        <v>86</v>
      </c>
      <c r="I314" s="33" t="s">
        <v>830</v>
      </c>
      <c r="J314" s="44">
        <v>44225</v>
      </c>
      <c r="K314" s="92" t="s">
        <v>1041</v>
      </c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F314" s="27"/>
      <c r="AG314" s="27"/>
      <c r="AH314" s="27"/>
      <c r="AI314" s="27"/>
      <c r="AJ314" s="27"/>
      <c r="AK314" s="27"/>
      <c r="AL314" s="27"/>
      <c r="AM314" s="27"/>
      <c r="AN314" s="27"/>
      <c r="AO314" s="27"/>
      <c r="AP314" s="27"/>
      <c r="AQ314" s="27"/>
      <c r="AR314" s="27"/>
      <c r="AS314" s="27"/>
      <c r="AT314" s="27"/>
      <c r="AU314" s="27"/>
    </row>
    <row r="315" spans="1:47" ht="15.75" customHeight="1">
      <c r="A315" s="45">
        <v>44305</v>
      </c>
      <c r="B315" s="64" t="s">
        <v>1193</v>
      </c>
      <c r="C315" s="46" t="s">
        <v>1027</v>
      </c>
      <c r="D315" s="33" t="s">
        <v>1037</v>
      </c>
      <c r="E315" s="90">
        <v>29853.439999999999</v>
      </c>
      <c r="F315" s="33" t="s">
        <v>1194</v>
      </c>
      <c r="G315" s="44" t="s">
        <v>830</v>
      </c>
      <c r="H315" s="44" t="s">
        <v>86</v>
      </c>
      <c r="I315" s="44" t="s">
        <v>969</v>
      </c>
      <c r="J315" s="44">
        <v>43822</v>
      </c>
      <c r="K315" s="91" t="s">
        <v>1054</v>
      </c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F315" s="27"/>
      <c r="AG315" s="27"/>
      <c r="AH315" s="27"/>
      <c r="AI315" s="27"/>
      <c r="AJ315" s="27"/>
      <c r="AK315" s="27"/>
      <c r="AL315" s="27"/>
      <c r="AM315" s="27"/>
      <c r="AN315" s="27"/>
      <c r="AO315" s="27"/>
      <c r="AP315" s="27"/>
      <c r="AQ315" s="27"/>
      <c r="AR315" s="27"/>
      <c r="AS315" s="27"/>
      <c r="AT315" s="27"/>
      <c r="AU315" s="27"/>
    </row>
    <row r="316" spans="1:47" ht="15.75" customHeight="1">
      <c r="A316" s="45">
        <v>44305</v>
      </c>
      <c r="B316" s="64" t="s">
        <v>1252</v>
      </c>
      <c r="C316" s="46" t="s">
        <v>1027</v>
      </c>
      <c r="D316" s="33" t="s">
        <v>1037</v>
      </c>
      <c r="E316" s="90">
        <v>3500</v>
      </c>
      <c r="F316" s="33" t="s">
        <v>1253</v>
      </c>
      <c r="G316" s="44" t="s">
        <v>835</v>
      </c>
      <c r="H316" s="44" t="s">
        <v>1176</v>
      </c>
      <c r="I316" s="44" t="s">
        <v>971</v>
      </c>
      <c r="J316" s="44">
        <v>44273</v>
      </c>
      <c r="K316" s="91" t="s">
        <v>1041</v>
      </c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F316" s="27"/>
      <c r="AG316" s="27"/>
      <c r="AH316" s="27"/>
      <c r="AI316" s="27"/>
      <c r="AJ316" s="27"/>
      <c r="AK316" s="27"/>
      <c r="AL316" s="27"/>
      <c r="AM316" s="27"/>
      <c r="AN316" s="27"/>
      <c r="AO316" s="27"/>
      <c r="AP316" s="27"/>
      <c r="AQ316" s="27"/>
      <c r="AR316" s="27"/>
      <c r="AS316" s="27"/>
      <c r="AT316" s="27"/>
      <c r="AU316" s="27"/>
    </row>
    <row r="317" spans="1:47" ht="15.75" customHeight="1">
      <c r="A317" s="45">
        <v>44308</v>
      </c>
      <c r="B317" s="64" t="s">
        <v>1065</v>
      </c>
      <c r="C317" s="46" t="s">
        <v>1027</v>
      </c>
      <c r="D317" s="33" t="s">
        <v>1037</v>
      </c>
      <c r="E317" s="90">
        <v>193917.59</v>
      </c>
      <c r="F317" s="33" t="s">
        <v>1066</v>
      </c>
      <c r="G317" s="44" t="s">
        <v>830</v>
      </c>
      <c r="H317" s="44" t="s">
        <v>86</v>
      </c>
      <c r="I317" s="44" t="s">
        <v>969</v>
      </c>
      <c r="J317" s="44">
        <v>43559</v>
      </c>
      <c r="K317" s="91" t="s">
        <v>1033</v>
      </c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F317" s="27"/>
      <c r="AG317" s="27"/>
      <c r="AH317" s="27"/>
      <c r="AI317" s="27"/>
      <c r="AJ317" s="27"/>
      <c r="AK317" s="27"/>
      <c r="AL317" s="27"/>
      <c r="AM317" s="27"/>
      <c r="AN317" s="27"/>
      <c r="AO317" s="27"/>
      <c r="AP317" s="27"/>
      <c r="AQ317" s="27"/>
      <c r="AR317" s="27"/>
      <c r="AS317" s="27"/>
      <c r="AT317" s="27"/>
      <c r="AU317" s="27"/>
    </row>
    <row r="318" spans="1:47" ht="15.75" customHeight="1">
      <c r="A318" s="45">
        <v>44308</v>
      </c>
      <c r="B318" s="64" t="s">
        <v>1254</v>
      </c>
      <c r="C318" s="46" t="s">
        <v>1027</v>
      </c>
      <c r="D318" s="33" t="s">
        <v>1037</v>
      </c>
      <c r="E318" s="90">
        <v>10000</v>
      </c>
      <c r="F318" s="33" t="s">
        <v>1255</v>
      </c>
      <c r="G318" s="44" t="s">
        <v>830</v>
      </c>
      <c r="H318" s="44" t="s">
        <v>86</v>
      </c>
      <c r="I318" s="44" t="s">
        <v>969</v>
      </c>
      <c r="J318" s="44">
        <v>43874</v>
      </c>
      <c r="K318" s="91" t="s">
        <v>1041</v>
      </c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F318" s="27"/>
      <c r="AG318" s="27"/>
      <c r="AH318" s="27"/>
      <c r="AI318" s="27"/>
      <c r="AJ318" s="27"/>
      <c r="AK318" s="27"/>
      <c r="AL318" s="27"/>
      <c r="AM318" s="27"/>
      <c r="AN318" s="27"/>
      <c r="AO318" s="27"/>
      <c r="AP318" s="27"/>
      <c r="AQ318" s="27"/>
      <c r="AR318" s="27"/>
      <c r="AS318" s="27"/>
      <c r="AT318" s="27"/>
      <c r="AU318" s="27"/>
    </row>
    <row r="319" spans="1:47" ht="15.75" customHeight="1">
      <c r="A319" s="44">
        <v>44309</v>
      </c>
      <c r="B319" s="57" t="s">
        <v>1256</v>
      </c>
      <c r="C319" s="33" t="s">
        <v>1027</v>
      </c>
      <c r="D319" s="33" t="s">
        <v>1028</v>
      </c>
      <c r="E319" s="90">
        <v>72.06</v>
      </c>
      <c r="F319" s="33" t="s">
        <v>1257</v>
      </c>
      <c r="G319" s="44" t="s">
        <v>830</v>
      </c>
      <c r="H319" s="44" t="s">
        <v>86</v>
      </c>
      <c r="I319" s="44" t="s">
        <v>969</v>
      </c>
      <c r="J319" s="44">
        <v>43685</v>
      </c>
      <c r="K319" s="91" t="s">
        <v>1033</v>
      </c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F319" s="27"/>
      <c r="AG319" s="27"/>
      <c r="AH319" s="27"/>
      <c r="AI319" s="27"/>
      <c r="AJ319" s="27"/>
      <c r="AK319" s="27"/>
      <c r="AL319" s="27"/>
      <c r="AM319" s="27"/>
      <c r="AN319" s="27"/>
      <c r="AO319" s="27"/>
      <c r="AP319" s="27"/>
      <c r="AQ319" s="27"/>
      <c r="AR319" s="27"/>
      <c r="AS319" s="27"/>
      <c r="AT319" s="27"/>
      <c r="AU319" s="27"/>
    </row>
    <row r="320" spans="1:47" ht="15.75" customHeight="1">
      <c r="A320" s="44">
        <v>44309</v>
      </c>
      <c r="B320" s="57" t="s">
        <v>1258</v>
      </c>
      <c r="C320" s="33" t="s">
        <v>1027</v>
      </c>
      <c r="D320" s="33" t="s">
        <v>1028</v>
      </c>
      <c r="E320" s="90">
        <v>295.22000000000003</v>
      </c>
      <c r="F320" s="33" t="s">
        <v>1259</v>
      </c>
      <c r="G320" s="44" t="s">
        <v>835</v>
      </c>
      <c r="H320" s="44" t="s">
        <v>86</v>
      </c>
      <c r="I320" s="44" t="s">
        <v>864</v>
      </c>
      <c r="J320" s="44">
        <v>43382</v>
      </c>
      <c r="K320" s="91" t="s">
        <v>1030</v>
      </c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F320" s="27"/>
      <c r="AG320" s="27"/>
      <c r="AH320" s="27"/>
      <c r="AI320" s="27"/>
      <c r="AJ320" s="27"/>
      <c r="AK320" s="27"/>
      <c r="AL320" s="27"/>
      <c r="AM320" s="27"/>
      <c r="AN320" s="27"/>
      <c r="AO320" s="27"/>
      <c r="AP320" s="27"/>
      <c r="AQ320" s="27"/>
      <c r="AR320" s="27"/>
      <c r="AS320" s="27"/>
      <c r="AT320" s="27"/>
      <c r="AU320" s="27"/>
    </row>
    <row r="321" spans="1:47" ht="15.75" customHeight="1">
      <c r="A321" s="44">
        <v>44309</v>
      </c>
      <c r="B321" s="57" t="s">
        <v>1260</v>
      </c>
      <c r="C321" s="33" t="s">
        <v>1027</v>
      </c>
      <c r="D321" s="33" t="s">
        <v>1028</v>
      </c>
      <c r="E321" s="90">
        <v>47.86</v>
      </c>
      <c r="F321" s="33" t="s">
        <v>1261</v>
      </c>
      <c r="G321" s="44" t="s">
        <v>830</v>
      </c>
      <c r="H321" s="44" t="s">
        <v>86</v>
      </c>
      <c r="I321" s="44" t="s">
        <v>878</v>
      </c>
      <c r="J321" s="44">
        <v>43665</v>
      </c>
      <c r="K321" s="91" t="s">
        <v>1033</v>
      </c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F321" s="27"/>
      <c r="AG321" s="27"/>
      <c r="AH321" s="27"/>
      <c r="AI321" s="27"/>
      <c r="AJ321" s="27"/>
      <c r="AK321" s="27"/>
      <c r="AL321" s="27"/>
      <c r="AM321" s="27"/>
      <c r="AN321" s="27"/>
      <c r="AO321" s="27"/>
      <c r="AP321" s="27"/>
      <c r="AQ321" s="27"/>
      <c r="AR321" s="27"/>
      <c r="AS321" s="27"/>
      <c r="AT321" s="27"/>
      <c r="AU321" s="27"/>
    </row>
    <row r="322" spans="1:47" ht="15.75" customHeight="1">
      <c r="A322" s="44">
        <v>44309</v>
      </c>
      <c r="B322" s="57" t="s">
        <v>1212</v>
      </c>
      <c r="C322" s="33" t="s">
        <v>1027</v>
      </c>
      <c r="D322" s="33" t="s">
        <v>1028</v>
      </c>
      <c r="E322" s="90"/>
      <c r="F322" s="33" t="s">
        <v>1213</v>
      </c>
      <c r="G322" s="44" t="s">
        <v>835</v>
      </c>
      <c r="H322" s="44" t="s">
        <v>86</v>
      </c>
      <c r="I322" s="44" t="s">
        <v>920</v>
      </c>
      <c r="J322" s="44">
        <v>43515</v>
      </c>
      <c r="K322" s="91" t="s">
        <v>1030</v>
      </c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F322" s="27"/>
      <c r="AG322" s="27"/>
      <c r="AH322" s="27"/>
      <c r="AI322" s="27"/>
      <c r="AJ322" s="27"/>
      <c r="AK322" s="27"/>
      <c r="AL322" s="27"/>
      <c r="AM322" s="27"/>
      <c r="AN322" s="27"/>
      <c r="AO322" s="27"/>
      <c r="AP322" s="27"/>
      <c r="AQ322" s="27"/>
      <c r="AR322" s="27"/>
      <c r="AS322" s="27"/>
      <c r="AT322" s="27"/>
      <c r="AU322" s="27"/>
    </row>
    <row r="323" spans="1:47" ht="15.75" customHeight="1">
      <c r="A323" s="44">
        <v>44309</v>
      </c>
      <c r="B323" s="57" t="s">
        <v>1063</v>
      </c>
      <c r="C323" s="33" t="s">
        <v>1027</v>
      </c>
      <c r="D323" s="33" t="s">
        <v>1028</v>
      </c>
      <c r="E323" s="90">
        <v>4170.42</v>
      </c>
      <c r="F323" s="33" t="s">
        <v>1064</v>
      </c>
      <c r="G323" s="44" t="s">
        <v>830</v>
      </c>
      <c r="H323" s="44" t="s">
        <v>86</v>
      </c>
      <c r="I323" s="44" t="s">
        <v>969</v>
      </c>
      <c r="J323" s="44">
        <v>43664</v>
      </c>
      <c r="K323" s="91" t="s">
        <v>1033</v>
      </c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F323" s="27"/>
      <c r="AG323" s="27"/>
      <c r="AH323" s="27"/>
      <c r="AI323" s="27"/>
      <c r="AJ323" s="27"/>
      <c r="AK323" s="27"/>
      <c r="AL323" s="27"/>
      <c r="AM323" s="27"/>
      <c r="AN323" s="27"/>
      <c r="AO323" s="27"/>
      <c r="AP323" s="27"/>
      <c r="AQ323" s="27"/>
      <c r="AR323" s="27"/>
      <c r="AS323" s="27"/>
      <c r="AT323" s="27"/>
      <c r="AU323" s="27"/>
    </row>
    <row r="324" spans="1:47" ht="15.75" customHeight="1">
      <c r="A324" s="44">
        <v>44312</v>
      </c>
      <c r="B324" s="57" t="s">
        <v>1262</v>
      </c>
      <c r="C324" s="33" t="s">
        <v>1027</v>
      </c>
      <c r="D324" s="33" t="s">
        <v>1028</v>
      </c>
      <c r="E324" s="90">
        <v>6.32</v>
      </c>
      <c r="F324" s="33" t="s">
        <v>1263</v>
      </c>
      <c r="G324" s="44" t="s">
        <v>830</v>
      </c>
      <c r="H324" s="44" t="s">
        <v>86</v>
      </c>
      <c r="I324" s="44" t="s">
        <v>878</v>
      </c>
      <c r="J324" s="44" t="s">
        <v>1264</v>
      </c>
      <c r="K324" s="91" t="s">
        <v>1041</v>
      </c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F324" s="27"/>
      <c r="AG324" s="27"/>
      <c r="AH324" s="27"/>
      <c r="AI324" s="27"/>
      <c r="AJ324" s="27"/>
      <c r="AK324" s="27"/>
      <c r="AL324" s="27"/>
      <c r="AM324" s="27"/>
      <c r="AN324" s="27"/>
      <c r="AO324" s="27"/>
      <c r="AP324" s="27"/>
      <c r="AQ324" s="27"/>
      <c r="AR324" s="27"/>
      <c r="AS324" s="27"/>
      <c r="AT324" s="27"/>
      <c r="AU324" s="27"/>
    </row>
    <row r="325" spans="1:47" ht="15.75" customHeight="1">
      <c r="A325" s="44">
        <v>44312</v>
      </c>
      <c r="B325" s="57" t="s">
        <v>1036</v>
      </c>
      <c r="C325" s="33" t="s">
        <v>1027</v>
      </c>
      <c r="D325" s="33" t="s">
        <v>1028</v>
      </c>
      <c r="E325" s="90">
        <v>242.83</v>
      </c>
      <c r="F325" s="33" t="s">
        <v>1038</v>
      </c>
      <c r="G325" s="44" t="s">
        <v>830</v>
      </c>
      <c r="H325" s="44" t="s">
        <v>86</v>
      </c>
      <c r="I325" s="44" t="s">
        <v>878</v>
      </c>
      <c r="J325" s="44">
        <v>43675</v>
      </c>
      <c r="K325" s="91" t="s">
        <v>1033</v>
      </c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F325" s="27"/>
      <c r="AG325" s="27"/>
      <c r="AH325" s="27"/>
      <c r="AI325" s="27"/>
      <c r="AJ325" s="27"/>
      <c r="AK325" s="27"/>
      <c r="AL325" s="27"/>
      <c r="AM325" s="27"/>
      <c r="AN325" s="27"/>
      <c r="AO325" s="27"/>
      <c r="AP325" s="27"/>
      <c r="AQ325" s="27"/>
      <c r="AR325" s="27"/>
      <c r="AS325" s="27"/>
      <c r="AT325" s="27"/>
      <c r="AU325" s="27"/>
    </row>
    <row r="326" spans="1:47" ht="15.75" customHeight="1">
      <c r="A326" s="45">
        <v>44312</v>
      </c>
      <c r="B326" s="64" t="s">
        <v>1156</v>
      </c>
      <c r="C326" s="46" t="s">
        <v>1027</v>
      </c>
      <c r="D326" s="33" t="s">
        <v>1062</v>
      </c>
      <c r="E326" s="90">
        <v>57000</v>
      </c>
      <c r="F326" s="33" t="s">
        <v>1157</v>
      </c>
      <c r="G326" s="44" t="s">
        <v>830</v>
      </c>
      <c r="H326" s="44" t="s">
        <v>86</v>
      </c>
      <c r="I326" s="44" t="s">
        <v>969</v>
      </c>
      <c r="J326" s="44">
        <v>43622</v>
      </c>
      <c r="K326" s="91" t="s">
        <v>1054</v>
      </c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F326" s="27"/>
      <c r="AG326" s="27"/>
      <c r="AH326" s="27"/>
      <c r="AI326" s="27"/>
      <c r="AJ326" s="27"/>
      <c r="AK326" s="27"/>
      <c r="AL326" s="27"/>
      <c r="AM326" s="27"/>
      <c r="AN326" s="27"/>
      <c r="AO326" s="27"/>
      <c r="AP326" s="27"/>
      <c r="AQ326" s="27"/>
      <c r="AR326" s="27"/>
      <c r="AS326" s="27"/>
      <c r="AT326" s="27"/>
      <c r="AU326" s="27"/>
    </row>
    <row r="327" spans="1:47" ht="15.75" customHeight="1">
      <c r="A327" s="44">
        <v>44314</v>
      </c>
      <c r="B327" s="57" t="s">
        <v>1254</v>
      </c>
      <c r="C327" s="33" t="s">
        <v>1027</v>
      </c>
      <c r="D327" s="33" t="s">
        <v>1028</v>
      </c>
      <c r="E327" s="90">
        <v>299695.62</v>
      </c>
      <c r="F327" s="33" t="s">
        <v>1255</v>
      </c>
      <c r="G327" s="44" t="s">
        <v>830</v>
      </c>
      <c r="H327" s="44" t="s">
        <v>86</v>
      </c>
      <c r="I327" s="44" t="s">
        <v>969</v>
      </c>
      <c r="J327" s="44">
        <v>43874</v>
      </c>
      <c r="K327" s="91" t="s">
        <v>1041</v>
      </c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F327" s="27"/>
      <c r="AG327" s="27"/>
      <c r="AH327" s="27"/>
      <c r="AI327" s="27"/>
      <c r="AJ327" s="27"/>
      <c r="AK327" s="27"/>
      <c r="AL327" s="27"/>
      <c r="AM327" s="27"/>
      <c r="AN327" s="27"/>
      <c r="AO327" s="27"/>
      <c r="AP327" s="27"/>
      <c r="AQ327" s="27"/>
      <c r="AR327" s="27"/>
      <c r="AS327" s="27"/>
      <c r="AT327" s="27"/>
      <c r="AU327" s="27"/>
    </row>
    <row r="328" spans="1:47" ht="15.75" customHeight="1">
      <c r="A328" s="44">
        <v>44314</v>
      </c>
      <c r="B328" s="57" t="s">
        <v>1265</v>
      </c>
      <c r="C328" s="33" t="s">
        <v>1027</v>
      </c>
      <c r="D328" s="33" t="s">
        <v>1028</v>
      </c>
      <c r="E328" s="90">
        <v>29853.439999999999</v>
      </c>
      <c r="F328" s="33" t="s">
        <v>1266</v>
      </c>
      <c r="G328" s="44" t="s">
        <v>830</v>
      </c>
      <c r="H328" s="44" t="s">
        <v>86</v>
      </c>
      <c r="I328" s="44" t="s">
        <v>878</v>
      </c>
      <c r="J328" s="44">
        <v>43620</v>
      </c>
      <c r="K328" s="91" t="s">
        <v>1054</v>
      </c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F328" s="27"/>
      <c r="AG328" s="27"/>
      <c r="AH328" s="27"/>
      <c r="AI328" s="27"/>
      <c r="AJ328" s="27"/>
      <c r="AK328" s="27"/>
      <c r="AL328" s="27"/>
      <c r="AM328" s="27"/>
      <c r="AN328" s="27"/>
      <c r="AO328" s="27"/>
      <c r="AP328" s="27"/>
      <c r="AQ328" s="27"/>
      <c r="AR328" s="27"/>
      <c r="AS328" s="27"/>
      <c r="AT328" s="27"/>
      <c r="AU328" s="27"/>
    </row>
    <row r="329" spans="1:47" ht="15.75" customHeight="1">
      <c r="A329" s="45">
        <v>44314</v>
      </c>
      <c r="B329" s="64" t="s">
        <v>1267</v>
      </c>
      <c r="C329" s="46" t="s">
        <v>1027</v>
      </c>
      <c r="D329" s="33" t="s">
        <v>1037</v>
      </c>
      <c r="E329" s="90">
        <v>11000</v>
      </c>
      <c r="F329" s="33" t="s">
        <v>1268</v>
      </c>
      <c r="G329" s="44" t="s">
        <v>835</v>
      </c>
      <c r="H329" s="44" t="s">
        <v>1176</v>
      </c>
      <c r="I329" s="44" t="s">
        <v>971</v>
      </c>
      <c r="J329" s="44">
        <v>44298</v>
      </c>
      <c r="K329" s="91" t="s">
        <v>1041</v>
      </c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F329" s="27"/>
      <c r="AG329" s="27"/>
      <c r="AH329" s="27"/>
      <c r="AI329" s="27"/>
      <c r="AJ329" s="27"/>
      <c r="AK329" s="27"/>
      <c r="AL329" s="27"/>
      <c r="AM329" s="27"/>
      <c r="AN329" s="27"/>
      <c r="AO329" s="27"/>
      <c r="AP329" s="27"/>
      <c r="AQ329" s="27"/>
      <c r="AR329" s="27"/>
      <c r="AS329" s="27"/>
      <c r="AT329" s="27"/>
      <c r="AU329" s="27"/>
    </row>
    <row r="330" spans="1:47" ht="15.75" customHeight="1">
      <c r="A330" s="45">
        <v>44314</v>
      </c>
      <c r="B330" s="64" t="s">
        <v>1048</v>
      </c>
      <c r="C330" s="46" t="s">
        <v>1027</v>
      </c>
      <c r="D330" s="33" t="s">
        <v>1037</v>
      </c>
      <c r="E330" s="90">
        <v>12000</v>
      </c>
      <c r="F330" s="33" t="s">
        <v>1049</v>
      </c>
      <c r="G330" s="44" t="s">
        <v>830</v>
      </c>
      <c r="H330" s="44" t="s">
        <v>86</v>
      </c>
      <c r="I330" s="44" t="s">
        <v>878</v>
      </c>
      <c r="J330" s="44">
        <v>43703</v>
      </c>
      <c r="K330" s="91" t="s">
        <v>1033</v>
      </c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F330" s="27"/>
      <c r="AG330" s="27"/>
      <c r="AH330" s="27"/>
      <c r="AI330" s="27"/>
      <c r="AJ330" s="27"/>
      <c r="AK330" s="27"/>
      <c r="AL330" s="27"/>
      <c r="AM330" s="27"/>
      <c r="AN330" s="27"/>
      <c r="AO330" s="27"/>
      <c r="AP330" s="27"/>
      <c r="AQ330" s="27"/>
      <c r="AR330" s="27"/>
      <c r="AS330" s="27"/>
      <c r="AT330" s="27"/>
      <c r="AU330" s="27"/>
    </row>
    <row r="331" spans="1:47" ht="15.75" customHeight="1">
      <c r="A331" s="45">
        <v>44314</v>
      </c>
      <c r="B331" s="64" t="s">
        <v>1265</v>
      </c>
      <c r="C331" s="46" t="s">
        <v>1027</v>
      </c>
      <c r="D331" s="33" t="s">
        <v>1062</v>
      </c>
      <c r="E331" s="90">
        <v>162050.69</v>
      </c>
      <c r="F331" s="33" t="s">
        <v>1266</v>
      </c>
      <c r="G331" s="44" t="s">
        <v>830</v>
      </c>
      <c r="H331" s="44" t="s">
        <v>86</v>
      </c>
      <c r="I331" s="44" t="s">
        <v>878</v>
      </c>
      <c r="J331" s="44">
        <v>43620</v>
      </c>
      <c r="K331" s="91" t="s">
        <v>1054</v>
      </c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F331" s="27"/>
      <c r="AG331" s="27"/>
      <c r="AH331" s="27"/>
      <c r="AI331" s="27"/>
      <c r="AJ331" s="27"/>
      <c r="AK331" s="27"/>
      <c r="AL331" s="27"/>
      <c r="AM331" s="27"/>
      <c r="AN331" s="27"/>
      <c r="AO331" s="27"/>
      <c r="AP331" s="27"/>
      <c r="AQ331" s="27"/>
      <c r="AR331" s="27"/>
      <c r="AS331" s="27"/>
      <c r="AT331" s="27"/>
      <c r="AU331" s="27"/>
    </row>
    <row r="332" spans="1:47" ht="15.75" customHeight="1">
      <c r="A332" s="45">
        <v>44314</v>
      </c>
      <c r="B332" s="64" t="s">
        <v>1150</v>
      </c>
      <c r="C332" s="46" t="s">
        <v>48</v>
      </c>
      <c r="D332" s="33" t="s">
        <v>1037</v>
      </c>
      <c r="E332" s="90">
        <v>5000</v>
      </c>
      <c r="F332" s="33" t="s">
        <v>1151</v>
      </c>
      <c r="G332" s="33" t="s">
        <v>830</v>
      </c>
      <c r="H332" s="33" t="s">
        <v>86</v>
      </c>
      <c r="I332" s="33" t="s">
        <v>830</v>
      </c>
      <c r="J332" s="44">
        <v>43901</v>
      </c>
      <c r="K332" s="92" t="s">
        <v>1122</v>
      </c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F332" s="27"/>
      <c r="AG332" s="27"/>
      <c r="AH332" s="27"/>
      <c r="AI332" s="27"/>
      <c r="AJ332" s="27"/>
      <c r="AK332" s="27"/>
      <c r="AL332" s="27"/>
      <c r="AM332" s="27"/>
      <c r="AN332" s="27"/>
      <c r="AO332" s="27"/>
      <c r="AP332" s="27"/>
      <c r="AQ332" s="27"/>
      <c r="AR332" s="27"/>
      <c r="AS332" s="27"/>
      <c r="AT332" s="27"/>
      <c r="AU332" s="27"/>
    </row>
    <row r="333" spans="1:47" ht="15.75" customHeight="1">
      <c r="A333" s="44">
        <v>44315</v>
      </c>
      <c r="B333" s="57" t="s">
        <v>1269</v>
      </c>
      <c r="C333" s="33" t="s">
        <v>48</v>
      </c>
      <c r="D333" s="33" t="s">
        <v>1028</v>
      </c>
      <c r="E333" s="90">
        <v>0</v>
      </c>
      <c r="F333" s="33" t="s">
        <v>1270</v>
      </c>
      <c r="G333" s="33" t="s">
        <v>904</v>
      </c>
      <c r="H333" s="33" t="s">
        <v>86</v>
      </c>
      <c r="I333" s="33" t="s">
        <v>882</v>
      </c>
      <c r="J333" s="44">
        <v>44183</v>
      </c>
      <c r="K333" s="92" t="s">
        <v>1122</v>
      </c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F333" s="27"/>
      <c r="AG333" s="27"/>
      <c r="AH333" s="27"/>
      <c r="AI333" s="27"/>
      <c r="AJ333" s="27"/>
      <c r="AK333" s="27"/>
      <c r="AL333" s="27"/>
      <c r="AM333" s="27"/>
      <c r="AN333" s="27"/>
      <c r="AO333" s="27"/>
      <c r="AP333" s="27"/>
      <c r="AQ333" s="27"/>
      <c r="AR333" s="27"/>
      <c r="AS333" s="27"/>
      <c r="AT333" s="27"/>
      <c r="AU333" s="27"/>
    </row>
    <row r="334" spans="1:47" ht="15.75" customHeight="1">
      <c r="A334" s="45">
        <v>44315</v>
      </c>
      <c r="B334" s="64" t="s">
        <v>1269</v>
      </c>
      <c r="C334" s="46" t="s">
        <v>48</v>
      </c>
      <c r="D334" s="33" t="s">
        <v>1062</v>
      </c>
      <c r="E334" s="90">
        <v>103154.55</v>
      </c>
      <c r="F334" s="33" t="s">
        <v>1270</v>
      </c>
      <c r="G334" s="33" t="s">
        <v>904</v>
      </c>
      <c r="H334" s="33" t="s">
        <v>86</v>
      </c>
      <c r="I334" s="33" t="s">
        <v>882</v>
      </c>
      <c r="J334" s="44">
        <v>44183</v>
      </c>
      <c r="K334" s="92" t="s">
        <v>1122</v>
      </c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F334" s="27"/>
      <c r="AG334" s="27"/>
      <c r="AH334" s="27"/>
      <c r="AI334" s="27"/>
      <c r="AJ334" s="27"/>
      <c r="AK334" s="27"/>
      <c r="AL334" s="27"/>
      <c r="AM334" s="27"/>
      <c r="AN334" s="27"/>
      <c r="AO334" s="27"/>
      <c r="AP334" s="27"/>
      <c r="AQ334" s="27"/>
      <c r="AR334" s="27"/>
      <c r="AS334" s="27"/>
      <c r="AT334" s="27"/>
      <c r="AU334" s="27"/>
    </row>
    <row r="335" spans="1:47" ht="15.75" customHeight="1">
      <c r="A335" s="45">
        <v>44316</v>
      </c>
      <c r="B335" s="64" t="s">
        <v>1267</v>
      </c>
      <c r="C335" s="46" t="s">
        <v>1027</v>
      </c>
      <c r="D335" s="33" t="s">
        <v>1037</v>
      </c>
      <c r="E335" s="90">
        <v>100000</v>
      </c>
      <c r="F335" s="33" t="s">
        <v>1268</v>
      </c>
      <c r="G335" s="44" t="s">
        <v>835</v>
      </c>
      <c r="H335" s="44" t="s">
        <v>1176</v>
      </c>
      <c r="I335" s="44" t="s">
        <v>971</v>
      </c>
      <c r="J335" s="44">
        <v>44298</v>
      </c>
      <c r="K335" s="91" t="s">
        <v>1041</v>
      </c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F335" s="27"/>
      <c r="AG335" s="27"/>
      <c r="AH335" s="27"/>
      <c r="AI335" s="27"/>
      <c r="AJ335" s="27"/>
      <c r="AK335" s="27"/>
      <c r="AL335" s="27"/>
      <c r="AM335" s="27"/>
      <c r="AN335" s="27"/>
      <c r="AO335" s="27"/>
      <c r="AP335" s="27"/>
      <c r="AQ335" s="27"/>
      <c r="AR335" s="27"/>
      <c r="AS335" s="27"/>
      <c r="AT335" s="27"/>
      <c r="AU335" s="27"/>
    </row>
    <row r="336" spans="1:47" ht="15.75" customHeight="1">
      <c r="A336" s="45">
        <v>44316</v>
      </c>
      <c r="B336" s="64" t="s">
        <v>1048</v>
      </c>
      <c r="C336" s="46" t="s">
        <v>1027</v>
      </c>
      <c r="D336" s="33" t="s">
        <v>1037</v>
      </c>
      <c r="E336" s="90">
        <v>9000</v>
      </c>
      <c r="F336" s="33" t="s">
        <v>1049</v>
      </c>
      <c r="G336" s="44" t="s">
        <v>830</v>
      </c>
      <c r="H336" s="44" t="s">
        <v>86</v>
      </c>
      <c r="I336" s="44" t="s">
        <v>878</v>
      </c>
      <c r="J336" s="44">
        <v>43703</v>
      </c>
      <c r="K336" s="91" t="s">
        <v>1033</v>
      </c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F336" s="27"/>
      <c r="AG336" s="27"/>
      <c r="AH336" s="27"/>
      <c r="AI336" s="27"/>
      <c r="AJ336" s="27"/>
      <c r="AK336" s="27"/>
      <c r="AL336" s="27"/>
      <c r="AM336" s="27"/>
      <c r="AN336" s="27"/>
      <c r="AO336" s="27"/>
      <c r="AP336" s="27"/>
      <c r="AQ336" s="27"/>
      <c r="AR336" s="27"/>
      <c r="AS336" s="27"/>
      <c r="AT336" s="27"/>
      <c r="AU336" s="27"/>
    </row>
    <row r="337" spans="1:47" ht="15.75" customHeight="1">
      <c r="A337" s="45">
        <v>44316</v>
      </c>
      <c r="B337" s="64" t="s">
        <v>1240</v>
      </c>
      <c r="C337" s="46" t="s">
        <v>48</v>
      </c>
      <c r="D337" s="33" t="s">
        <v>1037</v>
      </c>
      <c r="E337" s="90">
        <v>5000</v>
      </c>
      <c r="F337" s="33" t="s">
        <v>1241</v>
      </c>
      <c r="G337" s="33" t="s">
        <v>904</v>
      </c>
      <c r="H337" s="33" t="s">
        <v>86</v>
      </c>
      <c r="I337" s="33" t="s">
        <v>935</v>
      </c>
      <c r="J337" s="44">
        <v>44180</v>
      </c>
      <c r="K337" s="92" t="s">
        <v>1041</v>
      </c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F337" s="27"/>
      <c r="AG337" s="27"/>
      <c r="AH337" s="27"/>
      <c r="AI337" s="27"/>
      <c r="AJ337" s="27"/>
      <c r="AK337" s="27"/>
      <c r="AL337" s="27"/>
      <c r="AM337" s="27"/>
      <c r="AN337" s="27"/>
      <c r="AO337" s="27"/>
      <c r="AP337" s="27"/>
      <c r="AQ337" s="27"/>
      <c r="AR337" s="27"/>
      <c r="AS337" s="27"/>
      <c r="AT337" s="27"/>
      <c r="AU337" s="27"/>
    </row>
    <row r="338" spans="1:47" ht="15.75" customHeight="1">
      <c r="A338" s="44">
        <v>44319</v>
      </c>
      <c r="B338" s="57" t="s">
        <v>1271</v>
      </c>
      <c r="C338" s="33" t="s">
        <v>48</v>
      </c>
      <c r="D338" s="33" t="s">
        <v>1028</v>
      </c>
      <c r="E338" s="90">
        <v>0</v>
      </c>
      <c r="F338" s="33" t="s">
        <v>1272</v>
      </c>
      <c r="G338" s="33" t="s">
        <v>904</v>
      </c>
      <c r="H338" s="33" t="s">
        <v>1273</v>
      </c>
      <c r="I338" s="33" t="s">
        <v>862</v>
      </c>
      <c r="J338" s="44">
        <v>44246</v>
      </c>
      <c r="K338" s="92" t="s">
        <v>1122</v>
      </c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F338" s="27"/>
      <c r="AG338" s="27"/>
      <c r="AH338" s="27"/>
      <c r="AI338" s="27"/>
      <c r="AJ338" s="27"/>
      <c r="AK338" s="27"/>
      <c r="AL338" s="27"/>
      <c r="AM338" s="27"/>
      <c r="AN338" s="27"/>
      <c r="AO338" s="27"/>
      <c r="AP338" s="27"/>
      <c r="AQ338" s="27"/>
      <c r="AR338" s="27"/>
      <c r="AS338" s="27"/>
      <c r="AT338" s="27"/>
      <c r="AU338" s="27"/>
    </row>
    <row r="339" spans="1:47" ht="15.75" customHeight="1">
      <c r="A339" s="45">
        <v>44319</v>
      </c>
      <c r="B339" s="64" t="s">
        <v>1052</v>
      </c>
      <c r="C339" s="46" t="s">
        <v>1027</v>
      </c>
      <c r="D339" s="33" t="s">
        <v>1037</v>
      </c>
      <c r="E339" s="90">
        <v>150895.04999999999</v>
      </c>
      <c r="F339" s="33" t="s">
        <v>1053</v>
      </c>
      <c r="G339" s="44" t="s">
        <v>830</v>
      </c>
      <c r="H339" s="44" t="s">
        <v>86</v>
      </c>
      <c r="I339" s="44" t="s">
        <v>878</v>
      </c>
      <c r="J339" s="44">
        <v>43605</v>
      </c>
      <c r="K339" s="91" t="s">
        <v>1054</v>
      </c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F339" s="27"/>
      <c r="AG339" s="27"/>
      <c r="AH339" s="27"/>
      <c r="AI339" s="27"/>
      <c r="AJ339" s="27"/>
      <c r="AK339" s="27"/>
      <c r="AL339" s="27"/>
      <c r="AM339" s="27"/>
      <c r="AN339" s="27"/>
      <c r="AO339" s="27"/>
      <c r="AP339" s="27"/>
      <c r="AQ339" s="27"/>
      <c r="AR339" s="27"/>
      <c r="AS339" s="27"/>
      <c r="AT339" s="27"/>
      <c r="AU339" s="27"/>
    </row>
    <row r="340" spans="1:47" ht="15.75" customHeight="1">
      <c r="A340" s="45">
        <v>44319</v>
      </c>
      <c r="B340" s="64" t="s">
        <v>1271</v>
      </c>
      <c r="C340" s="46" t="s">
        <v>48</v>
      </c>
      <c r="D340" s="33" t="s">
        <v>1062</v>
      </c>
      <c r="E340" s="90">
        <v>263682.77</v>
      </c>
      <c r="F340" s="33" t="s">
        <v>1272</v>
      </c>
      <c r="G340" s="33" t="s">
        <v>904</v>
      </c>
      <c r="H340" s="33" t="s">
        <v>1273</v>
      </c>
      <c r="I340" s="33" t="s">
        <v>862</v>
      </c>
      <c r="J340" s="44">
        <v>44246</v>
      </c>
      <c r="K340" s="92" t="s">
        <v>1122</v>
      </c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F340" s="27"/>
      <c r="AG340" s="27"/>
      <c r="AH340" s="27"/>
      <c r="AI340" s="27"/>
      <c r="AJ340" s="27"/>
      <c r="AK340" s="27"/>
      <c r="AL340" s="27"/>
      <c r="AM340" s="27"/>
      <c r="AN340" s="27"/>
      <c r="AO340" s="27"/>
      <c r="AP340" s="27"/>
      <c r="AQ340" s="27"/>
      <c r="AR340" s="27"/>
      <c r="AS340" s="27"/>
      <c r="AT340" s="27"/>
      <c r="AU340" s="27"/>
    </row>
    <row r="341" spans="1:47" ht="15.75" customHeight="1">
      <c r="A341" s="45">
        <v>44320</v>
      </c>
      <c r="B341" s="64" t="s">
        <v>1065</v>
      </c>
      <c r="C341" s="46" t="s">
        <v>1027</v>
      </c>
      <c r="D341" s="33" t="s">
        <v>1037</v>
      </c>
      <c r="E341" s="90">
        <v>54000</v>
      </c>
      <c r="F341" s="33" t="s">
        <v>1066</v>
      </c>
      <c r="G341" s="44" t="s">
        <v>830</v>
      </c>
      <c r="H341" s="44" t="s">
        <v>86</v>
      </c>
      <c r="I341" s="44" t="s">
        <v>969</v>
      </c>
      <c r="J341" s="44">
        <v>43559</v>
      </c>
      <c r="K341" s="91" t="s">
        <v>1033</v>
      </c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F341" s="27"/>
      <c r="AG341" s="27"/>
      <c r="AH341" s="27"/>
      <c r="AI341" s="27"/>
      <c r="AJ341" s="27"/>
      <c r="AK341" s="27"/>
      <c r="AL341" s="27"/>
      <c r="AM341" s="27"/>
      <c r="AN341" s="27"/>
      <c r="AO341" s="27"/>
      <c r="AP341" s="27"/>
      <c r="AQ341" s="27"/>
      <c r="AR341" s="27"/>
      <c r="AS341" s="27"/>
      <c r="AT341" s="27"/>
      <c r="AU341" s="27"/>
    </row>
    <row r="342" spans="1:47" ht="15.75" customHeight="1">
      <c r="A342" s="45">
        <v>44321</v>
      </c>
      <c r="B342" s="64" t="s">
        <v>1274</v>
      </c>
      <c r="C342" s="46" t="s">
        <v>48</v>
      </c>
      <c r="D342" s="33" t="s">
        <v>1062</v>
      </c>
      <c r="E342" s="90">
        <v>10000</v>
      </c>
      <c r="F342" s="33" t="s">
        <v>1275</v>
      </c>
      <c r="G342" s="33" t="s">
        <v>904</v>
      </c>
      <c r="H342" s="33" t="s">
        <v>86</v>
      </c>
      <c r="I342" s="33" t="s">
        <v>849</v>
      </c>
      <c r="J342" s="44">
        <v>44228</v>
      </c>
      <c r="K342" s="92" t="s">
        <v>1122</v>
      </c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F342" s="27"/>
      <c r="AG342" s="27"/>
      <c r="AH342" s="27"/>
      <c r="AI342" s="27"/>
      <c r="AJ342" s="27"/>
      <c r="AK342" s="27"/>
      <c r="AL342" s="27"/>
      <c r="AM342" s="27"/>
      <c r="AN342" s="27"/>
      <c r="AO342" s="27"/>
      <c r="AP342" s="27"/>
      <c r="AQ342" s="27"/>
      <c r="AR342" s="27"/>
      <c r="AS342" s="27"/>
      <c r="AT342" s="27"/>
      <c r="AU342" s="27"/>
    </row>
    <row r="343" spans="1:47" ht="15.75" customHeight="1">
      <c r="A343" s="45">
        <v>44321</v>
      </c>
      <c r="B343" s="64" t="s">
        <v>1276</v>
      </c>
      <c r="C343" s="46" t="s">
        <v>1027</v>
      </c>
      <c r="D343" s="33" t="s">
        <v>1037</v>
      </c>
      <c r="E343" s="90">
        <v>18500</v>
      </c>
      <c r="F343" s="33" t="s">
        <v>1277</v>
      </c>
      <c r="G343" s="44" t="s">
        <v>835</v>
      </c>
      <c r="H343" s="44" t="s">
        <v>1176</v>
      </c>
      <c r="I343" s="44" t="s">
        <v>971</v>
      </c>
      <c r="J343" s="44">
        <v>44279</v>
      </c>
      <c r="K343" s="91" t="s">
        <v>1041</v>
      </c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F343" s="27"/>
      <c r="AG343" s="27"/>
      <c r="AH343" s="27"/>
      <c r="AI343" s="27"/>
      <c r="AJ343" s="27"/>
      <c r="AK343" s="27"/>
      <c r="AL343" s="27"/>
      <c r="AM343" s="27"/>
      <c r="AN343" s="27"/>
      <c r="AO343" s="27"/>
      <c r="AP343" s="27"/>
      <c r="AQ343" s="27"/>
      <c r="AR343" s="27"/>
      <c r="AS343" s="27"/>
      <c r="AT343" s="27"/>
      <c r="AU343" s="27"/>
    </row>
    <row r="344" spans="1:47" ht="15.75" customHeight="1">
      <c r="A344" s="44">
        <v>44322</v>
      </c>
      <c r="B344" s="40" t="s">
        <v>1225</v>
      </c>
      <c r="C344" s="33" t="s">
        <v>1027</v>
      </c>
      <c r="D344" s="33" t="s">
        <v>1028</v>
      </c>
      <c r="E344" s="90">
        <v>19321.39</v>
      </c>
      <c r="F344" s="33" t="s">
        <v>1226</v>
      </c>
      <c r="G344" s="44" t="s">
        <v>835</v>
      </c>
      <c r="H344" s="44" t="s">
        <v>1176</v>
      </c>
      <c r="I344" s="44" t="s">
        <v>973</v>
      </c>
      <c r="J344" s="44">
        <v>44278</v>
      </c>
      <c r="K344" s="91" t="s">
        <v>1041</v>
      </c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F344" s="27"/>
      <c r="AG344" s="27"/>
      <c r="AH344" s="27"/>
      <c r="AI344" s="27"/>
      <c r="AJ344" s="27"/>
      <c r="AK344" s="27"/>
      <c r="AL344" s="27"/>
      <c r="AM344" s="27"/>
      <c r="AN344" s="27"/>
      <c r="AO344" s="27"/>
      <c r="AP344" s="27"/>
      <c r="AQ344" s="27"/>
      <c r="AR344" s="27"/>
      <c r="AS344" s="27"/>
      <c r="AT344" s="27"/>
      <c r="AU344" s="27"/>
    </row>
    <row r="345" spans="1:47" ht="15.75" customHeight="1">
      <c r="A345" s="45">
        <v>44322</v>
      </c>
      <c r="B345" s="64" t="s">
        <v>1048</v>
      </c>
      <c r="C345" s="46" t="s">
        <v>1027</v>
      </c>
      <c r="D345" s="33" t="s">
        <v>1037</v>
      </c>
      <c r="E345" s="90">
        <v>103664.69</v>
      </c>
      <c r="F345" s="33" t="s">
        <v>1049</v>
      </c>
      <c r="G345" s="44" t="s">
        <v>830</v>
      </c>
      <c r="H345" s="44" t="s">
        <v>86</v>
      </c>
      <c r="I345" s="44" t="s">
        <v>878</v>
      </c>
      <c r="J345" s="44">
        <v>43703</v>
      </c>
      <c r="K345" s="91" t="s">
        <v>1033</v>
      </c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F345" s="27"/>
      <c r="AG345" s="27"/>
      <c r="AH345" s="27"/>
      <c r="AI345" s="27"/>
      <c r="AJ345" s="27"/>
      <c r="AK345" s="27"/>
      <c r="AL345" s="27"/>
      <c r="AM345" s="27"/>
      <c r="AN345" s="27"/>
      <c r="AO345" s="27"/>
      <c r="AP345" s="27"/>
      <c r="AQ345" s="27"/>
      <c r="AR345" s="27"/>
      <c r="AS345" s="27"/>
      <c r="AT345" s="27"/>
      <c r="AU345" s="27"/>
    </row>
    <row r="346" spans="1:47" ht="15.75" customHeight="1">
      <c r="A346" s="45">
        <v>44326</v>
      </c>
      <c r="B346" s="64" t="s">
        <v>1160</v>
      </c>
      <c r="C346" s="46" t="s">
        <v>1027</v>
      </c>
      <c r="D346" s="33" t="s">
        <v>1037</v>
      </c>
      <c r="E346" s="90">
        <v>11000</v>
      </c>
      <c r="F346" s="33" t="s">
        <v>1161</v>
      </c>
      <c r="G346" s="44" t="s">
        <v>830</v>
      </c>
      <c r="H346" s="44" t="s">
        <v>86</v>
      </c>
      <c r="I346" s="44" t="s">
        <v>878</v>
      </c>
      <c r="J346" s="44">
        <v>43873</v>
      </c>
      <c r="K346" s="91" t="s">
        <v>1041</v>
      </c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F346" s="27"/>
      <c r="AG346" s="27"/>
      <c r="AH346" s="27"/>
      <c r="AI346" s="27"/>
      <c r="AJ346" s="27"/>
      <c r="AK346" s="27"/>
      <c r="AL346" s="27"/>
      <c r="AM346" s="27"/>
      <c r="AN346" s="27"/>
      <c r="AO346" s="27"/>
      <c r="AP346" s="27"/>
      <c r="AQ346" s="27"/>
      <c r="AR346" s="27"/>
      <c r="AS346" s="27"/>
      <c r="AT346" s="27"/>
      <c r="AU346" s="27"/>
    </row>
    <row r="347" spans="1:47" ht="15.75" customHeight="1">
      <c r="A347" s="45">
        <v>44327</v>
      </c>
      <c r="B347" s="57" t="s">
        <v>1278</v>
      </c>
      <c r="C347" s="33" t="s">
        <v>1027</v>
      </c>
      <c r="D347" s="33" t="s">
        <v>1028</v>
      </c>
      <c r="E347" s="90">
        <v>797.3</v>
      </c>
      <c r="F347" s="33" t="s">
        <v>1279</v>
      </c>
      <c r="G347" s="44" t="s">
        <v>830</v>
      </c>
      <c r="H347" s="44" t="s">
        <v>86</v>
      </c>
      <c r="I347" s="44" t="s">
        <v>878</v>
      </c>
      <c r="J347" s="44">
        <v>43710</v>
      </c>
      <c r="K347" s="91" t="s">
        <v>1033</v>
      </c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F347" s="27"/>
      <c r="AG347" s="27"/>
      <c r="AH347" s="27"/>
      <c r="AI347" s="27"/>
      <c r="AJ347" s="27"/>
      <c r="AK347" s="27"/>
      <c r="AL347" s="27"/>
      <c r="AM347" s="27"/>
      <c r="AN347" s="27"/>
      <c r="AO347" s="27"/>
      <c r="AP347" s="27"/>
      <c r="AQ347" s="27"/>
      <c r="AR347" s="27"/>
      <c r="AS347" s="27"/>
      <c r="AT347" s="27"/>
      <c r="AU347" s="27"/>
    </row>
    <row r="348" spans="1:47" ht="15.75" customHeight="1">
      <c r="A348" s="45">
        <v>44327</v>
      </c>
      <c r="B348" s="64" t="s">
        <v>1111</v>
      </c>
      <c r="C348" s="46" t="s">
        <v>1027</v>
      </c>
      <c r="D348" s="33" t="s">
        <v>1062</v>
      </c>
      <c r="E348" s="39">
        <v>151479.54999999999</v>
      </c>
      <c r="F348" s="33" t="s">
        <v>1112</v>
      </c>
      <c r="G348" s="44" t="s">
        <v>830</v>
      </c>
      <c r="H348" s="44" t="s">
        <v>86</v>
      </c>
      <c r="I348" s="44" t="s">
        <v>878</v>
      </c>
      <c r="J348" s="44">
        <v>43732</v>
      </c>
      <c r="K348" s="91" t="s">
        <v>1033</v>
      </c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F348" s="27"/>
      <c r="AG348" s="27"/>
      <c r="AH348" s="27"/>
      <c r="AI348" s="27"/>
      <c r="AJ348" s="27"/>
      <c r="AK348" s="27"/>
      <c r="AL348" s="27"/>
      <c r="AM348" s="27"/>
      <c r="AN348" s="27"/>
      <c r="AO348" s="27"/>
      <c r="AP348" s="27"/>
      <c r="AQ348" s="27"/>
      <c r="AR348" s="27"/>
      <c r="AS348" s="27"/>
      <c r="AT348" s="27"/>
      <c r="AU348" s="27"/>
    </row>
    <row r="349" spans="1:47" ht="15.75" customHeight="1">
      <c r="A349" s="45">
        <v>44327</v>
      </c>
      <c r="B349" s="64" t="s">
        <v>1280</v>
      </c>
      <c r="C349" s="46" t="s">
        <v>1027</v>
      </c>
      <c r="D349" s="33" t="s">
        <v>1062</v>
      </c>
      <c r="E349" s="90">
        <v>405479.42</v>
      </c>
      <c r="F349" s="33" t="s">
        <v>1281</v>
      </c>
      <c r="G349" s="44" t="s">
        <v>830</v>
      </c>
      <c r="H349" s="44" t="s">
        <v>86</v>
      </c>
      <c r="I349" s="44" t="s">
        <v>878</v>
      </c>
      <c r="J349" s="44">
        <v>43684</v>
      </c>
      <c r="K349" s="91" t="s">
        <v>1033</v>
      </c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F349" s="27"/>
      <c r="AG349" s="27"/>
      <c r="AH349" s="27"/>
      <c r="AI349" s="27"/>
      <c r="AJ349" s="27"/>
      <c r="AK349" s="27"/>
      <c r="AL349" s="27"/>
      <c r="AM349" s="27"/>
      <c r="AN349" s="27"/>
      <c r="AO349" s="27"/>
      <c r="AP349" s="27"/>
      <c r="AQ349" s="27"/>
      <c r="AR349" s="27"/>
      <c r="AS349" s="27"/>
      <c r="AT349" s="27"/>
      <c r="AU349" s="27"/>
    </row>
    <row r="350" spans="1:47" ht="15.75" customHeight="1">
      <c r="A350" s="45">
        <v>44327</v>
      </c>
      <c r="B350" s="64" t="s">
        <v>1282</v>
      </c>
      <c r="C350" s="46" t="s">
        <v>1027</v>
      </c>
      <c r="D350" s="33" t="s">
        <v>1037</v>
      </c>
      <c r="E350" s="90">
        <v>70000</v>
      </c>
      <c r="F350" s="33" t="s">
        <v>1283</v>
      </c>
      <c r="G350" s="44" t="s">
        <v>835</v>
      </c>
      <c r="H350" s="44" t="s">
        <v>1176</v>
      </c>
      <c r="I350" s="44" t="s">
        <v>971</v>
      </c>
      <c r="J350" s="44">
        <v>44278</v>
      </c>
      <c r="K350" s="91" t="s">
        <v>1122</v>
      </c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F350" s="27"/>
      <c r="AG350" s="27"/>
      <c r="AH350" s="27"/>
      <c r="AI350" s="27"/>
      <c r="AJ350" s="27"/>
      <c r="AK350" s="27"/>
      <c r="AL350" s="27"/>
      <c r="AM350" s="27"/>
      <c r="AN350" s="27"/>
      <c r="AO350" s="27"/>
      <c r="AP350" s="27"/>
      <c r="AQ350" s="27"/>
      <c r="AR350" s="27"/>
      <c r="AS350" s="27"/>
      <c r="AT350" s="27"/>
      <c r="AU350" s="27"/>
    </row>
    <row r="351" spans="1:47" ht="15.75" customHeight="1">
      <c r="A351" s="45">
        <v>44327</v>
      </c>
      <c r="B351" s="64" t="s">
        <v>1160</v>
      </c>
      <c r="C351" s="46" t="s">
        <v>1027</v>
      </c>
      <c r="D351" s="33" t="s">
        <v>1037</v>
      </c>
      <c r="E351" s="90">
        <v>15000</v>
      </c>
      <c r="F351" s="33" t="s">
        <v>1161</v>
      </c>
      <c r="G351" s="44" t="s">
        <v>830</v>
      </c>
      <c r="H351" s="44" t="s">
        <v>86</v>
      </c>
      <c r="I351" s="44" t="s">
        <v>878</v>
      </c>
      <c r="J351" s="44">
        <v>43873</v>
      </c>
      <c r="K351" s="91" t="s">
        <v>1041</v>
      </c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F351" s="27"/>
      <c r="AG351" s="27"/>
      <c r="AH351" s="27"/>
      <c r="AI351" s="27"/>
      <c r="AJ351" s="27"/>
      <c r="AK351" s="27"/>
      <c r="AL351" s="27"/>
      <c r="AM351" s="27"/>
      <c r="AN351" s="27"/>
      <c r="AO351" s="27"/>
      <c r="AP351" s="27"/>
      <c r="AQ351" s="27"/>
      <c r="AR351" s="27"/>
      <c r="AS351" s="27"/>
      <c r="AT351" s="27"/>
      <c r="AU351" s="27"/>
    </row>
    <row r="352" spans="1:47" ht="15.75" customHeight="1">
      <c r="A352" s="44">
        <v>44329</v>
      </c>
      <c r="B352" s="57" t="s">
        <v>1139</v>
      </c>
      <c r="C352" s="33" t="s">
        <v>1027</v>
      </c>
      <c r="D352" s="33" t="s">
        <v>1028</v>
      </c>
      <c r="E352" s="90">
        <v>13320.06</v>
      </c>
      <c r="F352" s="33" t="s">
        <v>1140</v>
      </c>
      <c r="G352" s="44" t="s">
        <v>830</v>
      </c>
      <c r="H352" s="44" t="s">
        <v>86</v>
      </c>
      <c r="I352" s="44" t="s">
        <v>878</v>
      </c>
      <c r="J352" s="44">
        <v>44041</v>
      </c>
      <c r="K352" s="91" t="s">
        <v>1041</v>
      </c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F352" s="27"/>
      <c r="AG352" s="27"/>
      <c r="AH352" s="27"/>
      <c r="AI352" s="27"/>
      <c r="AJ352" s="27"/>
      <c r="AK352" s="27"/>
      <c r="AL352" s="27"/>
      <c r="AM352" s="27"/>
      <c r="AN352" s="27"/>
      <c r="AO352" s="27"/>
      <c r="AP352" s="27"/>
      <c r="AQ352" s="27"/>
      <c r="AR352" s="27"/>
      <c r="AS352" s="27"/>
      <c r="AT352" s="27"/>
      <c r="AU352" s="27"/>
    </row>
    <row r="353" spans="1:47" ht="15.75" customHeight="1">
      <c r="A353" s="45">
        <v>44329</v>
      </c>
      <c r="B353" s="64" t="s">
        <v>1048</v>
      </c>
      <c r="C353" s="46" t="s">
        <v>1027</v>
      </c>
      <c r="D353" s="33" t="s">
        <v>1037</v>
      </c>
      <c r="E353" s="90">
        <v>15000</v>
      </c>
      <c r="F353" s="33" t="s">
        <v>1049</v>
      </c>
      <c r="G353" s="44" t="s">
        <v>830</v>
      </c>
      <c r="H353" s="44" t="s">
        <v>86</v>
      </c>
      <c r="I353" s="44" t="s">
        <v>878</v>
      </c>
      <c r="J353" s="44">
        <v>43703</v>
      </c>
      <c r="K353" s="91" t="s">
        <v>1033</v>
      </c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F353" s="27"/>
      <c r="AG353" s="27"/>
      <c r="AH353" s="27"/>
      <c r="AI353" s="27"/>
      <c r="AJ353" s="27"/>
      <c r="AK353" s="27"/>
      <c r="AL353" s="27"/>
      <c r="AM353" s="27"/>
      <c r="AN353" s="27"/>
      <c r="AO353" s="27"/>
      <c r="AP353" s="27"/>
      <c r="AQ353" s="27"/>
      <c r="AR353" s="27"/>
      <c r="AS353" s="27"/>
      <c r="AT353" s="27"/>
      <c r="AU353" s="27"/>
    </row>
    <row r="354" spans="1:47" ht="15.75" customHeight="1">
      <c r="A354" s="45">
        <v>44329</v>
      </c>
      <c r="B354" s="64" t="s">
        <v>1284</v>
      </c>
      <c r="C354" s="46" t="s">
        <v>1027</v>
      </c>
      <c r="D354" s="33" t="s">
        <v>1062</v>
      </c>
      <c r="E354" s="90">
        <v>107481.43</v>
      </c>
      <c r="F354" s="33" t="s">
        <v>1285</v>
      </c>
      <c r="G354" s="44" t="s">
        <v>830</v>
      </c>
      <c r="H354" s="44" t="s">
        <v>86</v>
      </c>
      <c r="I354" s="44" t="s">
        <v>830</v>
      </c>
      <c r="J354" s="44">
        <v>44118</v>
      </c>
      <c r="K354" s="91" t="s">
        <v>1041</v>
      </c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F354" s="27"/>
      <c r="AG354" s="27"/>
      <c r="AH354" s="27"/>
      <c r="AI354" s="27"/>
      <c r="AJ354" s="27"/>
      <c r="AK354" s="27"/>
      <c r="AL354" s="27"/>
      <c r="AM354" s="27"/>
      <c r="AN354" s="27"/>
      <c r="AO354" s="27"/>
      <c r="AP354" s="27"/>
      <c r="AQ354" s="27"/>
      <c r="AR354" s="27"/>
      <c r="AS354" s="27"/>
      <c r="AT354" s="27"/>
      <c r="AU354" s="27"/>
    </row>
    <row r="355" spans="1:47" ht="15.75" customHeight="1">
      <c r="A355" s="45">
        <v>44329</v>
      </c>
      <c r="B355" s="64" t="s">
        <v>1286</v>
      </c>
      <c r="C355" s="46" t="s">
        <v>1027</v>
      </c>
      <c r="D355" s="33" t="s">
        <v>1062</v>
      </c>
      <c r="E355" s="90">
        <v>89000</v>
      </c>
      <c r="F355" s="33" t="s">
        <v>1287</v>
      </c>
      <c r="G355" s="44" t="s">
        <v>830</v>
      </c>
      <c r="H355" s="44" t="s">
        <v>86</v>
      </c>
      <c r="I355" s="44" t="s">
        <v>830</v>
      </c>
      <c r="J355" s="44">
        <v>44124</v>
      </c>
      <c r="K355" s="91" t="s">
        <v>1041</v>
      </c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F355" s="27"/>
      <c r="AG355" s="27"/>
      <c r="AH355" s="27"/>
      <c r="AI355" s="27"/>
      <c r="AJ355" s="27"/>
      <c r="AK355" s="27"/>
      <c r="AL355" s="27"/>
      <c r="AM355" s="27"/>
      <c r="AN355" s="27"/>
      <c r="AO355" s="27"/>
      <c r="AP355" s="27"/>
      <c r="AQ355" s="27"/>
      <c r="AR355" s="27"/>
      <c r="AS355" s="27"/>
      <c r="AT355" s="27"/>
      <c r="AU355" s="27"/>
    </row>
    <row r="356" spans="1:47" ht="15.75" customHeight="1">
      <c r="A356" s="45">
        <v>44330</v>
      </c>
      <c r="B356" s="64" t="s">
        <v>1288</v>
      </c>
      <c r="C356" s="46" t="s">
        <v>1027</v>
      </c>
      <c r="D356" s="33" t="s">
        <v>1037</v>
      </c>
      <c r="E356" s="90">
        <v>140003.78</v>
      </c>
      <c r="F356" s="33" t="s">
        <v>1289</v>
      </c>
      <c r="G356" s="44" t="s">
        <v>835</v>
      </c>
      <c r="H356" s="44" t="s">
        <v>1176</v>
      </c>
      <c r="I356" s="44" t="s">
        <v>973</v>
      </c>
      <c r="J356" s="44">
        <v>44280</v>
      </c>
      <c r="K356" s="91" t="s">
        <v>1041</v>
      </c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F356" s="27"/>
      <c r="AG356" s="27"/>
      <c r="AH356" s="27"/>
      <c r="AI356" s="27"/>
      <c r="AJ356" s="27"/>
      <c r="AK356" s="27"/>
      <c r="AL356" s="27"/>
      <c r="AM356" s="27"/>
      <c r="AN356" s="27"/>
      <c r="AO356" s="27"/>
      <c r="AP356" s="27"/>
      <c r="AQ356" s="27"/>
      <c r="AR356" s="27"/>
      <c r="AS356" s="27"/>
      <c r="AT356" s="27"/>
      <c r="AU356" s="27"/>
    </row>
    <row r="357" spans="1:47" ht="15.75" customHeight="1">
      <c r="A357" s="45">
        <v>44333</v>
      </c>
      <c r="B357" s="64" t="s">
        <v>1290</v>
      </c>
      <c r="C357" s="46" t="s">
        <v>48</v>
      </c>
      <c r="D357" s="33" t="s">
        <v>1037</v>
      </c>
      <c r="E357" s="90">
        <v>200000</v>
      </c>
      <c r="F357" s="33" t="s">
        <v>1041</v>
      </c>
      <c r="G357" s="33" t="s">
        <v>904</v>
      </c>
      <c r="H357" s="33" t="s">
        <v>86</v>
      </c>
      <c r="I357" s="33" t="s">
        <v>849</v>
      </c>
      <c r="J357" s="44">
        <v>44160</v>
      </c>
      <c r="K357" s="92" t="s">
        <v>1041</v>
      </c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F357" s="27"/>
      <c r="AG357" s="27"/>
      <c r="AH357" s="27"/>
      <c r="AI357" s="27"/>
      <c r="AJ357" s="27"/>
      <c r="AK357" s="27"/>
      <c r="AL357" s="27"/>
      <c r="AM357" s="27"/>
      <c r="AN357" s="27"/>
      <c r="AO357" s="27"/>
      <c r="AP357" s="27"/>
      <c r="AQ357" s="27"/>
      <c r="AR357" s="27"/>
      <c r="AS357" s="27"/>
      <c r="AT357" s="27"/>
      <c r="AU357" s="27"/>
    </row>
    <row r="358" spans="1:47" ht="15.75" customHeight="1">
      <c r="A358" s="44">
        <v>44335</v>
      </c>
      <c r="B358" s="57" t="s">
        <v>1291</v>
      </c>
      <c r="C358" s="33" t="s">
        <v>48</v>
      </c>
      <c r="D358" s="33" t="s">
        <v>1028</v>
      </c>
      <c r="E358" s="90">
        <v>0</v>
      </c>
      <c r="F358" s="33" t="s">
        <v>1292</v>
      </c>
      <c r="G358" s="33" t="s">
        <v>835</v>
      </c>
      <c r="H358" s="33" t="s">
        <v>86</v>
      </c>
      <c r="I358" s="33" t="s">
        <v>864</v>
      </c>
      <c r="J358" s="44">
        <v>43880</v>
      </c>
      <c r="K358" s="92" t="s">
        <v>1030</v>
      </c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F358" s="27"/>
      <c r="AG358" s="27"/>
      <c r="AH358" s="27"/>
      <c r="AI358" s="27"/>
      <c r="AJ358" s="27"/>
      <c r="AK358" s="27"/>
      <c r="AL358" s="27"/>
      <c r="AM358" s="27"/>
      <c r="AN358" s="27"/>
      <c r="AO358" s="27"/>
      <c r="AP358" s="27"/>
      <c r="AQ358" s="27"/>
      <c r="AR358" s="27"/>
      <c r="AS358" s="27"/>
      <c r="AT358" s="27"/>
      <c r="AU358" s="27"/>
    </row>
    <row r="359" spans="1:47" ht="15.75" customHeight="1">
      <c r="A359" s="45">
        <v>44336</v>
      </c>
      <c r="B359" s="64" t="s">
        <v>1267</v>
      </c>
      <c r="C359" s="46" t="s">
        <v>1027</v>
      </c>
      <c r="D359" s="33" t="s">
        <v>1037</v>
      </c>
      <c r="E359" s="90">
        <v>44600</v>
      </c>
      <c r="F359" s="33" t="s">
        <v>1268</v>
      </c>
      <c r="G359" s="44" t="s">
        <v>835</v>
      </c>
      <c r="H359" s="44" t="s">
        <v>1176</v>
      </c>
      <c r="I359" s="44" t="s">
        <v>971</v>
      </c>
      <c r="J359" s="44">
        <v>44298</v>
      </c>
      <c r="K359" s="91" t="s">
        <v>1041</v>
      </c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F359" s="27"/>
      <c r="AG359" s="27"/>
      <c r="AH359" s="27"/>
      <c r="AI359" s="27"/>
      <c r="AJ359" s="27"/>
      <c r="AK359" s="27"/>
      <c r="AL359" s="27"/>
      <c r="AM359" s="27"/>
      <c r="AN359" s="27"/>
      <c r="AO359" s="27"/>
      <c r="AP359" s="27"/>
      <c r="AQ359" s="27"/>
      <c r="AR359" s="27"/>
      <c r="AS359" s="27"/>
      <c r="AT359" s="27"/>
      <c r="AU359" s="27"/>
    </row>
    <row r="360" spans="1:47" ht="15.75" customHeight="1">
      <c r="A360" s="45">
        <v>44337</v>
      </c>
      <c r="B360" s="64" t="s">
        <v>1293</v>
      </c>
      <c r="C360" s="46" t="s">
        <v>1027</v>
      </c>
      <c r="D360" s="33" t="s">
        <v>1037</v>
      </c>
      <c r="E360" s="90">
        <v>54600</v>
      </c>
      <c r="F360" s="33" t="s">
        <v>1294</v>
      </c>
      <c r="G360" s="44" t="s">
        <v>835</v>
      </c>
      <c r="H360" s="44" t="s">
        <v>1176</v>
      </c>
      <c r="I360" s="44" t="s">
        <v>971</v>
      </c>
      <c r="J360" s="44">
        <v>44287</v>
      </c>
      <c r="K360" s="91" t="s">
        <v>1054</v>
      </c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F360" s="27"/>
      <c r="AG360" s="27"/>
      <c r="AH360" s="27"/>
      <c r="AI360" s="27"/>
      <c r="AJ360" s="27"/>
      <c r="AK360" s="27"/>
      <c r="AL360" s="27"/>
      <c r="AM360" s="27"/>
      <c r="AN360" s="27"/>
      <c r="AO360" s="27"/>
      <c r="AP360" s="27"/>
      <c r="AQ360" s="27"/>
      <c r="AR360" s="27"/>
      <c r="AS360" s="27"/>
      <c r="AT360" s="27"/>
      <c r="AU360" s="27"/>
    </row>
    <row r="361" spans="1:47" ht="15.75" customHeight="1">
      <c r="A361" s="45">
        <v>44337</v>
      </c>
      <c r="B361" s="64" t="s">
        <v>1295</v>
      </c>
      <c r="C361" s="46" t="s">
        <v>1027</v>
      </c>
      <c r="D361" s="33" t="s">
        <v>1037</v>
      </c>
      <c r="E361" s="90">
        <v>11500</v>
      </c>
      <c r="F361" s="33" t="s">
        <v>1296</v>
      </c>
      <c r="G361" s="44" t="s">
        <v>835</v>
      </c>
      <c r="H361" s="44" t="s">
        <v>1176</v>
      </c>
      <c r="I361" s="44" t="s">
        <v>971</v>
      </c>
      <c r="J361" s="44">
        <v>44333</v>
      </c>
      <c r="K361" s="91" t="s">
        <v>1054</v>
      </c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F361" s="27"/>
      <c r="AG361" s="27"/>
      <c r="AH361" s="27"/>
      <c r="AI361" s="27"/>
      <c r="AJ361" s="27"/>
      <c r="AK361" s="27"/>
      <c r="AL361" s="27"/>
      <c r="AM361" s="27"/>
      <c r="AN361" s="27"/>
      <c r="AO361" s="27"/>
      <c r="AP361" s="27"/>
      <c r="AQ361" s="27"/>
      <c r="AR361" s="27"/>
      <c r="AS361" s="27"/>
      <c r="AT361" s="27"/>
      <c r="AU361" s="27"/>
    </row>
    <row r="362" spans="1:47" ht="15.75" customHeight="1">
      <c r="A362" s="45">
        <v>44340</v>
      </c>
      <c r="B362" s="64" t="s">
        <v>1142</v>
      </c>
      <c r="C362" s="46" t="s">
        <v>1027</v>
      </c>
      <c r="D362" s="33" t="s">
        <v>1037</v>
      </c>
      <c r="E362" s="90">
        <v>98710.87</v>
      </c>
      <c r="F362" s="33" t="s">
        <v>1143</v>
      </c>
      <c r="G362" s="44" t="s">
        <v>830</v>
      </c>
      <c r="H362" s="44" t="s">
        <v>86</v>
      </c>
      <c r="I362" s="44" t="s">
        <v>878</v>
      </c>
      <c r="J362" s="44">
        <v>43711</v>
      </c>
      <c r="K362" s="91" t="s">
        <v>1033</v>
      </c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F362" s="27"/>
      <c r="AG362" s="27"/>
      <c r="AH362" s="27"/>
      <c r="AI362" s="27"/>
      <c r="AJ362" s="27"/>
      <c r="AK362" s="27"/>
      <c r="AL362" s="27"/>
      <c r="AM362" s="27"/>
      <c r="AN362" s="27"/>
      <c r="AO362" s="27"/>
      <c r="AP362" s="27"/>
      <c r="AQ362" s="27"/>
      <c r="AR362" s="27"/>
      <c r="AS362" s="27"/>
      <c r="AT362" s="27"/>
      <c r="AU362" s="27"/>
    </row>
    <row r="363" spans="1:47" ht="15.75" customHeight="1">
      <c r="A363" s="45">
        <v>44340</v>
      </c>
      <c r="B363" s="64" t="s">
        <v>1166</v>
      </c>
      <c r="C363" s="46" t="s">
        <v>48</v>
      </c>
      <c r="D363" s="33" t="s">
        <v>1037</v>
      </c>
      <c r="E363" s="90">
        <v>10000</v>
      </c>
      <c r="F363" s="33" t="s">
        <v>1167</v>
      </c>
      <c r="G363" s="33" t="s">
        <v>830</v>
      </c>
      <c r="H363" s="33" t="s">
        <v>86</v>
      </c>
      <c r="I363" s="33" t="s">
        <v>830</v>
      </c>
      <c r="J363" s="43">
        <v>43717</v>
      </c>
      <c r="K363" s="92" t="s">
        <v>1033</v>
      </c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F363" s="27"/>
      <c r="AG363" s="27"/>
      <c r="AH363" s="27"/>
      <c r="AI363" s="27"/>
      <c r="AJ363" s="27"/>
      <c r="AK363" s="27"/>
      <c r="AL363" s="27"/>
      <c r="AM363" s="27"/>
      <c r="AN363" s="27"/>
      <c r="AO363" s="27"/>
      <c r="AP363" s="27"/>
      <c r="AQ363" s="27"/>
      <c r="AR363" s="27"/>
      <c r="AS363" s="27"/>
      <c r="AT363" s="27"/>
      <c r="AU363" s="27"/>
    </row>
    <row r="364" spans="1:47" ht="15.75" customHeight="1">
      <c r="A364" s="45">
        <v>44340</v>
      </c>
      <c r="B364" s="64" t="s">
        <v>1142</v>
      </c>
      <c r="C364" s="46" t="s">
        <v>1027</v>
      </c>
      <c r="D364" s="33" t="s">
        <v>1062</v>
      </c>
      <c r="E364" s="90">
        <v>1330000</v>
      </c>
      <c r="F364" s="33" t="s">
        <v>1143</v>
      </c>
      <c r="G364" s="44" t="s">
        <v>830</v>
      </c>
      <c r="H364" s="44" t="s">
        <v>86</v>
      </c>
      <c r="I364" s="44" t="s">
        <v>878</v>
      </c>
      <c r="J364" s="44">
        <v>43711</v>
      </c>
      <c r="K364" s="91" t="s">
        <v>1033</v>
      </c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F364" s="27"/>
      <c r="AG364" s="27"/>
      <c r="AH364" s="27"/>
      <c r="AI364" s="27"/>
      <c r="AJ364" s="27"/>
      <c r="AK364" s="27"/>
      <c r="AL364" s="27"/>
      <c r="AM364" s="27"/>
      <c r="AN364" s="27"/>
      <c r="AO364" s="27"/>
      <c r="AP364" s="27"/>
      <c r="AQ364" s="27"/>
      <c r="AR364" s="27"/>
      <c r="AS364" s="27"/>
      <c r="AT364" s="27"/>
      <c r="AU364" s="27"/>
    </row>
    <row r="365" spans="1:47" ht="15.75" customHeight="1">
      <c r="A365" s="45">
        <v>44341</v>
      </c>
      <c r="B365" s="64" t="s">
        <v>1297</v>
      </c>
      <c r="C365" s="46" t="s">
        <v>48</v>
      </c>
      <c r="D365" s="33" t="s">
        <v>1037</v>
      </c>
      <c r="E365" s="90">
        <v>15000</v>
      </c>
      <c r="F365" s="33" t="s">
        <v>1298</v>
      </c>
      <c r="G365" s="33" t="s">
        <v>835</v>
      </c>
      <c r="H365" s="33" t="s">
        <v>1299</v>
      </c>
      <c r="I365" s="33" t="s">
        <v>886</v>
      </c>
      <c r="J365" s="44">
        <v>44291</v>
      </c>
      <c r="K365" s="92" t="s">
        <v>1030</v>
      </c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F365" s="27"/>
      <c r="AG365" s="27"/>
      <c r="AH365" s="27"/>
      <c r="AI365" s="27"/>
      <c r="AJ365" s="27"/>
      <c r="AK365" s="27"/>
      <c r="AL365" s="27"/>
      <c r="AM365" s="27"/>
      <c r="AN365" s="27"/>
      <c r="AO365" s="27"/>
      <c r="AP365" s="27"/>
      <c r="AQ365" s="27"/>
      <c r="AR365" s="27"/>
      <c r="AS365" s="27"/>
      <c r="AT365" s="27"/>
      <c r="AU365" s="27"/>
    </row>
    <row r="366" spans="1:47" ht="15.75" customHeight="1">
      <c r="A366" s="45">
        <v>44341</v>
      </c>
      <c r="B366" s="64" t="s">
        <v>1276</v>
      </c>
      <c r="C366" s="46" t="s">
        <v>1027</v>
      </c>
      <c r="D366" s="33" t="s">
        <v>1037</v>
      </c>
      <c r="E366" s="90">
        <v>10000</v>
      </c>
      <c r="F366" s="33" t="s">
        <v>1277</v>
      </c>
      <c r="G366" s="44" t="s">
        <v>835</v>
      </c>
      <c r="H366" s="44" t="s">
        <v>1176</v>
      </c>
      <c r="I366" s="44" t="s">
        <v>971</v>
      </c>
      <c r="J366" s="44">
        <v>44279</v>
      </c>
      <c r="K366" s="91" t="s">
        <v>1041</v>
      </c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F366" s="27"/>
      <c r="AG366" s="27"/>
      <c r="AH366" s="27"/>
      <c r="AI366" s="27"/>
      <c r="AJ366" s="27"/>
      <c r="AK366" s="27"/>
      <c r="AL366" s="27"/>
      <c r="AM366" s="27"/>
      <c r="AN366" s="27"/>
      <c r="AO366" s="27"/>
      <c r="AP366" s="27"/>
      <c r="AQ366" s="27"/>
      <c r="AR366" s="27"/>
      <c r="AS366" s="27"/>
      <c r="AT366" s="27"/>
      <c r="AU366" s="27"/>
    </row>
    <row r="367" spans="1:47" ht="15.75" customHeight="1">
      <c r="A367" s="45">
        <v>44341</v>
      </c>
      <c r="B367" s="64" t="s">
        <v>1300</v>
      </c>
      <c r="C367" s="46" t="s">
        <v>1027</v>
      </c>
      <c r="D367" s="33" t="s">
        <v>1037</v>
      </c>
      <c r="E367" s="90">
        <v>7000</v>
      </c>
      <c r="F367" s="33" t="s">
        <v>1301</v>
      </c>
      <c r="G367" s="44" t="s">
        <v>835</v>
      </c>
      <c r="H367" s="44" t="s">
        <v>1176</v>
      </c>
      <c r="I367" s="44" t="s">
        <v>971</v>
      </c>
      <c r="J367" s="44">
        <v>44280</v>
      </c>
      <c r="K367" s="91" t="s">
        <v>1041</v>
      </c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F367" s="27"/>
      <c r="AG367" s="27"/>
      <c r="AH367" s="27"/>
      <c r="AI367" s="27"/>
      <c r="AJ367" s="27"/>
      <c r="AK367" s="27"/>
      <c r="AL367" s="27"/>
      <c r="AM367" s="27"/>
      <c r="AN367" s="27"/>
      <c r="AO367" s="27"/>
      <c r="AP367" s="27"/>
      <c r="AQ367" s="27"/>
      <c r="AR367" s="27"/>
      <c r="AS367" s="27"/>
      <c r="AT367" s="27"/>
      <c r="AU367" s="27"/>
    </row>
    <row r="368" spans="1:47" ht="15.75" customHeight="1">
      <c r="A368" s="45">
        <v>44341</v>
      </c>
      <c r="B368" s="64" t="s">
        <v>1302</v>
      </c>
      <c r="C368" s="46" t="s">
        <v>1027</v>
      </c>
      <c r="D368" s="33" t="s">
        <v>1037</v>
      </c>
      <c r="E368" s="90">
        <v>15000</v>
      </c>
      <c r="F368" s="33" t="s">
        <v>1303</v>
      </c>
      <c r="G368" s="44" t="s">
        <v>835</v>
      </c>
      <c r="H368" s="44" t="s">
        <v>1176</v>
      </c>
      <c r="I368" s="44" t="s">
        <v>971</v>
      </c>
      <c r="J368" s="44">
        <v>44295</v>
      </c>
      <c r="K368" s="91" t="s">
        <v>1122</v>
      </c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F368" s="27"/>
      <c r="AG368" s="27"/>
      <c r="AH368" s="27"/>
      <c r="AI368" s="27"/>
      <c r="AJ368" s="27"/>
      <c r="AK368" s="27"/>
      <c r="AL368" s="27"/>
      <c r="AM368" s="27"/>
      <c r="AN368" s="27"/>
      <c r="AO368" s="27"/>
      <c r="AP368" s="27"/>
      <c r="AQ368" s="27"/>
      <c r="AR368" s="27"/>
      <c r="AS368" s="27"/>
      <c r="AT368" s="27"/>
      <c r="AU368" s="27"/>
    </row>
    <row r="369" spans="1:47" ht="15.75" customHeight="1">
      <c r="A369" s="45">
        <v>44341</v>
      </c>
      <c r="B369" s="64" t="s">
        <v>1052</v>
      </c>
      <c r="C369" s="46" t="s">
        <v>1027</v>
      </c>
      <c r="D369" s="33" t="s">
        <v>1037</v>
      </c>
      <c r="E369" s="90">
        <v>10000</v>
      </c>
      <c r="F369" s="33" t="s">
        <v>1053</v>
      </c>
      <c r="G369" s="44" t="s">
        <v>830</v>
      </c>
      <c r="H369" s="44" t="s">
        <v>86</v>
      </c>
      <c r="I369" s="44" t="s">
        <v>878</v>
      </c>
      <c r="J369" s="44">
        <v>43605</v>
      </c>
      <c r="K369" s="91" t="s">
        <v>1054</v>
      </c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F369" s="27"/>
      <c r="AG369" s="27"/>
      <c r="AH369" s="27"/>
      <c r="AI369" s="27"/>
      <c r="AJ369" s="27"/>
      <c r="AK369" s="27"/>
      <c r="AL369" s="27"/>
      <c r="AM369" s="27"/>
      <c r="AN369" s="27"/>
      <c r="AO369" s="27"/>
      <c r="AP369" s="27"/>
      <c r="AQ369" s="27"/>
      <c r="AR369" s="27"/>
      <c r="AS369" s="27"/>
      <c r="AT369" s="27"/>
      <c r="AU369" s="27"/>
    </row>
    <row r="370" spans="1:47" ht="15.75" customHeight="1">
      <c r="A370" s="45">
        <v>44342</v>
      </c>
      <c r="B370" s="64" t="s">
        <v>1065</v>
      </c>
      <c r="C370" s="46" t="s">
        <v>1027</v>
      </c>
      <c r="D370" s="33" t="s">
        <v>1062</v>
      </c>
      <c r="E370" s="90">
        <v>4300</v>
      </c>
      <c r="F370" s="33" t="s">
        <v>1066</v>
      </c>
      <c r="G370" s="44" t="s">
        <v>830</v>
      </c>
      <c r="H370" s="44" t="s">
        <v>86</v>
      </c>
      <c r="I370" s="44" t="s">
        <v>969</v>
      </c>
      <c r="J370" s="44">
        <v>43559</v>
      </c>
      <c r="K370" s="91" t="s">
        <v>1033</v>
      </c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  <c r="AT370" s="27"/>
      <c r="AU370" s="27"/>
    </row>
    <row r="371" spans="1:47" ht="15.75" customHeight="1">
      <c r="A371" s="45">
        <v>44342</v>
      </c>
      <c r="B371" s="64" t="s">
        <v>1304</v>
      </c>
      <c r="C371" s="46" t="s">
        <v>1027</v>
      </c>
      <c r="D371" s="33" t="s">
        <v>1037</v>
      </c>
      <c r="E371" s="90">
        <v>50000</v>
      </c>
      <c r="F371" s="33" t="s">
        <v>1305</v>
      </c>
      <c r="G371" s="44" t="s">
        <v>835</v>
      </c>
      <c r="H371" s="44" t="s">
        <v>1176</v>
      </c>
      <c r="I371" s="44" t="s">
        <v>971</v>
      </c>
      <c r="J371" s="44">
        <v>44322</v>
      </c>
      <c r="K371" s="91" t="s">
        <v>1041</v>
      </c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  <c r="AT371" s="27"/>
      <c r="AU371" s="27"/>
    </row>
    <row r="372" spans="1:47" ht="15.75" customHeight="1">
      <c r="A372" s="45">
        <v>44342</v>
      </c>
      <c r="B372" s="64" t="s">
        <v>1306</v>
      </c>
      <c r="C372" s="46" t="s">
        <v>1027</v>
      </c>
      <c r="D372" s="33" t="s">
        <v>1037</v>
      </c>
      <c r="E372" s="90">
        <v>0</v>
      </c>
      <c r="F372" s="33" t="s">
        <v>1307</v>
      </c>
      <c r="G372" s="44" t="s">
        <v>835</v>
      </c>
      <c r="H372" s="44" t="s">
        <v>1176</v>
      </c>
      <c r="I372" s="44" t="s">
        <v>975</v>
      </c>
      <c r="J372" s="44">
        <v>44266</v>
      </c>
      <c r="K372" s="91" t="s">
        <v>1054</v>
      </c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  <c r="AT372" s="27"/>
      <c r="AU372" s="27"/>
    </row>
    <row r="373" spans="1:47" ht="15.75" customHeight="1">
      <c r="A373" s="45">
        <v>44342</v>
      </c>
      <c r="B373" s="64" t="s">
        <v>1048</v>
      </c>
      <c r="C373" s="46" t="s">
        <v>1027</v>
      </c>
      <c r="D373" s="33" t="s">
        <v>1037</v>
      </c>
      <c r="E373" s="90">
        <v>40000</v>
      </c>
      <c r="F373" s="33" t="s">
        <v>1049</v>
      </c>
      <c r="G373" s="44" t="s">
        <v>830</v>
      </c>
      <c r="H373" s="44" t="s">
        <v>86</v>
      </c>
      <c r="I373" s="44" t="s">
        <v>878</v>
      </c>
      <c r="J373" s="44">
        <v>43703</v>
      </c>
      <c r="K373" s="91" t="s">
        <v>1033</v>
      </c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  <c r="AT373" s="27"/>
      <c r="AU373" s="27"/>
    </row>
    <row r="374" spans="1:47" ht="15.75" customHeight="1">
      <c r="A374" s="45">
        <v>44342</v>
      </c>
      <c r="B374" s="64" t="s">
        <v>1065</v>
      </c>
      <c r="C374" s="46" t="s">
        <v>1027</v>
      </c>
      <c r="D374" s="33" t="s">
        <v>1037</v>
      </c>
      <c r="E374" s="90">
        <v>17000</v>
      </c>
      <c r="F374" s="33" t="s">
        <v>1066</v>
      </c>
      <c r="G374" s="44" t="s">
        <v>830</v>
      </c>
      <c r="H374" s="44" t="s">
        <v>86</v>
      </c>
      <c r="I374" s="44" t="s">
        <v>969</v>
      </c>
      <c r="J374" s="44">
        <v>43559</v>
      </c>
      <c r="K374" s="91" t="s">
        <v>1033</v>
      </c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  <c r="AT374" s="27"/>
      <c r="AU374" s="27"/>
    </row>
    <row r="375" spans="1:47" ht="15.75" customHeight="1">
      <c r="A375" s="45">
        <v>44343</v>
      </c>
      <c r="B375" s="64" t="s">
        <v>1304</v>
      </c>
      <c r="C375" s="46" t="s">
        <v>1027</v>
      </c>
      <c r="D375" s="33" t="s">
        <v>1037</v>
      </c>
      <c r="E375" s="90">
        <v>40000</v>
      </c>
      <c r="F375" s="33" t="s">
        <v>1305</v>
      </c>
      <c r="G375" s="44" t="s">
        <v>835</v>
      </c>
      <c r="H375" s="44" t="s">
        <v>1176</v>
      </c>
      <c r="I375" s="44" t="s">
        <v>971</v>
      </c>
      <c r="J375" s="44">
        <v>44322</v>
      </c>
      <c r="K375" s="91" t="s">
        <v>1041</v>
      </c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  <c r="AT375" s="27"/>
      <c r="AU375" s="27"/>
    </row>
    <row r="376" spans="1:47" ht="15.75" customHeight="1">
      <c r="A376" s="45">
        <v>44344</v>
      </c>
      <c r="B376" s="64" t="s">
        <v>1308</v>
      </c>
      <c r="C376" s="46" t="s">
        <v>1027</v>
      </c>
      <c r="D376" s="33" t="s">
        <v>1037</v>
      </c>
      <c r="E376" s="90">
        <v>150000</v>
      </c>
      <c r="F376" s="33" t="s">
        <v>1309</v>
      </c>
      <c r="G376" s="44" t="s">
        <v>835</v>
      </c>
      <c r="H376" s="44" t="s">
        <v>1176</v>
      </c>
      <c r="I376" s="44" t="s">
        <v>971</v>
      </c>
      <c r="J376" s="44">
        <v>44319</v>
      </c>
      <c r="K376" s="91" t="s">
        <v>1041</v>
      </c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  <c r="AT376" s="27"/>
      <c r="AU376" s="27"/>
    </row>
    <row r="377" spans="1:47" ht="15.75" customHeight="1">
      <c r="A377" s="45">
        <v>44344</v>
      </c>
      <c r="B377" s="64" t="s">
        <v>1052</v>
      </c>
      <c r="C377" s="46" t="s">
        <v>1027</v>
      </c>
      <c r="D377" s="33" t="s">
        <v>1037</v>
      </c>
      <c r="E377" s="90">
        <v>280000</v>
      </c>
      <c r="F377" s="33" t="s">
        <v>1053</v>
      </c>
      <c r="G377" s="44" t="s">
        <v>830</v>
      </c>
      <c r="H377" s="44" t="s">
        <v>86</v>
      </c>
      <c r="I377" s="44" t="s">
        <v>878</v>
      </c>
      <c r="J377" s="44">
        <v>43605</v>
      </c>
      <c r="K377" s="91" t="s">
        <v>1054</v>
      </c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  <c r="AT377" s="27"/>
      <c r="AU377" s="27"/>
    </row>
    <row r="378" spans="1:47" ht="15.75" customHeight="1">
      <c r="A378" s="45">
        <v>44347</v>
      </c>
      <c r="B378" s="64" t="s">
        <v>1310</v>
      </c>
      <c r="C378" s="46" t="s">
        <v>1027</v>
      </c>
      <c r="D378" s="33" t="s">
        <v>1037</v>
      </c>
      <c r="E378" s="90">
        <v>2000</v>
      </c>
      <c r="F378" s="33" t="s">
        <v>1311</v>
      </c>
      <c r="G378" s="44" t="s">
        <v>835</v>
      </c>
      <c r="H378" s="44" t="s">
        <v>1176</v>
      </c>
      <c r="I378" s="44" t="s">
        <v>973</v>
      </c>
      <c r="J378" s="44">
        <v>44280</v>
      </c>
      <c r="K378" s="91" t="s">
        <v>1122</v>
      </c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  <c r="AS378" s="27"/>
      <c r="AT378" s="27"/>
      <c r="AU378" s="27"/>
    </row>
    <row r="379" spans="1:47" ht="15.75" customHeight="1">
      <c r="A379" s="45">
        <v>44347</v>
      </c>
      <c r="B379" s="64" t="s">
        <v>1312</v>
      </c>
      <c r="C379" s="46" t="s">
        <v>1076</v>
      </c>
      <c r="D379" s="33" t="s">
        <v>1062</v>
      </c>
      <c r="E379" s="90">
        <v>57300</v>
      </c>
      <c r="F379" s="33" t="s">
        <v>1313</v>
      </c>
      <c r="G379" s="44" t="s">
        <v>835</v>
      </c>
      <c r="H379" s="44" t="s">
        <v>86</v>
      </c>
      <c r="I379" s="44" t="s">
        <v>981</v>
      </c>
      <c r="J379" s="44">
        <v>43759</v>
      </c>
      <c r="K379" s="91" t="s">
        <v>1205</v>
      </c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  <c r="AT379" s="27"/>
      <c r="AU379" s="27"/>
    </row>
    <row r="380" spans="1:47" ht="15.75" customHeight="1">
      <c r="A380" s="45">
        <v>44347</v>
      </c>
      <c r="B380" s="64" t="s">
        <v>1314</v>
      </c>
      <c r="C380" s="46" t="s">
        <v>1027</v>
      </c>
      <c r="D380" s="33" t="s">
        <v>1037</v>
      </c>
      <c r="E380" s="90">
        <v>13000</v>
      </c>
      <c r="F380" s="33" t="s">
        <v>1315</v>
      </c>
      <c r="G380" s="44" t="s">
        <v>835</v>
      </c>
      <c r="H380" s="44" t="s">
        <v>1176</v>
      </c>
      <c r="I380" s="44" t="s">
        <v>973</v>
      </c>
      <c r="J380" s="44">
        <v>44322</v>
      </c>
      <c r="K380" s="91" t="s">
        <v>1041</v>
      </c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  <c r="AP380" s="27"/>
      <c r="AQ380" s="27"/>
      <c r="AR380" s="27"/>
      <c r="AS380" s="27"/>
      <c r="AT380" s="27"/>
      <c r="AU380" s="27"/>
    </row>
    <row r="381" spans="1:47" ht="15.75" customHeight="1">
      <c r="A381" s="45">
        <v>44348</v>
      </c>
      <c r="B381" s="64" t="s">
        <v>1240</v>
      </c>
      <c r="C381" s="46" t="s">
        <v>48</v>
      </c>
      <c r="D381" s="33" t="s">
        <v>1037</v>
      </c>
      <c r="E381" s="90">
        <v>50000</v>
      </c>
      <c r="F381" s="33" t="s">
        <v>1241</v>
      </c>
      <c r="G381" s="33" t="s">
        <v>904</v>
      </c>
      <c r="H381" s="33" t="s">
        <v>86</v>
      </c>
      <c r="I381" s="33" t="s">
        <v>935</v>
      </c>
      <c r="J381" s="42">
        <v>44180</v>
      </c>
      <c r="K381" s="92" t="s">
        <v>1041</v>
      </c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  <c r="AP381" s="27"/>
      <c r="AQ381" s="27"/>
      <c r="AR381" s="27"/>
      <c r="AS381" s="27"/>
      <c r="AT381" s="27"/>
      <c r="AU381" s="27"/>
    </row>
    <row r="382" spans="1:47" ht="15.75" customHeight="1">
      <c r="A382" s="45">
        <v>44348</v>
      </c>
      <c r="B382" s="64" t="s">
        <v>1174</v>
      </c>
      <c r="C382" s="46" t="s">
        <v>1027</v>
      </c>
      <c r="D382" s="33" t="s">
        <v>1037</v>
      </c>
      <c r="E382" s="90">
        <v>40000</v>
      </c>
      <c r="F382" s="33" t="s">
        <v>1175</v>
      </c>
      <c r="G382" s="44" t="s">
        <v>835</v>
      </c>
      <c r="H382" s="44" t="s">
        <v>1176</v>
      </c>
      <c r="I382" s="44" t="s">
        <v>973</v>
      </c>
      <c r="J382" s="44">
        <v>44321</v>
      </c>
      <c r="K382" s="91" t="s">
        <v>1041</v>
      </c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  <c r="AP382" s="27"/>
      <c r="AQ382" s="27"/>
      <c r="AR382" s="27"/>
      <c r="AS382" s="27"/>
      <c r="AT382" s="27"/>
      <c r="AU382" s="27"/>
    </row>
    <row r="383" spans="1:47" ht="15.75" customHeight="1">
      <c r="A383" s="45">
        <v>44349</v>
      </c>
      <c r="B383" s="64" t="s">
        <v>1314</v>
      </c>
      <c r="C383" s="46" t="s">
        <v>1027</v>
      </c>
      <c r="D383" s="33" t="s">
        <v>1037</v>
      </c>
      <c r="E383" s="90">
        <v>10000</v>
      </c>
      <c r="F383" s="33" t="s">
        <v>1315</v>
      </c>
      <c r="G383" s="44" t="s">
        <v>835</v>
      </c>
      <c r="H383" s="44" t="s">
        <v>1176</v>
      </c>
      <c r="I383" s="44" t="s">
        <v>973</v>
      </c>
      <c r="J383" s="44">
        <v>44322</v>
      </c>
      <c r="K383" s="91" t="s">
        <v>1041</v>
      </c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  <c r="AP383" s="27"/>
      <c r="AQ383" s="27"/>
      <c r="AR383" s="27"/>
      <c r="AS383" s="27"/>
      <c r="AT383" s="27"/>
      <c r="AU383" s="27"/>
    </row>
    <row r="384" spans="1:47" ht="15.75" customHeight="1">
      <c r="A384" s="45">
        <v>44349</v>
      </c>
      <c r="B384" s="64" t="s">
        <v>1316</v>
      </c>
      <c r="C384" s="46" t="s">
        <v>1027</v>
      </c>
      <c r="D384" s="33" t="s">
        <v>1037</v>
      </c>
      <c r="E384" s="90">
        <v>31306.959999999999</v>
      </c>
      <c r="F384" s="33" t="s">
        <v>1317</v>
      </c>
      <c r="G384" s="44" t="s">
        <v>835</v>
      </c>
      <c r="H384" s="44" t="s">
        <v>1176</v>
      </c>
      <c r="I384" s="44" t="s">
        <v>973</v>
      </c>
      <c r="J384" s="44">
        <v>44328</v>
      </c>
      <c r="K384" s="91" t="s">
        <v>1041</v>
      </c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  <c r="AP384" s="27"/>
      <c r="AQ384" s="27"/>
      <c r="AR384" s="27"/>
      <c r="AS384" s="27"/>
      <c r="AT384" s="27"/>
      <c r="AU384" s="27"/>
    </row>
    <row r="385" spans="1:47" ht="15.75" customHeight="1">
      <c r="A385" s="45">
        <v>44351</v>
      </c>
      <c r="B385" s="64" t="s">
        <v>1318</v>
      </c>
      <c r="C385" s="46" t="s">
        <v>1027</v>
      </c>
      <c r="D385" s="33" t="s">
        <v>1037</v>
      </c>
      <c r="E385" s="90">
        <v>9000</v>
      </c>
      <c r="F385" s="33" t="s">
        <v>1319</v>
      </c>
      <c r="G385" s="44" t="s">
        <v>835</v>
      </c>
      <c r="H385" s="44" t="s">
        <v>1176</v>
      </c>
      <c r="I385" s="44" t="s">
        <v>975</v>
      </c>
      <c r="J385" s="44">
        <v>44260</v>
      </c>
      <c r="K385" s="91" t="s">
        <v>1041</v>
      </c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  <c r="AP385" s="27"/>
      <c r="AQ385" s="27"/>
      <c r="AR385" s="27"/>
      <c r="AS385" s="27"/>
      <c r="AT385" s="27"/>
      <c r="AU385" s="27"/>
    </row>
    <row r="386" spans="1:47" ht="15.75" customHeight="1">
      <c r="A386" s="45">
        <v>44351</v>
      </c>
      <c r="B386" s="64" t="s">
        <v>1093</v>
      </c>
      <c r="C386" s="46" t="s">
        <v>1027</v>
      </c>
      <c r="D386" s="33" t="s">
        <v>1037</v>
      </c>
      <c r="E386" s="90">
        <v>40000</v>
      </c>
      <c r="F386" s="33" t="s">
        <v>1094</v>
      </c>
      <c r="G386" s="44" t="s">
        <v>830</v>
      </c>
      <c r="H386" s="44" t="s">
        <v>86</v>
      </c>
      <c r="I386" s="44" t="s">
        <v>878</v>
      </c>
      <c r="J386" s="44">
        <v>43564</v>
      </c>
      <c r="K386" s="91" t="s">
        <v>1030</v>
      </c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  <c r="AP386" s="27"/>
      <c r="AQ386" s="27"/>
      <c r="AR386" s="27"/>
      <c r="AS386" s="27"/>
      <c r="AT386" s="27"/>
      <c r="AU386" s="27"/>
    </row>
    <row r="387" spans="1:47" ht="15.75" customHeight="1">
      <c r="A387" s="45">
        <v>44353</v>
      </c>
      <c r="B387" s="64" t="s">
        <v>1320</v>
      </c>
      <c r="C387" s="46" t="s">
        <v>48</v>
      </c>
      <c r="D387" s="33" t="s">
        <v>1037</v>
      </c>
      <c r="E387" s="90">
        <v>506343.93</v>
      </c>
      <c r="F387" s="33" t="s">
        <v>1321</v>
      </c>
      <c r="G387" s="33" t="s">
        <v>835</v>
      </c>
      <c r="H387" s="33" t="s">
        <v>1299</v>
      </c>
      <c r="I387" s="33" t="s">
        <v>886</v>
      </c>
      <c r="J387" s="44">
        <v>44298</v>
      </c>
      <c r="K387" s="92" t="s">
        <v>1054</v>
      </c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  <c r="AP387" s="27"/>
      <c r="AQ387" s="27"/>
      <c r="AR387" s="27"/>
      <c r="AS387" s="27"/>
      <c r="AT387" s="27"/>
      <c r="AU387" s="27"/>
    </row>
    <row r="388" spans="1:47" ht="15.75" customHeight="1">
      <c r="A388" s="45">
        <v>44354</v>
      </c>
      <c r="B388" s="64" t="s">
        <v>1322</v>
      </c>
      <c r="C388" s="46" t="s">
        <v>1027</v>
      </c>
      <c r="D388" s="33" t="s">
        <v>1037</v>
      </c>
      <c r="E388" s="90">
        <v>5000</v>
      </c>
      <c r="F388" s="33" t="s">
        <v>1323</v>
      </c>
      <c r="G388" s="44" t="s">
        <v>830</v>
      </c>
      <c r="H388" s="44" t="s">
        <v>86</v>
      </c>
      <c r="I388" s="44" t="s">
        <v>969</v>
      </c>
      <c r="J388" s="44">
        <v>43752</v>
      </c>
      <c r="K388" s="91" t="s">
        <v>1041</v>
      </c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  <c r="AP388" s="27"/>
      <c r="AQ388" s="27"/>
      <c r="AR388" s="27"/>
      <c r="AS388" s="27"/>
      <c r="AT388" s="27"/>
      <c r="AU388" s="27"/>
    </row>
    <row r="389" spans="1:47" ht="15.75" customHeight="1">
      <c r="A389" s="45">
        <v>44355</v>
      </c>
      <c r="B389" s="64" t="s">
        <v>1093</v>
      </c>
      <c r="C389" s="46" t="s">
        <v>1027</v>
      </c>
      <c r="D389" s="33" t="s">
        <v>1037</v>
      </c>
      <c r="E389" s="90">
        <v>50000</v>
      </c>
      <c r="F389" s="33" t="s">
        <v>1094</v>
      </c>
      <c r="G389" s="44" t="s">
        <v>830</v>
      </c>
      <c r="H389" s="44" t="s">
        <v>86</v>
      </c>
      <c r="I389" s="44" t="s">
        <v>878</v>
      </c>
      <c r="J389" s="44">
        <v>43564</v>
      </c>
      <c r="K389" s="91" t="s">
        <v>1030</v>
      </c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  <c r="AP389" s="27"/>
      <c r="AQ389" s="27"/>
      <c r="AR389" s="27"/>
      <c r="AS389" s="27"/>
      <c r="AT389" s="27"/>
      <c r="AU389" s="27"/>
    </row>
    <row r="390" spans="1:47" ht="15.75" customHeight="1">
      <c r="A390" s="45">
        <v>44355</v>
      </c>
      <c r="B390" s="64" t="s">
        <v>1177</v>
      </c>
      <c r="C390" s="46" t="s">
        <v>1027</v>
      </c>
      <c r="D390" s="33" t="s">
        <v>1037</v>
      </c>
      <c r="E390" s="90">
        <v>15000</v>
      </c>
      <c r="F390" s="33" t="s">
        <v>1178</v>
      </c>
      <c r="G390" s="44" t="s">
        <v>835</v>
      </c>
      <c r="H390" s="44" t="s">
        <v>1176</v>
      </c>
      <c r="I390" s="44" t="s">
        <v>973</v>
      </c>
      <c r="J390" s="44">
        <v>44295</v>
      </c>
      <c r="K390" s="91" t="s">
        <v>1179</v>
      </c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  <c r="AP390" s="27"/>
      <c r="AQ390" s="27"/>
      <c r="AR390" s="27"/>
      <c r="AS390" s="27"/>
      <c r="AT390" s="27"/>
      <c r="AU390" s="27"/>
    </row>
    <row r="391" spans="1:47" ht="15.75" customHeight="1">
      <c r="A391" s="45">
        <v>44355</v>
      </c>
      <c r="B391" s="64" t="s">
        <v>1324</v>
      </c>
      <c r="C391" s="46" t="s">
        <v>1027</v>
      </c>
      <c r="D391" s="33" t="s">
        <v>1062</v>
      </c>
      <c r="E391" s="90">
        <v>30000</v>
      </c>
      <c r="F391" s="33" t="s">
        <v>1325</v>
      </c>
      <c r="G391" s="44" t="s">
        <v>830</v>
      </c>
      <c r="H391" s="44" t="s">
        <v>86</v>
      </c>
      <c r="I391" s="44" t="s">
        <v>830</v>
      </c>
      <c r="J391" s="44">
        <v>44036</v>
      </c>
      <c r="K391" s="91" t="s">
        <v>1054</v>
      </c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  <c r="AP391" s="27"/>
      <c r="AQ391" s="27"/>
      <c r="AR391" s="27"/>
      <c r="AS391" s="27"/>
      <c r="AT391" s="27"/>
      <c r="AU391" s="27"/>
    </row>
    <row r="392" spans="1:47" ht="15.75" customHeight="1">
      <c r="A392" s="45">
        <v>44355</v>
      </c>
      <c r="B392" s="64" t="s">
        <v>1048</v>
      </c>
      <c r="C392" s="46" t="s">
        <v>1027</v>
      </c>
      <c r="D392" s="33" t="s">
        <v>1037</v>
      </c>
      <c r="E392" s="90">
        <v>600000</v>
      </c>
      <c r="F392" s="33" t="s">
        <v>1049</v>
      </c>
      <c r="G392" s="44" t="s">
        <v>830</v>
      </c>
      <c r="H392" s="44" t="s">
        <v>86</v>
      </c>
      <c r="I392" s="44" t="s">
        <v>878</v>
      </c>
      <c r="J392" s="44">
        <v>43703</v>
      </c>
      <c r="K392" s="91" t="s">
        <v>1033</v>
      </c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  <c r="AP392" s="27"/>
      <c r="AQ392" s="27"/>
      <c r="AR392" s="27"/>
      <c r="AS392" s="27"/>
      <c r="AT392" s="27"/>
      <c r="AU392" s="27"/>
    </row>
    <row r="393" spans="1:47" ht="15.75" customHeight="1">
      <c r="A393" s="45">
        <v>44355</v>
      </c>
      <c r="B393" s="64" t="s">
        <v>1237</v>
      </c>
      <c r="C393" s="46" t="s">
        <v>48</v>
      </c>
      <c r="D393" s="33" t="s">
        <v>1037</v>
      </c>
      <c r="E393" s="90">
        <v>40000</v>
      </c>
      <c r="F393" s="33" t="s">
        <v>1238</v>
      </c>
      <c r="G393" s="33" t="s">
        <v>904</v>
      </c>
      <c r="H393" s="33" t="s">
        <v>86</v>
      </c>
      <c r="I393" s="33" t="s">
        <v>894</v>
      </c>
      <c r="J393" s="44">
        <v>44134</v>
      </c>
      <c r="K393" s="92" t="s">
        <v>1122</v>
      </c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  <c r="AP393" s="27"/>
      <c r="AQ393" s="27"/>
      <c r="AR393" s="27"/>
      <c r="AS393" s="27"/>
      <c r="AT393" s="27"/>
      <c r="AU393" s="27"/>
    </row>
    <row r="394" spans="1:47" ht="15.75" customHeight="1">
      <c r="A394" s="45">
        <v>44358</v>
      </c>
      <c r="B394" s="64" t="s">
        <v>1326</v>
      </c>
      <c r="C394" s="46" t="s">
        <v>48</v>
      </c>
      <c r="D394" s="33" t="s">
        <v>1062</v>
      </c>
      <c r="E394" s="90">
        <v>15000</v>
      </c>
      <c r="F394" s="33" t="s">
        <v>1327</v>
      </c>
      <c r="G394" s="33" t="s">
        <v>904</v>
      </c>
      <c r="H394" s="33" t="s">
        <v>86</v>
      </c>
      <c r="I394" s="33" t="s">
        <v>894</v>
      </c>
      <c r="J394" s="44">
        <v>44194</v>
      </c>
      <c r="K394" s="92" t="s">
        <v>1041</v>
      </c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  <c r="AP394" s="27"/>
      <c r="AQ394" s="27"/>
      <c r="AR394" s="27"/>
      <c r="AS394" s="27"/>
      <c r="AT394" s="27"/>
      <c r="AU394" s="27"/>
    </row>
    <row r="395" spans="1:47" ht="15.75" customHeight="1">
      <c r="A395" s="45">
        <v>44362</v>
      </c>
      <c r="B395" s="64" t="s">
        <v>1048</v>
      </c>
      <c r="C395" s="46" t="s">
        <v>1027</v>
      </c>
      <c r="D395" s="33" t="s">
        <v>1037</v>
      </c>
      <c r="E395" s="90">
        <v>100000</v>
      </c>
      <c r="F395" s="33" t="s">
        <v>1049</v>
      </c>
      <c r="G395" s="44" t="s">
        <v>830</v>
      </c>
      <c r="H395" s="44" t="s">
        <v>86</v>
      </c>
      <c r="I395" s="44" t="s">
        <v>878</v>
      </c>
      <c r="J395" s="44">
        <v>43703</v>
      </c>
      <c r="K395" s="91" t="s">
        <v>1033</v>
      </c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  <c r="AP395" s="27"/>
      <c r="AQ395" s="27"/>
      <c r="AR395" s="27"/>
      <c r="AS395" s="27"/>
      <c r="AT395" s="27"/>
      <c r="AU395" s="27"/>
    </row>
    <row r="396" spans="1:47" ht="15.75" customHeight="1">
      <c r="A396" s="45">
        <v>44362</v>
      </c>
      <c r="B396" s="64" t="s">
        <v>1328</v>
      </c>
      <c r="C396" s="46" t="s">
        <v>1027</v>
      </c>
      <c r="D396" s="33" t="s">
        <v>1037</v>
      </c>
      <c r="E396" s="90">
        <v>5000</v>
      </c>
      <c r="F396" s="33" t="s">
        <v>1329</v>
      </c>
      <c r="G396" s="44" t="s">
        <v>830</v>
      </c>
      <c r="H396" s="44" t="s">
        <v>86</v>
      </c>
      <c r="I396" s="44" t="s">
        <v>878</v>
      </c>
      <c r="J396" s="44">
        <v>43753</v>
      </c>
      <c r="K396" s="91" t="s">
        <v>1041</v>
      </c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  <c r="AP396" s="27"/>
      <c r="AQ396" s="27"/>
      <c r="AR396" s="27"/>
      <c r="AS396" s="27"/>
      <c r="AT396" s="27"/>
      <c r="AU396" s="27"/>
    </row>
    <row r="397" spans="1:47" ht="15.75" customHeight="1">
      <c r="A397" s="45">
        <v>44362</v>
      </c>
      <c r="B397" s="64" t="s">
        <v>1304</v>
      </c>
      <c r="C397" s="46" t="s">
        <v>1027</v>
      </c>
      <c r="D397" s="33" t="s">
        <v>1037</v>
      </c>
      <c r="E397" s="90">
        <v>312377.96000000002</v>
      </c>
      <c r="F397" s="33" t="s">
        <v>1305</v>
      </c>
      <c r="G397" s="44" t="s">
        <v>835</v>
      </c>
      <c r="H397" s="44" t="s">
        <v>1176</v>
      </c>
      <c r="I397" s="44" t="s">
        <v>971</v>
      </c>
      <c r="J397" s="44">
        <v>44322</v>
      </c>
      <c r="K397" s="91" t="s">
        <v>1041</v>
      </c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F397" s="27"/>
      <c r="AG397" s="27"/>
      <c r="AH397" s="27"/>
      <c r="AI397" s="27"/>
      <c r="AJ397" s="27"/>
      <c r="AK397" s="27"/>
      <c r="AL397" s="27"/>
      <c r="AM397" s="27"/>
      <c r="AN397" s="27"/>
      <c r="AO397" s="27"/>
      <c r="AP397" s="27"/>
      <c r="AQ397" s="27"/>
      <c r="AR397" s="27"/>
      <c r="AS397" s="27"/>
      <c r="AT397" s="27"/>
      <c r="AU397" s="27"/>
    </row>
    <row r="398" spans="1:47" ht="15.75" customHeight="1">
      <c r="A398" s="45">
        <v>44362</v>
      </c>
      <c r="B398" s="64" t="s">
        <v>1330</v>
      </c>
      <c r="C398" s="46" t="s">
        <v>1027</v>
      </c>
      <c r="D398" s="33" t="s">
        <v>1037</v>
      </c>
      <c r="E398" s="90">
        <v>15000</v>
      </c>
      <c r="F398" s="33" t="s">
        <v>1331</v>
      </c>
      <c r="G398" s="44" t="s">
        <v>835</v>
      </c>
      <c r="H398" s="44" t="s">
        <v>1176</v>
      </c>
      <c r="I398" s="44" t="s">
        <v>973</v>
      </c>
      <c r="J398" s="44">
        <v>44319</v>
      </c>
      <c r="K398" s="91" t="s">
        <v>1041</v>
      </c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F398" s="27"/>
      <c r="AG398" s="27"/>
      <c r="AH398" s="27"/>
      <c r="AI398" s="27"/>
      <c r="AJ398" s="27"/>
      <c r="AK398" s="27"/>
      <c r="AL398" s="27"/>
      <c r="AM398" s="27"/>
      <c r="AN398" s="27"/>
      <c r="AO398" s="27"/>
      <c r="AP398" s="27"/>
      <c r="AQ398" s="27"/>
      <c r="AR398" s="27"/>
      <c r="AS398" s="27"/>
      <c r="AT398" s="27"/>
      <c r="AU398" s="27"/>
    </row>
    <row r="399" spans="1:47" ht="15.75" customHeight="1">
      <c r="A399" s="45">
        <v>44362</v>
      </c>
      <c r="B399" s="64" t="s">
        <v>1332</v>
      </c>
      <c r="C399" s="46" t="s">
        <v>48</v>
      </c>
      <c r="D399" s="33" t="s">
        <v>1037</v>
      </c>
      <c r="E399" s="90">
        <v>15000</v>
      </c>
      <c r="F399" s="33" t="s">
        <v>1333</v>
      </c>
      <c r="G399" s="33" t="s">
        <v>904</v>
      </c>
      <c r="H399" s="33" t="s">
        <v>86</v>
      </c>
      <c r="I399" s="33" t="s">
        <v>849</v>
      </c>
      <c r="J399" s="44">
        <v>44090</v>
      </c>
      <c r="K399" s="92" t="s">
        <v>1054</v>
      </c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F399" s="27"/>
      <c r="AG399" s="27"/>
      <c r="AH399" s="27"/>
      <c r="AI399" s="27"/>
      <c r="AJ399" s="27"/>
      <c r="AK399" s="27"/>
      <c r="AL399" s="27"/>
      <c r="AM399" s="27"/>
      <c r="AN399" s="27"/>
      <c r="AO399" s="27"/>
      <c r="AP399" s="27"/>
      <c r="AQ399" s="27"/>
      <c r="AR399" s="27"/>
      <c r="AS399" s="27"/>
      <c r="AT399" s="27"/>
      <c r="AU399" s="27"/>
    </row>
    <row r="400" spans="1:47" ht="15.75" customHeight="1">
      <c r="A400" s="45">
        <v>44363</v>
      </c>
      <c r="B400" s="64" t="s">
        <v>1093</v>
      </c>
      <c r="C400" s="46" t="s">
        <v>1027</v>
      </c>
      <c r="D400" s="33" t="s">
        <v>1037</v>
      </c>
      <c r="E400" s="90">
        <v>40000</v>
      </c>
      <c r="F400" s="33" t="s">
        <v>1094</v>
      </c>
      <c r="G400" s="44" t="s">
        <v>830</v>
      </c>
      <c r="H400" s="44" t="s">
        <v>86</v>
      </c>
      <c r="I400" s="44" t="s">
        <v>878</v>
      </c>
      <c r="J400" s="44">
        <v>43564</v>
      </c>
      <c r="K400" s="91" t="s">
        <v>1030</v>
      </c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F400" s="27"/>
      <c r="AG400" s="27"/>
      <c r="AH400" s="27"/>
      <c r="AI400" s="27"/>
      <c r="AJ400" s="27"/>
      <c r="AK400" s="27"/>
      <c r="AL400" s="27"/>
      <c r="AM400" s="27"/>
      <c r="AN400" s="27"/>
      <c r="AO400" s="27"/>
      <c r="AP400" s="27"/>
      <c r="AQ400" s="27"/>
      <c r="AR400" s="27"/>
      <c r="AS400" s="27"/>
      <c r="AT400" s="27"/>
      <c r="AU400" s="27"/>
    </row>
    <row r="401" spans="1:47" ht="15.75" customHeight="1">
      <c r="A401" s="45">
        <v>44364</v>
      </c>
      <c r="B401" s="64" t="s">
        <v>1304</v>
      </c>
      <c r="C401" s="46" t="s">
        <v>1027</v>
      </c>
      <c r="D401" s="33" t="s">
        <v>1037</v>
      </c>
      <c r="E401" s="90">
        <v>11500</v>
      </c>
      <c r="F401" s="33" t="s">
        <v>1305</v>
      </c>
      <c r="G401" s="44" t="s">
        <v>835</v>
      </c>
      <c r="H401" s="44" t="s">
        <v>1176</v>
      </c>
      <c r="I401" s="44" t="s">
        <v>971</v>
      </c>
      <c r="J401" s="44">
        <v>44322</v>
      </c>
      <c r="K401" s="91" t="s">
        <v>1041</v>
      </c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F401" s="27"/>
      <c r="AG401" s="27"/>
      <c r="AH401" s="27"/>
      <c r="AI401" s="27"/>
      <c r="AJ401" s="27"/>
      <c r="AK401" s="27"/>
      <c r="AL401" s="27"/>
      <c r="AM401" s="27"/>
      <c r="AN401" s="27"/>
      <c r="AO401" s="27"/>
      <c r="AP401" s="27"/>
      <c r="AQ401" s="27"/>
      <c r="AR401" s="27"/>
      <c r="AS401" s="27"/>
      <c r="AT401" s="27"/>
      <c r="AU401" s="27"/>
    </row>
    <row r="402" spans="1:47" ht="15.75" customHeight="1">
      <c r="A402" s="45">
        <v>44365</v>
      </c>
      <c r="B402" s="64" t="s">
        <v>1302</v>
      </c>
      <c r="C402" s="46" t="s">
        <v>1027</v>
      </c>
      <c r="D402" s="33" t="s">
        <v>1037</v>
      </c>
      <c r="E402" s="90">
        <v>100000</v>
      </c>
      <c r="F402" s="33" t="s">
        <v>1303</v>
      </c>
      <c r="G402" s="44" t="s">
        <v>835</v>
      </c>
      <c r="H402" s="44" t="s">
        <v>1176</v>
      </c>
      <c r="I402" s="44" t="s">
        <v>971</v>
      </c>
      <c r="J402" s="44">
        <v>44295</v>
      </c>
      <c r="K402" s="91" t="s">
        <v>1122</v>
      </c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F402" s="27"/>
      <c r="AG402" s="27"/>
      <c r="AH402" s="27"/>
      <c r="AI402" s="27"/>
      <c r="AJ402" s="27"/>
      <c r="AK402" s="27"/>
      <c r="AL402" s="27"/>
      <c r="AM402" s="27"/>
      <c r="AN402" s="27"/>
      <c r="AO402" s="27"/>
      <c r="AP402" s="27"/>
      <c r="AQ402" s="27"/>
      <c r="AR402" s="27"/>
      <c r="AS402" s="27"/>
      <c r="AT402" s="27"/>
      <c r="AU402" s="27"/>
    </row>
    <row r="403" spans="1:47" ht="15.75" customHeight="1">
      <c r="A403" s="45">
        <v>44368</v>
      </c>
      <c r="B403" s="64" t="s">
        <v>1084</v>
      </c>
      <c r="C403" s="46" t="s">
        <v>1027</v>
      </c>
      <c r="D403" s="33" t="s">
        <v>1037</v>
      </c>
      <c r="E403" s="90">
        <v>100000</v>
      </c>
      <c r="F403" s="33" t="s">
        <v>1085</v>
      </c>
      <c r="G403" s="44" t="s">
        <v>830</v>
      </c>
      <c r="H403" s="44" t="s">
        <v>86</v>
      </c>
      <c r="I403" s="44" t="s">
        <v>878</v>
      </c>
      <c r="J403" s="44">
        <v>43894</v>
      </c>
      <c r="K403" s="91" t="s">
        <v>1054</v>
      </c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F403" s="27"/>
      <c r="AG403" s="27"/>
      <c r="AH403" s="27"/>
      <c r="AI403" s="27"/>
      <c r="AJ403" s="27"/>
      <c r="AK403" s="27"/>
      <c r="AL403" s="27"/>
      <c r="AM403" s="27"/>
      <c r="AN403" s="27"/>
      <c r="AO403" s="27"/>
      <c r="AP403" s="27"/>
      <c r="AQ403" s="27"/>
      <c r="AR403" s="27"/>
      <c r="AS403" s="27"/>
      <c r="AT403" s="27"/>
      <c r="AU403" s="27"/>
    </row>
    <row r="404" spans="1:47" ht="15.75" customHeight="1">
      <c r="A404" s="45">
        <v>44368</v>
      </c>
      <c r="B404" s="64" t="s">
        <v>1334</v>
      </c>
      <c r="C404" s="46" t="s">
        <v>48</v>
      </c>
      <c r="D404" s="33" t="s">
        <v>1062</v>
      </c>
      <c r="E404" s="90">
        <v>7000</v>
      </c>
      <c r="F404" s="33" t="s">
        <v>1335</v>
      </c>
      <c r="G404" s="33" t="s">
        <v>835</v>
      </c>
      <c r="H404" s="33" t="s">
        <v>86</v>
      </c>
      <c r="I404" s="33" t="s">
        <v>839</v>
      </c>
      <c r="J404" s="44">
        <v>44075</v>
      </c>
      <c r="K404" s="92" t="s">
        <v>1041</v>
      </c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F404" s="27"/>
      <c r="AG404" s="27"/>
      <c r="AH404" s="27"/>
      <c r="AI404" s="27"/>
      <c r="AJ404" s="27"/>
      <c r="AK404" s="27"/>
      <c r="AL404" s="27"/>
      <c r="AM404" s="27"/>
      <c r="AN404" s="27"/>
      <c r="AO404" s="27"/>
      <c r="AP404" s="27"/>
      <c r="AQ404" s="27"/>
      <c r="AR404" s="27"/>
      <c r="AS404" s="27"/>
      <c r="AT404" s="27"/>
      <c r="AU404" s="27"/>
    </row>
    <row r="405" spans="1:47" ht="15.75" customHeight="1">
      <c r="A405" s="44">
        <v>44369</v>
      </c>
      <c r="B405" s="57" t="s">
        <v>1071</v>
      </c>
      <c r="C405" s="33" t="s">
        <v>48</v>
      </c>
      <c r="D405" s="33" t="s">
        <v>1028</v>
      </c>
      <c r="E405" s="90">
        <v>0</v>
      </c>
      <c r="F405" s="33" t="s">
        <v>1072</v>
      </c>
      <c r="G405" s="33" t="s">
        <v>830</v>
      </c>
      <c r="H405" s="33" t="s">
        <v>86</v>
      </c>
      <c r="I405" s="33" t="s">
        <v>830</v>
      </c>
      <c r="J405" s="44">
        <v>43872</v>
      </c>
      <c r="K405" s="92" t="s">
        <v>1041</v>
      </c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F405" s="27"/>
      <c r="AG405" s="27"/>
      <c r="AH405" s="27"/>
      <c r="AI405" s="27"/>
      <c r="AJ405" s="27"/>
      <c r="AK405" s="27"/>
      <c r="AL405" s="27"/>
      <c r="AM405" s="27"/>
      <c r="AN405" s="27"/>
      <c r="AO405" s="27"/>
      <c r="AP405" s="27"/>
      <c r="AQ405" s="27"/>
      <c r="AR405" s="27"/>
      <c r="AS405" s="27"/>
      <c r="AT405" s="27"/>
      <c r="AU405" s="27"/>
    </row>
    <row r="406" spans="1:47" ht="15.75" customHeight="1">
      <c r="A406" s="45">
        <v>44369</v>
      </c>
      <c r="B406" s="64" t="s">
        <v>1308</v>
      </c>
      <c r="C406" s="46" t="s">
        <v>1027</v>
      </c>
      <c r="D406" s="33" t="s">
        <v>1037</v>
      </c>
      <c r="E406" s="90">
        <v>30000</v>
      </c>
      <c r="F406" s="33" t="s">
        <v>1309</v>
      </c>
      <c r="G406" s="44" t="s">
        <v>835</v>
      </c>
      <c r="H406" s="44" t="s">
        <v>1176</v>
      </c>
      <c r="I406" s="44" t="s">
        <v>971</v>
      </c>
      <c r="J406" s="44">
        <v>44319</v>
      </c>
      <c r="K406" s="91" t="s">
        <v>1041</v>
      </c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F406" s="27"/>
      <c r="AG406" s="27"/>
      <c r="AH406" s="27"/>
      <c r="AI406" s="27"/>
      <c r="AJ406" s="27"/>
      <c r="AK406" s="27"/>
      <c r="AL406" s="27"/>
      <c r="AM406" s="27"/>
      <c r="AN406" s="27"/>
      <c r="AO406" s="27"/>
      <c r="AP406" s="27"/>
      <c r="AQ406" s="27"/>
      <c r="AR406" s="27"/>
      <c r="AS406" s="27"/>
      <c r="AT406" s="27"/>
      <c r="AU406" s="27"/>
    </row>
    <row r="407" spans="1:47" ht="15.75" customHeight="1">
      <c r="A407" s="45">
        <v>44370</v>
      </c>
      <c r="B407" s="64" t="s">
        <v>1336</v>
      </c>
      <c r="C407" s="46" t="s">
        <v>48</v>
      </c>
      <c r="D407" s="33" t="s">
        <v>1037</v>
      </c>
      <c r="E407" s="90">
        <v>10000</v>
      </c>
      <c r="F407" s="33" t="s">
        <v>1337</v>
      </c>
      <c r="G407" s="33" t="s">
        <v>904</v>
      </c>
      <c r="H407" s="33" t="s">
        <v>86</v>
      </c>
      <c r="I407" s="33" t="s">
        <v>902</v>
      </c>
      <c r="J407" s="44">
        <v>44145</v>
      </c>
      <c r="K407" s="92" t="s">
        <v>1122</v>
      </c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F407" s="27"/>
      <c r="AG407" s="27"/>
      <c r="AH407" s="27"/>
      <c r="AI407" s="27"/>
      <c r="AJ407" s="27"/>
      <c r="AK407" s="27"/>
      <c r="AL407" s="27"/>
      <c r="AM407" s="27"/>
      <c r="AN407" s="27"/>
      <c r="AO407" s="27"/>
      <c r="AP407" s="27"/>
      <c r="AQ407" s="27"/>
      <c r="AR407" s="27"/>
      <c r="AS407" s="27"/>
      <c r="AT407" s="27"/>
      <c r="AU407" s="27"/>
    </row>
    <row r="408" spans="1:47" ht="15.75" customHeight="1">
      <c r="A408" s="45">
        <v>44371</v>
      </c>
      <c r="B408" s="64" t="s">
        <v>1338</v>
      </c>
      <c r="C408" s="46" t="s">
        <v>48</v>
      </c>
      <c r="D408" s="33" t="s">
        <v>1037</v>
      </c>
      <c r="E408" s="90">
        <v>150000</v>
      </c>
      <c r="F408" s="33" t="s">
        <v>1339</v>
      </c>
      <c r="G408" s="33" t="s">
        <v>835</v>
      </c>
      <c r="H408" s="33" t="s">
        <v>1299</v>
      </c>
      <c r="I408" s="33" t="s">
        <v>886</v>
      </c>
      <c r="J408" s="44">
        <v>44349</v>
      </c>
      <c r="K408" s="92" t="s">
        <v>1340</v>
      </c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F408" s="27"/>
      <c r="AG408" s="27"/>
      <c r="AH408" s="27"/>
      <c r="AI408" s="27"/>
      <c r="AJ408" s="27"/>
      <c r="AK408" s="27"/>
      <c r="AL408" s="27"/>
      <c r="AM408" s="27"/>
      <c r="AN408" s="27"/>
      <c r="AO408" s="27"/>
      <c r="AP408" s="27"/>
      <c r="AQ408" s="27"/>
      <c r="AR408" s="27"/>
      <c r="AS408" s="27"/>
      <c r="AT408" s="27"/>
      <c r="AU408" s="27"/>
    </row>
    <row r="409" spans="1:47" ht="15.75" customHeight="1">
      <c r="A409" s="45">
        <v>44372</v>
      </c>
      <c r="B409" s="64" t="s">
        <v>1052</v>
      </c>
      <c r="C409" s="46" t="s">
        <v>1027</v>
      </c>
      <c r="D409" s="33" t="s">
        <v>1037</v>
      </c>
      <c r="E409" s="90">
        <v>200000</v>
      </c>
      <c r="F409" s="33" t="s">
        <v>1053</v>
      </c>
      <c r="G409" s="44" t="s">
        <v>830</v>
      </c>
      <c r="H409" s="44" t="s">
        <v>86</v>
      </c>
      <c r="I409" s="44" t="s">
        <v>878</v>
      </c>
      <c r="J409" s="44">
        <v>43605</v>
      </c>
      <c r="K409" s="91" t="s">
        <v>1054</v>
      </c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F409" s="27"/>
      <c r="AG409" s="27"/>
      <c r="AH409" s="27"/>
      <c r="AI409" s="27"/>
      <c r="AJ409" s="27"/>
      <c r="AK409" s="27"/>
      <c r="AL409" s="27"/>
      <c r="AM409" s="27"/>
      <c r="AN409" s="27"/>
      <c r="AO409" s="27"/>
      <c r="AP409" s="27"/>
      <c r="AQ409" s="27"/>
      <c r="AR409" s="27"/>
      <c r="AS409" s="27"/>
      <c r="AT409" s="27"/>
      <c r="AU409" s="27"/>
    </row>
    <row r="410" spans="1:47" ht="15.75" customHeight="1">
      <c r="A410" s="45">
        <v>44372</v>
      </c>
      <c r="B410" s="64" t="s">
        <v>1276</v>
      </c>
      <c r="C410" s="46" t="s">
        <v>1027</v>
      </c>
      <c r="D410" s="33" t="s">
        <v>1037</v>
      </c>
      <c r="E410" s="90">
        <v>60000</v>
      </c>
      <c r="F410" s="33" t="s">
        <v>1277</v>
      </c>
      <c r="G410" s="44" t="s">
        <v>835</v>
      </c>
      <c r="H410" s="44" t="s">
        <v>1176</v>
      </c>
      <c r="I410" s="44" t="s">
        <v>971</v>
      </c>
      <c r="J410" s="44">
        <v>44279</v>
      </c>
      <c r="K410" s="91" t="s">
        <v>1041</v>
      </c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F410" s="27"/>
      <c r="AG410" s="27"/>
      <c r="AH410" s="27"/>
      <c r="AI410" s="27"/>
      <c r="AJ410" s="27"/>
      <c r="AK410" s="27"/>
      <c r="AL410" s="27"/>
      <c r="AM410" s="27"/>
      <c r="AN410" s="27"/>
      <c r="AO410" s="27"/>
      <c r="AP410" s="27"/>
      <c r="AQ410" s="27"/>
      <c r="AR410" s="27"/>
      <c r="AS410" s="27"/>
      <c r="AT410" s="27"/>
      <c r="AU410" s="27"/>
    </row>
    <row r="411" spans="1:47" ht="15.75" customHeight="1">
      <c r="A411" s="45">
        <v>44372</v>
      </c>
      <c r="B411" s="64" t="s">
        <v>1341</v>
      </c>
      <c r="C411" s="46" t="s">
        <v>48</v>
      </c>
      <c r="D411" s="33" t="s">
        <v>1037</v>
      </c>
      <c r="E411" s="90">
        <v>30000</v>
      </c>
      <c r="F411" s="33" t="s">
        <v>1342</v>
      </c>
      <c r="G411" s="33" t="s">
        <v>904</v>
      </c>
      <c r="H411" s="33" t="s">
        <v>86</v>
      </c>
      <c r="I411" s="35" t="s">
        <v>860</v>
      </c>
      <c r="J411" s="44">
        <v>44180</v>
      </c>
      <c r="K411" s="92" t="s">
        <v>1054</v>
      </c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F411" s="27"/>
      <c r="AG411" s="27"/>
      <c r="AH411" s="27"/>
      <c r="AI411" s="27"/>
      <c r="AJ411" s="27"/>
      <c r="AK411" s="27"/>
      <c r="AL411" s="27"/>
      <c r="AM411" s="27"/>
      <c r="AN411" s="27"/>
      <c r="AO411" s="27"/>
      <c r="AP411" s="27"/>
      <c r="AQ411" s="27"/>
      <c r="AR411" s="27"/>
      <c r="AS411" s="27"/>
      <c r="AT411" s="27"/>
      <c r="AU411" s="27"/>
    </row>
    <row r="412" spans="1:47" ht="15.75" customHeight="1">
      <c r="A412" s="44">
        <v>44375</v>
      </c>
      <c r="B412" s="57" t="s">
        <v>1343</v>
      </c>
      <c r="C412" s="33" t="s">
        <v>1027</v>
      </c>
      <c r="D412" s="33" t="s">
        <v>1028</v>
      </c>
      <c r="E412" s="90">
        <v>373842.57</v>
      </c>
      <c r="F412" s="33" t="s">
        <v>1344</v>
      </c>
      <c r="G412" s="44" t="s">
        <v>977</v>
      </c>
      <c r="H412" s="44" t="s">
        <v>86</v>
      </c>
      <c r="I412" s="100" t="s">
        <v>977</v>
      </c>
      <c r="J412" s="44">
        <v>43829</v>
      </c>
      <c r="K412" s="91" t="s">
        <v>1030</v>
      </c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F412" s="27"/>
      <c r="AG412" s="27"/>
      <c r="AH412" s="27"/>
      <c r="AI412" s="27"/>
      <c r="AJ412" s="27"/>
      <c r="AK412" s="27"/>
      <c r="AL412" s="27"/>
      <c r="AM412" s="27"/>
      <c r="AN412" s="27"/>
      <c r="AO412" s="27"/>
      <c r="AP412" s="27"/>
      <c r="AQ412" s="27"/>
      <c r="AR412" s="27"/>
      <c r="AS412" s="27"/>
      <c r="AT412" s="27"/>
      <c r="AU412" s="27"/>
    </row>
    <row r="413" spans="1:47" ht="15.75" customHeight="1">
      <c r="A413" s="45">
        <v>44375</v>
      </c>
      <c r="B413" s="64" t="s">
        <v>1160</v>
      </c>
      <c r="C413" s="46" t="s">
        <v>1027</v>
      </c>
      <c r="D413" s="33" t="s">
        <v>1037</v>
      </c>
      <c r="E413" s="90">
        <v>8000</v>
      </c>
      <c r="F413" s="33" t="s">
        <v>1161</v>
      </c>
      <c r="G413" s="44" t="s">
        <v>830</v>
      </c>
      <c r="H413" s="44" t="s">
        <v>86</v>
      </c>
      <c r="I413" s="44" t="s">
        <v>878</v>
      </c>
      <c r="J413" s="44">
        <v>43873</v>
      </c>
      <c r="K413" s="91" t="s">
        <v>1041</v>
      </c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F413" s="27"/>
      <c r="AG413" s="27"/>
      <c r="AH413" s="27"/>
      <c r="AI413" s="27"/>
      <c r="AJ413" s="27"/>
      <c r="AK413" s="27"/>
      <c r="AL413" s="27"/>
      <c r="AM413" s="27"/>
      <c r="AN413" s="27"/>
      <c r="AO413" s="27"/>
      <c r="AP413" s="27"/>
      <c r="AQ413" s="27"/>
      <c r="AR413" s="27"/>
      <c r="AS413" s="27"/>
      <c r="AT413" s="27"/>
      <c r="AU413" s="27"/>
    </row>
    <row r="414" spans="1:47" ht="15.75" customHeight="1">
      <c r="A414" s="45">
        <v>44375</v>
      </c>
      <c r="B414" s="64" t="s">
        <v>1048</v>
      </c>
      <c r="C414" s="46" t="s">
        <v>1027</v>
      </c>
      <c r="D414" s="33" t="s">
        <v>1037</v>
      </c>
      <c r="E414" s="90">
        <v>504274.77</v>
      </c>
      <c r="F414" s="33" t="s">
        <v>1049</v>
      </c>
      <c r="G414" s="44" t="s">
        <v>830</v>
      </c>
      <c r="H414" s="44" t="s">
        <v>86</v>
      </c>
      <c r="I414" s="44" t="s">
        <v>878</v>
      </c>
      <c r="J414" s="44">
        <v>43703</v>
      </c>
      <c r="K414" s="91" t="s">
        <v>1033</v>
      </c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F414" s="27"/>
      <c r="AG414" s="27"/>
      <c r="AH414" s="27"/>
      <c r="AI414" s="27"/>
      <c r="AJ414" s="27"/>
      <c r="AK414" s="27"/>
      <c r="AL414" s="27"/>
      <c r="AM414" s="27"/>
      <c r="AN414" s="27"/>
      <c r="AO414" s="27"/>
      <c r="AP414" s="27"/>
      <c r="AQ414" s="27"/>
      <c r="AR414" s="27"/>
      <c r="AS414" s="27"/>
      <c r="AT414" s="27"/>
      <c r="AU414" s="27"/>
    </row>
    <row r="415" spans="1:47" ht="15.75" customHeight="1">
      <c r="A415" s="45">
        <v>44375</v>
      </c>
      <c r="B415" s="64" t="s">
        <v>1048</v>
      </c>
      <c r="C415" s="46" t="s">
        <v>1027</v>
      </c>
      <c r="D415" s="33" t="s">
        <v>1037</v>
      </c>
      <c r="E415" s="90">
        <v>150000</v>
      </c>
      <c r="F415" s="33" t="s">
        <v>1049</v>
      </c>
      <c r="G415" s="44" t="s">
        <v>830</v>
      </c>
      <c r="H415" s="44" t="s">
        <v>86</v>
      </c>
      <c r="I415" s="44" t="s">
        <v>878</v>
      </c>
      <c r="J415" s="44">
        <v>43703</v>
      </c>
      <c r="K415" s="91" t="s">
        <v>1033</v>
      </c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F415" s="27"/>
      <c r="AG415" s="27"/>
      <c r="AH415" s="27"/>
      <c r="AI415" s="27"/>
      <c r="AJ415" s="27"/>
      <c r="AK415" s="27"/>
      <c r="AL415" s="27"/>
      <c r="AM415" s="27"/>
      <c r="AN415" s="27"/>
      <c r="AO415" s="27"/>
      <c r="AP415" s="27"/>
      <c r="AQ415" s="27"/>
      <c r="AR415" s="27"/>
      <c r="AS415" s="27"/>
      <c r="AT415" s="27"/>
      <c r="AU415" s="27"/>
    </row>
    <row r="416" spans="1:47" ht="15.75" customHeight="1">
      <c r="A416" s="45">
        <v>44375</v>
      </c>
      <c r="B416" s="64" t="s">
        <v>1314</v>
      </c>
      <c r="C416" s="46" t="s">
        <v>1027</v>
      </c>
      <c r="D416" s="33" t="s">
        <v>1037</v>
      </c>
      <c r="E416" s="90">
        <v>399197.6</v>
      </c>
      <c r="F416" s="33" t="s">
        <v>1315</v>
      </c>
      <c r="G416" s="44" t="s">
        <v>835</v>
      </c>
      <c r="H416" s="44" t="s">
        <v>1176</v>
      </c>
      <c r="I416" s="44" t="s">
        <v>973</v>
      </c>
      <c r="J416" s="44">
        <v>44322</v>
      </c>
      <c r="K416" s="91" t="s">
        <v>1041</v>
      </c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F416" s="27"/>
      <c r="AG416" s="27"/>
      <c r="AH416" s="27"/>
      <c r="AI416" s="27"/>
      <c r="AJ416" s="27"/>
      <c r="AK416" s="27"/>
      <c r="AL416" s="27"/>
      <c r="AM416" s="27"/>
      <c r="AN416" s="27"/>
      <c r="AO416" s="27"/>
      <c r="AP416" s="27"/>
      <c r="AQ416" s="27"/>
      <c r="AR416" s="27"/>
      <c r="AS416" s="27"/>
      <c r="AT416" s="27"/>
      <c r="AU416" s="27"/>
    </row>
    <row r="417" spans="1:47" ht="15.75" customHeight="1">
      <c r="A417" s="45">
        <v>44376</v>
      </c>
      <c r="B417" s="64" t="s">
        <v>1345</v>
      </c>
      <c r="C417" s="46" t="s">
        <v>1027</v>
      </c>
      <c r="D417" s="33" t="s">
        <v>1037</v>
      </c>
      <c r="E417" s="90">
        <v>45000</v>
      </c>
      <c r="F417" s="33" t="s">
        <v>1346</v>
      </c>
      <c r="G417" s="44" t="s">
        <v>835</v>
      </c>
      <c r="H417" s="44" t="s">
        <v>1176</v>
      </c>
      <c r="I417" s="44" t="s">
        <v>973</v>
      </c>
      <c r="J417" s="44">
        <v>44313</v>
      </c>
      <c r="K417" s="91" t="s">
        <v>1041</v>
      </c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F417" s="27"/>
      <c r="AG417" s="27"/>
      <c r="AH417" s="27"/>
      <c r="AI417" s="27"/>
      <c r="AJ417" s="27"/>
      <c r="AK417" s="27"/>
      <c r="AL417" s="27"/>
      <c r="AM417" s="27"/>
      <c r="AN417" s="27"/>
      <c r="AO417" s="27"/>
      <c r="AP417" s="27"/>
      <c r="AQ417" s="27"/>
      <c r="AR417" s="27"/>
      <c r="AS417" s="27"/>
      <c r="AT417" s="27"/>
      <c r="AU417" s="27"/>
    </row>
    <row r="418" spans="1:47" ht="15.75" customHeight="1">
      <c r="A418" s="45">
        <v>44377</v>
      </c>
      <c r="B418" s="64" t="s">
        <v>1347</v>
      </c>
      <c r="C418" s="46" t="s">
        <v>1027</v>
      </c>
      <c r="D418" s="33" t="s">
        <v>1037</v>
      </c>
      <c r="E418" s="90">
        <v>40000</v>
      </c>
      <c r="F418" s="33" t="s">
        <v>1348</v>
      </c>
      <c r="G418" s="44" t="s">
        <v>835</v>
      </c>
      <c r="H418" s="44" t="s">
        <v>1176</v>
      </c>
      <c r="I418" s="44" t="s">
        <v>973</v>
      </c>
      <c r="J418" s="44">
        <v>44280</v>
      </c>
      <c r="K418" s="91" t="s">
        <v>1179</v>
      </c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F418" s="27"/>
      <c r="AG418" s="27"/>
      <c r="AH418" s="27"/>
      <c r="AI418" s="27"/>
      <c r="AJ418" s="27"/>
      <c r="AK418" s="27"/>
      <c r="AL418" s="27"/>
      <c r="AM418" s="27"/>
      <c r="AN418" s="27"/>
      <c r="AO418" s="27"/>
      <c r="AP418" s="27"/>
      <c r="AQ418" s="27"/>
      <c r="AR418" s="27"/>
      <c r="AS418" s="27"/>
      <c r="AT418" s="27"/>
      <c r="AU418" s="27"/>
    </row>
    <row r="419" spans="1:47" ht="15.75" customHeight="1">
      <c r="A419" s="45">
        <v>44377</v>
      </c>
      <c r="B419" s="64" t="s">
        <v>1267</v>
      </c>
      <c r="C419" s="46" t="s">
        <v>1027</v>
      </c>
      <c r="D419" s="33" t="s">
        <v>1037</v>
      </c>
      <c r="E419" s="90">
        <v>10000</v>
      </c>
      <c r="F419" s="33" t="s">
        <v>1268</v>
      </c>
      <c r="G419" s="44" t="s">
        <v>835</v>
      </c>
      <c r="H419" s="44" t="s">
        <v>1176</v>
      </c>
      <c r="I419" s="44" t="s">
        <v>971</v>
      </c>
      <c r="J419" s="44">
        <v>44298</v>
      </c>
      <c r="K419" s="91" t="s">
        <v>1041</v>
      </c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F419" s="27"/>
      <c r="AG419" s="27"/>
      <c r="AH419" s="27"/>
      <c r="AI419" s="27"/>
      <c r="AJ419" s="27"/>
      <c r="AK419" s="27"/>
      <c r="AL419" s="27"/>
      <c r="AM419" s="27"/>
      <c r="AN419" s="27"/>
      <c r="AO419" s="27"/>
      <c r="AP419" s="27"/>
      <c r="AQ419" s="27"/>
      <c r="AR419" s="27"/>
      <c r="AS419" s="27"/>
      <c r="AT419" s="27"/>
      <c r="AU419" s="27"/>
    </row>
    <row r="420" spans="1:47" ht="15.75" customHeight="1">
      <c r="A420" s="45">
        <v>44377</v>
      </c>
      <c r="B420" s="64" t="s">
        <v>1084</v>
      </c>
      <c r="C420" s="46" t="s">
        <v>1027</v>
      </c>
      <c r="D420" s="33" t="s">
        <v>1037</v>
      </c>
      <c r="E420" s="90">
        <v>62000</v>
      </c>
      <c r="F420" s="33" t="s">
        <v>1085</v>
      </c>
      <c r="G420" s="44" t="s">
        <v>830</v>
      </c>
      <c r="H420" s="44" t="s">
        <v>86</v>
      </c>
      <c r="I420" s="44" t="s">
        <v>878</v>
      </c>
      <c r="J420" s="44">
        <v>43894</v>
      </c>
      <c r="K420" s="91" t="s">
        <v>1054</v>
      </c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F420" s="27"/>
      <c r="AG420" s="27"/>
      <c r="AH420" s="27"/>
      <c r="AI420" s="27"/>
      <c r="AJ420" s="27"/>
      <c r="AK420" s="27"/>
      <c r="AL420" s="27"/>
      <c r="AM420" s="27"/>
      <c r="AN420" s="27"/>
      <c r="AO420" s="27"/>
      <c r="AP420" s="27"/>
      <c r="AQ420" s="27"/>
      <c r="AR420" s="27"/>
      <c r="AS420" s="27"/>
      <c r="AT420" s="27"/>
      <c r="AU420" s="27"/>
    </row>
    <row r="421" spans="1:47" ht="15.75" customHeight="1">
      <c r="A421" s="45">
        <v>44377</v>
      </c>
      <c r="B421" s="64" t="s">
        <v>1349</v>
      </c>
      <c r="C421" s="46" t="s">
        <v>48</v>
      </c>
      <c r="D421" s="33" t="s">
        <v>1037</v>
      </c>
      <c r="E421" s="90">
        <v>10000</v>
      </c>
      <c r="F421" s="33" t="s">
        <v>1350</v>
      </c>
      <c r="G421" s="33" t="s">
        <v>904</v>
      </c>
      <c r="H421" s="33" t="s">
        <v>86</v>
      </c>
      <c r="I421" s="33" t="s">
        <v>882</v>
      </c>
      <c r="J421" s="44">
        <v>44102</v>
      </c>
      <c r="K421" s="92" t="s">
        <v>1041</v>
      </c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F421" s="27"/>
      <c r="AG421" s="27"/>
      <c r="AH421" s="27"/>
      <c r="AI421" s="27"/>
      <c r="AJ421" s="27"/>
      <c r="AK421" s="27"/>
      <c r="AL421" s="27"/>
      <c r="AM421" s="27"/>
      <c r="AN421" s="27"/>
      <c r="AO421" s="27"/>
      <c r="AP421" s="27"/>
      <c r="AQ421" s="27"/>
      <c r="AR421" s="27"/>
      <c r="AS421" s="27"/>
      <c r="AT421" s="27"/>
      <c r="AU421" s="27"/>
    </row>
    <row r="422" spans="1:47" ht="15.75" customHeight="1">
      <c r="A422" s="44">
        <v>44378</v>
      </c>
      <c r="B422" s="57" t="s">
        <v>1351</v>
      </c>
      <c r="C422" s="33" t="s">
        <v>48</v>
      </c>
      <c r="D422" s="33" t="s">
        <v>1028</v>
      </c>
      <c r="E422" s="90">
        <v>0</v>
      </c>
      <c r="F422" s="33" t="s">
        <v>1352</v>
      </c>
      <c r="G422" s="33" t="s">
        <v>835</v>
      </c>
      <c r="H422" s="33" t="s">
        <v>86</v>
      </c>
      <c r="I422" s="33" t="s">
        <v>924</v>
      </c>
      <c r="J422" s="44">
        <v>44260</v>
      </c>
      <c r="K422" s="92" t="s">
        <v>1030</v>
      </c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F422" s="27"/>
      <c r="AG422" s="27"/>
      <c r="AH422" s="27"/>
      <c r="AI422" s="27"/>
      <c r="AJ422" s="27"/>
      <c r="AK422" s="27"/>
      <c r="AL422" s="27"/>
      <c r="AM422" s="27"/>
      <c r="AN422" s="27"/>
      <c r="AO422" s="27"/>
      <c r="AP422" s="27"/>
      <c r="AQ422" s="27"/>
      <c r="AR422" s="27"/>
      <c r="AS422" s="27"/>
      <c r="AT422" s="27"/>
      <c r="AU422" s="27"/>
    </row>
    <row r="423" spans="1:47" ht="15.75" customHeight="1">
      <c r="A423" s="44">
        <v>44378</v>
      </c>
      <c r="B423" s="57" t="s">
        <v>1353</v>
      </c>
      <c r="C423" s="33" t="s">
        <v>48</v>
      </c>
      <c r="D423" s="33" t="s">
        <v>1028</v>
      </c>
      <c r="E423" s="90">
        <v>0</v>
      </c>
      <c r="F423" s="33" t="s">
        <v>1354</v>
      </c>
      <c r="G423" s="33" t="s">
        <v>835</v>
      </c>
      <c r="H423" s="33" t="s">
        <v>86</v>
      </c>
      <c r="I423" s="33" t="s">
        <v>924</v>
      </c>
      <c r="J423" s="44">
        <v>44166</v>
      </c>
      <c r="K423" s="92" t="s">
        <v>1041</v>
      </c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F423" s="27"/>
      <c r="AG423" s="27"/>
      <c r="AH423" s="27"/>
      <c r="AI423" s="27"/>
      <c r="AJ423" s="27"/>
      <c r="AK423" s="27"/>
      <c r="AL423" s="27"/>
      <c r="AM423" s="27"/>
      <c r="AN423" s="27"/>
      <c r="AO423" s="27"/>
      <c r="AP423" s="27"/>
      <c r="AQ423" s="27"/>
      <c r="AR423" s="27"/>
      <c r="AS423" s="27"/>
      <c r="AT423" s="27"/>
      <c r="AU423" s="27"/>
    </row>
    <row r="424" spans="1:47" ht="15.75" customHeight="1">
      <c r="A424" s="44">
        <v>44378</v>
      </c>
      <c r="B424" s="57" t="s">
        <v>1355</v>
      </c>
      <c r="C424" s="33" t="s">
        <v>48</v>
      </c>
      <c r="D424" s="33" t="s">
        <v>1028</v>
      </c>
      <c r="E424" s="90">
        <v>0</v>
      </c>
      <c r="F424" s="33" t="s">
        <v>1356</v>
      </c>
      <c r="G424" s="33" t="s">
        <v>835</v>
      </c>
      <c r="H424" s="33" t="s">
        <v>86</v>
      </c>
      <c r="I424" s="33" t="s">
        <v>924</v>
      </c>
      <c r="J424" s="44">
        <v>44291</v>
      </c>
      <c r="K424" s="92" t="s">
        <v>1030</v>
      </c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F424" s="27"/>
      <c r="AG424" s="27"/>
      <c r="AH424" s="27"/>
      <c r="AI424" s="27"/>
      <c r="AJ424" s="27"/>
      <c r="AK424" s="27"/>
      <c r="AL424" s="27"/>
      <c r="AM424" s="27"/>
      <c r="AN424" s="27"/>
      <c r="AO424" s="27"/>
      <c r="AP424" s="27"/>
      <c r="AQ424" s="27"/>
      <c r="AR424" s="27"/>
      <c r="AS424" s="27"/>
      <c r="AT424" s="27"/>
      <c r="AU424" s="27"/>
    </row>
    <row r="425" spans="1:47" ht="15.75" customHeight="1">
      <c r="A425" s="44">
        <v>44378</v>
      </c>
      <c r="B425" s="57" t="s">
        <v>1357</v>
      </c>
      <c r="C425" s="33" t="s">
        <v>48</v>
      </c>
      <c r="D425" s="33" t="s">
        <v>1028</v>
      </c>
      <c r="E425" s="90">
        <v>0</v>
      </c>
      <c r="F425" s="33" t="s">
        <v>1358</v>
      </c>
      <c r="G425" s="33" t="s">
        <v>835</v>
      </c>
      <c r="H425" s="33" t="s">
        <v>86</v>
      </c>
      <c r="I425" s="33" t="s">
        <v>924</v>
      </c>
      <c r="J425" s="44">
        <v>44166</v>
      </c>
      <c r="K425" s="92" t="s">
        <v>1041</v>
      </c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F425" s="27"/>
      <c r="AG425" s="27"/>
      <c r="AH425" s="27"/>
      <c r="AI425" s="27"/>
      <c r="AJ425" s="27"/>
      <c r="AK425" s="27"/>
      <c r="AL425" s="27"/>
      <c r="AM425" s="27"/>
      <c r="AN425" s="27"/>
      <c r="AO425" s="27"/>
      <c r="AP425" s="27"/>
      <c r="AQ425" s="27"/>
      <c r="AR425" s="27"/>
      <c r="AS425" s="27"/>
      <c r="AT425" s="27"/>
      <c r="AU425" s="27"/>
    </row>
    <row r="426" spans="1:47" ht="15.75" customHeight="1">
      <c r="A426" s="45">
        <v>44378</v>
      </c>
      <c r="B426" s="64" t="s">
        <v>1359</v>
      </c>
      <c r="C426" s="46" t="s">
        <v>1027</v>
      </c>
      <c r="D426" s="33" t="s">
        <v>1037</v>
      </c>
      <c r="E426" s="90">
        <v>20000</v>
      </c>
      <c r="F426" s="33" t="s">
        <v>1360</v>
      </c>
      <c r="G426" s="44" t="s">
        <v>835</v>
      </c>
      <c r="H426" s="44" t="s">
        <v>1176</v>
      </c>
      <c r="I426" s="44" t="s">
        <v>973</v>
      </c>
      <c r="J426" s="44">
        <v>44358</v>
      </c>
      <c r="K426" s="91" t="s">
        <v>1041</v>
      </c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F426" s="27"/>
      <c r="AG426" s="27"/>
      <c r="AH426" s="27"/>
      <c r="AI426" s="27"/>
      <c r="AJ426" s="27"/>
      <c r="AK426" s="27"/>
      <c r="AL426" s="27"/>
      <c r="AM426" s="27"/>
      <c r="AN426" s="27"/>
      <c r="AO426" s="27"/>
      <c r="AP426" s="27"/>
      <c r="AQ426" s="27"/>
      <c r="AR426" s="27"/>
      <c r="AS426" s="27"/>
      <c r="AT426" s="27"/>
      <c r="AU426" s="27"/>
    </row>
    <row r="427" spans="1:47" ht="15.75" customHeight="1">
      <c r="A427" s="45">
        <v>44378</v>
      </c>
      <c r="B427" s="64" t="s">
        <v>1361</v>
      </c>
      <c r="C427" s="46" t="s">
        <v>48</v>
      </c>
      <c r="D427" s="33" t="s">
        <v>1037</v>
      </c>
      <c r="E427" s="90">
        <v>50000</v>
      </c>
      <c r="F427" s="33" t="s">
        <v>1362</v>
      </c>
      <c r="G427" s="33" t="s">
        <v>904</v>
      </c>
      <c r="H427" s="33" t="s">
        <v>86</v>
      </c>
      <c r="I427" s="33" t="s">
        <v>892</v>
      </c>
      <c r="J427" s="44">
        <v>44183</v>
      </c>
      <c r="K427" s="92" t="s">
        <v>1041</v>
      </c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F427" s="27"/>
      <c r="AG427" s="27"/>
      <c r="AH427" s="27"/>
      <c r="AI427" s="27"/>
      <c r="AJ427" s="27"/>
      <c r="AK427" s="27"/>
      <c r="AL427" s="27"/>
      <c r="AM427" s="27"/>
      <c r="AN427" s="27"/>
      <c r="AO427" s="27"/>
      <c r="AP427" s="27"/>
      <c r="AQ427" s="27"/>
      <c r="AR427" s="27"/>
      <c r="AS427" s="27"/>
      <c r="AT427" s="27"/>
      <c r="AU427" s="27"/>
    </row>
    <row r="428" spans="1:47" ht="15.75" customHeight="1">
      <c r="A428" s="45">
        <v>44378</v>
      </c>
      <c r="B428" s="64" t="s">
        <v>1363</v>
      </c>
      <c r="C428" s="46" t="s">
        <v>1027</v>
      </c>
      <c r="D428" s="33" t="s">
        <v>1037</v>
      </c>
      <c r="E428" s="90">
        <v>13000</v>
      </c>
      <c r="F428" s="33" t="s">
        <v>1364</v>
      </c>
      <c r="G428" s="44" t="s">
        <v>835</v>
      </c>
      <c r="H428" s="44" t="s">
        <v>1176</v>
      </c>
      <c r="I428" s="44" t="s">
        <v>973</v>
      </c>
      <c r="J428" s="44">
        <v>44322</v>
      </c>
      <c r="K428" s="91" t="s">
        <v>1041</v>
      </c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F428" s="27"/>
      <c r="AG428" s="27"/>
      <c r="AH428" s="27"/>
      <c r="AI428" s="27"/>
      <c r="AJ428" s="27"/>
      <c r="AK428" s="27"/>
      <c r="AL428" s="27"/>
      <c r="AM428" s="27"/>
      <c r="AN428" s="27"/>
      <c r="AO428" s="27"/>
      <c r="AP428" s="27"/>
      <c r="AQ428" s="27"/>
      <c r="AR428" s="27"/>
      <c r="AS428" s="27"/>
      <c r="AT428" s="27"/>
      <c r="AU428" s="27"/>
    </row>
    <row r="429" spans="1:47" ht="15.75" customHeight="1">
      <c r="A429" s="45">
        <v>44378</v>
      </c>
      <c r="B429" s="64" t="s">
        <v>1174</v>
      </c>
      <c r="C429" s="46" t="s">
        <v>1027</v>
      </c>
      <c r="D429" s="33" t="s">
        <v>1037</v>
      </c>
      <c r="E429" s="90">
        <v>46000</v>
      </c>
      <c r="F429" s="33" t="s">
        <v>1175</v>
      </c>
      <c r="G429" s="44" t="s">
        <v>835</v>
      </c>
      <c r="H429" s="44" t="s">
        <v>1176</v>
      </c>
      <c r="I429" s="44" t="s">
        <v>973</v>
      </c>
      <c r="J429" s="44">
        <v>44321</v>
      </c>
      <c r="K429" s="91" t="s">
        <v>1041</v>
      </c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F429" s="27"/>
      <c r="AG429" s="27"/>
      <c r="AH429" s="27"/>
      <c r="AI429" s="27"/>
      <c r="AJ429" s="27"/>
      <c r="AK429" s="27"/>
      <c r="AL429" s="27"/>
      <c r="AM429" s="27"/>
      <c r="AN429" s="27"/>
      <c r="AO429" s="27"/>
      <c r="AP429" s="27"/>
      <c r="AQ429" s="27"/>
      <c r="AR429" s="27"/>
      <c r="AS429" s="27"/>
      <c r="AT429" s="27"/>
      <c r="AU429" s="27"/>
    </row>
    <row r="430" spans="1:47" ht="15.75" customHeight="1">
      <c r="A430" s="45">
        <v>44379</v>
      </c>
      <c r="B430" s="64" t="s">
        <v>1304</v>
      </c>
      <c r="C430" s="46" t="s">
        <v>1027</v>
      </c>
      <c r="D430" s="33" t="s">
        <v>1037</v>
      </c>
      <c r="E430" s="90">
        <v>60000</v>
      </c>
      <c r="F430" s="33" t="s">
        <v>1305</v>
      </c>
      <c r="G430" s="44" t="s">
        <v>835</v>
      </c>
      <c r="H430" s="44" t="s">
        <v>1176</v>
      </c>
      <c r="I430" s="44" t="s">
        <v>971</v>
      </c>
      <c r="J430" s="44">
        <v>44322</v>
      </c>
      <c r="K430" s="91" t="s">
        <v>1041</v>
      </c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F430" s="27"/>
      <c r="AG430" s="27"/>
      <c r="AH430" s="27"/>
      <c r="AI430" s="27"/>
      <c r="AJ430" s="27"/>
      <c r="AK430" s="27"/>
      <c r="AL430" s="27"/>
      <c r="AM430" s="27"/>
      <c r="AN430" s="27"/>
      <c r="AO430" s="27"/>
      <c r="AP430" s="27"/>
      <c r="AQ430" s="27"/>
      <c r="AR430" s="27"/>
      <c r="AS430" s="27"/>
      <c r="AT430" s="27"/>
      <c r="AU430" s="27"/>
    </row>
    <row r="431" spans="1:47" ht="15.75" customHeight="1">
      <c r="A431" s="45">
        <v>44379</v>
      </c>
      <c r="B431" s="64" t="s">
        <v>1244</v>
      </c>
      <c r="C431" s="46" t="s">
        <v>48</v>
      </c>
      <c r="D431" s="33" t="s">
        <v>1037</v>
      </c>
      <c r="E431" s="90">
        <v>100000</v>
      </c>
      <c r="F431" s="33" t="s">
        <v>1245</v>
      </c>
      <c r="G431" s="33" t="s">
        <v>904</v>
      </c>
      <c r="H431" s="33" t="s">
        <v>86</v>
      </c>
      <c r="I431" s="33" t="s">
        <v>890</v>
      </c>
      <c r="J431" s="44">
        <v>44203</v>
      </c>
      <c r="K431" s="92" t="s">
        <v>1041</v>
      </c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F431" s="27"/>
      <c r="AG431" s="27"/>
      <c r="AH431" s="27"/>
      <c r="AI431" s="27"/>
      <c r="AJ431" s="27"/>
      <c r="AK431" s="27"/>
      <c r="AL431" s="27"/>
      <c r="AM431" s="27"/>
      <c r="AN431" s="27"/>
      <c r="AO431" s="27"/>
      <c r="AP431" s="27"/>
      <c r="AQ431" s="27"/>
      <c r="AR431" s="27"/>
      <c r="AS431" s="27"/>
      <c r="AT431" s="27"/>
      <c r="AU431" s="27"/>
    </row>
    <row r="432" spans="1:47" ht="15.75" customHeight="1">
      <c r="A432" s="45">
        <v>44383</v>
      </c>
      <c r="B432" s="64" t="s">
        <v>1048</v>
      </c>
      <c r="C432" s="46" t="s">
        <v>1027</v>
      </c>
      <c r="D432" s="33" t="s">
        <v>1037</v>
      </c>
      <c r="E432" s="90">
        <v>50000</v>
      </c>
      <c r="F432" s="33" t="s">
        <v>1049</v>
      </c>
      <c r="G432" s="44" t="s">
        <v>830</v>
      </c>
      <c r="H432" s="44" t="s">
        <v>86</v>
      </c>
      <c r="I432" s="44" t="s">
        <v>878</v>
      </c>
      <c r="J432" s="44">
        <v>43703</v>
      </c>
      <c r="K432" s="91" t="s">
        <v>1033</v>
      </c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F432" s="27"/>
      <c r="AG432" s="27"/>
      <c r="AH432" s="27"/>
      <c r="AI432" s="27"/>
      <c r="AJ432" s="27"/>
      <c r="AK432" s="27"/>
      <c r="AL432" s="27"/>
      <c r="AM432" s="27"/>
      <c r="AN432" s="27"/>
      <c r="AO432" s="27"/>
      <c r="AP432" s="27"/>
      <c r="AQ432" s="27"/>
      <c r="AR432" s="27"/>
      <c r="AS432" s="27"/>
      <c r="AT432" s="27"/>
      <c r="AU432" s="27"/>
    </row>
    <row r="433" spans="1:47" ht="15.75" customHeight="1">
      <c r="A433" s="45">
        <v>44383</v>
      </c>
      <c r="B433" s="64" t="s">
        <v>1304</v>
      </c>
      <c r="C433" s="46" t="s">
        <v>1027</v>
      </c>
      <c r="D433" s="33" t="s">
        <v>1037</v>
      </c>
      <c r="E433" s="90">
        <v>8000</v>
      </c>
      <c r="F433" s="33" t="s">
        <v>1305</v>
      </c>
      <c r="G433" s="44" t="s">
        <v>835</v>
      </c>
      <c r="H433" s="44" t="s">
        <v>1176</v>
      </c>
      <c r="I433" s="44" t="s">
        <v>971</v>
      </c>
      <c r="J433" s="44">
        <v>44322</v>
      </c>
      <c r="K433" s="91" t="s">
        <v>1041</v>
      </c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F433" s="27"/>
      <c r="AG433" s="27"/>
      <c r="AH433" s="27"/>
      <c r="AI433" s="27"/>
      <c r="AJ433" s="27"/>
      <c r="AK433" s="27"/>
      <c r="AL433" s="27"/>
      <c r="AM433" s="27"/>
      <c r="AN433" s="27"/>
      <c r="AO433" s="27"/>
      <c r="AP433" s="27"/>
      <c r="AQ433" s="27"/>
      <c r="AR433" s="27"/>
      <c r="AS433" s="27"/>
      <c r="AT433" s="27"/>
      <c r="AU433" s="27"/>
    </row>
    <row r="434" spans="1:47" ht="15.75" customHeight="1">
      <c r="A434" s="44">
        <v>44384</v>
      </c>
      <c r="B434" s="57" t="s">
        <v>1365</v>
      </c>
      <c r="C434" s="33" t="s">
        <v>48</v>
      </c>
      <c r="D434" s="33" t="s">
        <v>1028</v>
      </c>
      <c r="E434" s="90">
        <v>0</v>
      </c>
      <c r="F434" s="33" t="s">
        <v>1366</v>
      </c>
      <c r="G434" s="33" t="s">
        <v>835</v>
      </c>
      <c r="H434" s="33" t="s">
        <v>86</v>
      </c>
      <c r="I434" s="33" t="s">
        <v>1367</v>
      </c>
      <c r="J434" s="44">
        <v>44384</v>
      </c>
      <c r="K434" s="92" t="s">
        <v>1054</v>
      </c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F434" s="27"/>
      <c r="AG434" s="27"/>
      <c r="AH434" s="27"/>
      <c r="AI434" s="27"/>
      <c r="AJ434" s="27"/>
      <c r="AK434" s="27"/>
      <c r="AL434" s="27"/>
      <c r="AM434" s="27"/>
      <c r="AN434" s="27"/>
      <c r="AO434" s="27"/>
      <c r="AP434" s="27"/>
      <c r="AQ434" s="27"/>
      <c r="AR434" s="27"/>
      <c r="AS434" s="27"/>
      <c r="AT434" s="27"/>
      <c r="AU434" s="27"/>
    </row>
    <row r="435" spans="1:47" ht="15.75" customHeight="1">
      <c r="A435" s="45">
        <v>44385</v>
      </c>
      <c r="B435" s="64" t="s">
        <v>1368</v>
      </c>
      <c r="C435" s="46" t="s">
        <v>1027</v>
      </c>
      <c r="D435" s="33" t="s">
        <v>1037</v>
      </c>
      <c r="E435" s="90">
        <v>10000</v>
      </c>
      <c r="F435" s="33" t="s">
        <v>1369</v>
      </c>
      <c r="G435" s="44" t="s">
        <v>835</v>
      </c>
      <c r="H435" s="44" t="s">
        <v>1176</v>
      </c>
      <c r="I435" s="44" t="s">
        <v>971</v>
      </c>
      <c r="J435" s="44">
        <v>44321</v>
      </c>
      <c r="K435" s="91" t="s">
        <v>1054</v>
      </c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F435" s="27"/>
      <c r="AG435" s="27"/>
      <c r="AH435" s="27"/>
      <c r="AI435" s="27"/>
      <c r="AJ435" s="27"/>
      <c r="AK435" s="27"/>
      <c r="AL435" s="27"/>
      <c r="AM435" s="27"/>
      <c r="AN435" s="27"/>
      <c r="AO435" s="27"/>
      <c r="AP435" s="27"/>
      <c r="AQ435" s="27"/>
      <c r="AR435" s="27"/>
      <c r="AS435" s="27"/>
      <c r="AT435" s="27"/>
      <c r="AU435" s="27"/>
    </row>
    <row r="436" spans="1:47" ht="15.75" customHeight="1">
      <c r="A436" s="45">
        <v>44386</v>
      </c>
      <c r="B436" s="64" t="s">
        <v>1164</v>
      </c>
      <c r="C436" s="46" t="s">
        <v>1076</v>
      </c>
      <c r="D436" s="33" t="s">
        <v>1037</v>
      </c>
      <c r="E436" s="90">
        <v>47000</v>
      </c>
      <c r="F436" s="33" t="s">
        <v>1165</v>
      </c>
      <c r="G436" s="44" t="s">
        <v>835</v>
      </c>
      <c r="H436" s="44" t="s">
        <v>86</v>
      </c>
      <c r="I436" s="44" t="s">
        <v>835</v>
      </c>
      <c r="J436" s="44">
        <v>44062</v>
      </c>
      <c r="K436" s="91" t="s">
        <v>1041</v>
      </c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F436" s="27"/>
      <c r="AG436" s="27"/>
      <c r="AH436" s="27"/>
      <c r="AI436" s="27"/>
      <c r="AJ436" s="27"/>
      <c r="AK436" s="27"/>
      <c r="AL436" s="27"/>
      <c r="AM436" s="27"/>
      <c r="AN436" s="27"/>
      <c r="AO436" s="27"/>
      <c r="AP436" s="27"/>
      <c r="AQ436" s="27"/>
      <c r="AR436" s="27"/>
      <c r="AS436" s="27"/>
      <c r="AT436" s="27"/>
      <c r="AU436" s="27"/>
    </row>
    <row r="437" spans="1:47" ht="15.75" customHeight="1">
      <c r="A437" s="45">
        <v>44386</v>
      </c>
      <c r="B437" s="64" t="s">
        <v>1336</v>
      </c>
      <c r="C437" s="46" t="s">
        <v>48</v>
      </c>
      <c r="D437" s="33" t="s">
        <v>1037</v>
      </c>
      <c r="E437" s="90">
        <v>156000</v>
      </c>
      <c r="F437" s="35" t="s">
        <v>1337</v>
      </c>
      <c r="G437" s="33" t="s">
        <v>904</v>
      </c>
      <c r="H437" s="33" t="s">
        <v>86</v>
      </c>
      <c r="I437" s="33" t="s">
        <v>902</v>
      </c>
      <c r="J437" s="42">
        <v>44145</v>
      </c>
      <c r="K437" s="92" t="s">
        <v>1122</v>
      </c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F437" s="27"/>
      <c r="AG437" s="27"/>
      <c r="AH437" s="27"/>
      <c r="AI437" s="27"/>
      <c r="AJ437" s="27"/>
      <c r="AK437" s="27"/>
      <c r="AL437" s="27"/>
      <c r="AM437" s="27"/>
      <c r="AN437" s="27"/>
      <c r="AO437" s="27"/>
      <c r="AP437" s="27"/>
      <c r="AQ437" s="27"/>
      <c r="AR437" s="27"/>
      <c r="AS437" s="27"/>
      <c r="AT437" s="27"/>
      <c r="AU437" s="27"/>
    </row>
    <row r="438" spans="1:47" ht="15.75" customHeight="1">
      <c r="A438" s="45">
        <v>44389</v>
      </c>
      <c r="B438" s="64" t="s">
        <v>1370</v>
      </c>
      <c r="C438" s="46" t="s">
        <v>1027</v>
      </c>
      <c r="D438" s="33" t="s">
        <v>1037</v>
      </c>
      <c r="E438" s="90">
        <v>20000</v>
      </c>
      <c r="F438" s="33" t="s">
        <v>1371</v>
      </c>
      <c r="G438" s="44" t="s">
        <v>835</v>
      </c>
      <c r="H438" s="44" t="s">
        <v>1176</v>
      </c>
      <c r="I438" s="44" t="s">
        <v>973</v>
      </c>
      <c r="J438" s="44">
        <v>44319</v>
      </c>
      <c r="K438" s="91" t="s">
        <v>1041</v>
      </c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F438" s="27"/>
      <c r="AG438" s="27"/>
      <c r="AH438" s="27"/>
      <c r="AI438" s="27"/>
      <c r="AJ438" s="27"/>
      <c r="AK438" s="27"/>
      <c r="AL438" s="27"/>
      <c r="AM438" s="27"/>
      <c r="AN438" s="27"/>
      <c r="AO438" s="27"/>
      <c r="AP438" s="27"/>
      <c r="AQ438" s="27"/>
      <c r="AR438" s="27"/>
      <c r="AS438" s="27"/>
      <c r="AT438" s="27"/>
      <c r="AU438" s="27"/>
    </row>
    <row r="439" spans="1:47" ht="15.75" customHeight="1">
      <c r="A439" s="45">
        <v>44389</v>
      </c>
      <c r="B439" s="64" t="s">
        <v>1372</v>
      </c>
      <c r="C439" s="46" t="s">
        <v>1027</v>
      </c>
      <c r="D439" s="33" t="s">
        <v>1037</v>
      </c>
      <c r="E439" s="90">
        <v>5000</v>
      </c>
      <c r="F439" s="33" t="s">
        <v>1373</v>
      </c>
      <c r="G439" s="44" t="s">
        <v>835</v>
      </c>
      <c r="H439" s="44" t="s">
        <v>1176</v>
      </c>
      <c r="I439" s="44" t="s">
        <v>971</v>
      </c>
      <c r="J439" s="44">
        <v>44321</v>
      </c>
      <c r="K439" s="91" t="s">
        <v>1179</v>
      </c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F439" s="27"/>
      <c r="AG439" s="27"/>
      <c r="AH439" s="27"/>
      <c r="AI439" s="27"/>
      <c r="AJ439" s="27"/>
      <c r="AK439" s="27"/>
      <c r="AL439" s="27"/>
      <c r="AM439" s="27"/>
      <c r="AN439" s="27"/>
      <c r="AO439" s="27"/>
      <c r="AP439" s="27"/>
      <c r="AQ439" s="27"/>
      <c r="AR439" s="27"/>
      <c r="AS439" s="27"/>
      <c r="AT439" s="27"/>
      <c r="AU439" s="27"/>
    </row>
    <row r="440" spans="1:47" ht="15.75" customHeight="1">
      <c r="A440" s="45">
        <v>44389</v>
      </c>
      <c r="B440" s="64" t="s">
        <v>1310</v>
      </c>
      <c r="C440" s="46" t="s">
        <v>1027</v>
      </c>
      <c r="D440" s="33" t="s">
        <v>1037</v>
      </c>
      <c r="E440" s="90">
        <v>45000</v>
      </c>
      <c r="F440" s="33" t="s">
        <v>1311</v>
      </c>
      <c r="G440" s="44" t="s">
        <v>835</v>
      </c>
      <c r="H440" s="44" t="s">
        <v>1176</v>
      </c>
      <c r="I440" s="44" t="s">
        <v>973</v>
      </c>
      <c r="J440" s="44">
        <v>44280</v>
      </c>
      <c r="K440" s="91" t="s">
        <v>1122</v>
      </c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F440" s="27"/>
      <c r="AG440" s="27"/>
      <c r="AH440" s="27"/>
      <c r="AI440" s="27"/>
      <c r="AJ440" s="27"/>
      <c r="AK440" s="27"/>
      <c r="AL440" s="27"/>
      <c r="AM440" s="27"/>
      <c r="AN440" s="27"/>
      <c r="AO440" s="27"/>
      <c r="AP440" s="27"/>
      <c r="AQ440" s="27"/>
      <c r="AR440" s="27"/>
      <c r="AS440" s="27"/>
      <c r="AT440" s="27"/>
      <c r="AU440" s="27"/>
    </row>
    <row r="441" spans="1:47" ht="15.75" customHeight="1">
      <c r="A441" s="44">
        <v>44390</v>
      </c>
      <c r="B441" s="57" t="s">
        <v>1374</v>
      </c>
      <c r="C441" s="33" t="s">
        <v>48</v>
      </c>
      <c r="D441" s="33" t="s">
        <v>1028</v>
      </c>
      <c r="E441" s="90">
        <v>0</v>
      </c>
      <c r="F441" s="33" t="s">
        <v>1375</v>
      </c>
      <c r="G441" s="33" t="s">
        <v>835</v>
      </c>
      <c r="H441" s="33" t="s">
        <v>86</v>
      </c>
      <c r="I441" s="33" t="s">
        <v>839</v>
      </c>
      <c r="J441" s="44">
        <v>44166</v>
      </c>
      <c r="K441" s="92" t="s">
        <v>1041</v>
      </c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F441" s="27"/>
      <c r="AG441" s="27"/>
      <c r="AH441" s="27"/>
      <c r="AI441" s="27"/>
      <c r="AJ441" s="27"/>
      <c r="AK441" s="27"/>
      <c r="AL441" s="27"/>
      <c r="AM441" s="27"/>
      <c r="AN441" s="27"/>
      <c r="AO441" s="27"/>
      <c r="AP441" s="27"/>
      <c r="AQ441" s="27"/>
      <c r="AR441" s="27"/>
      <c r="AS441" s="27"/>
      <c r="AT441" s="27"/>
      <c r="AU441" s="27"/>
    </row>
    <row r="442" spans="1:47" ht="15.75" customHeight="1">
      <c r="A442" s="45">
        <v>44390</v>
      </c>
      <c r="B442" s="64" t="s">
        <v>1177</v>
      </c>
      <c r="C442" s="46" t="s">
        <v>1027</v>
      </c>
      <c r="D442" s="33" t="s">
        <v>1037</v>
      </c>
      <c r="E442" s="90">
        <v>6000</v>
      </c>
      <c r="F442" s="33" t="s">
        <v>1178</v>
      </c>
      <c r="G442" s="44" t="s">
        <v>835</v>
      </c>
      <c r="H442" s="44" t="s">
        <v>1176</v>
      </c>
      <c r="I442" s="44" t="s">
        <v>973</v>
      </c>
      <c r="J442" s="44">
        <v>44295</v>
      </c>
      <c r="K442" s="91" t="s">
        <v>1179</v>
      </c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F442" s="27"/>
      <c r="AG442" s="27"/>
      <c r="AH442" s="27"/>
      <c r="AI442" s="27"/>
      <c r="AJ442" s="27"/>
      <c r="AK442" s="27"/>
      <c r="AL442" s="27"/>
      <c r="AM442" s="27"/>
      <c r="AN442" s="27"/>
      <c r="AO442" s="27"/>
      <c r="AP442" s="27"/>
      <c r="AQ442" s="27"/>
      <c r="AR442" s="27"/>
      <c r="AS442" s="27"/>
      <c r="AT442" s="27"/>
      <c r="AU442" s="27"/>
    </row>
    <row r="443" spans="1:47" ht="15.75" customHeight="1">
      <c r="A443" s="45">
        <v>44391</v>
      </c>
      <c r="B443" s="64" t="s">
        <v>1318</v>
      </c>
      <c r="C443" s="46" t="s">
        <v>1027</v>
      </c>
      <c r="D443" s="33" t="s">
        <v>1037</v>
      </c>
      <c r="E443" s="90">
        <v>4000</v>
      </c>
      <c r="F443" s="33" t="s">
        <v>1319</v>
      </c>
      <c r="G443" s="44" t="s">
        <v>835</v>
      </c>
      <c r="H443" s="44" t="s">
        <v>1176</v>
      </c>
      <c r="I443" s="44" t="s">
        <v>975</v>
      </c>
      <c r="J443" s="44">
        <v>44260</v>
      </c>
      <c r="K443" s="91" t="s">
        <v>1041</v>
      </c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F443" s="27"/>
      <c r="AG443" s="27"/>
      <c r="AH443" s="27"/>
      <c r="AI443" s="27"/>
      <c r="AJ443" s="27"/>
      <c r="AK443" s="27"/>
      <c r="AL443" s="27"/>
      <c r="AM443" s="27"/>
      <c r="AN443" s="27"/>
      <c r="AO443" s="27"/>
      <c r="AP443" s="27"/>
      <c r="AQ443" s="27"/>
      <c r="AR443" s="27"/>
      <c r="AS443" s="27"/>
      <c r="AT443" s="27"/>
      <c r="AU443" s="27"/>
    </row>
    <row r="444" spans="1:47" ht="15.75" customHeight="1">
      <c r="A444" s="44">
        <v>44393</v>
      </c>
      <c r="B444" s="40" t="s">
        <v>1376</v>
      </c>
      <c r="C444" s="33" t="s">
        <v>1027</v>
      </c>
      <c r="D444" s="33" t="s">
        <v>1028</v>
      </c>
      <c r="E444" s="90">
        <v>156601.32</v>
      </c>
      <c r="F444" s="33" t="s">
        <v>1377</v>
      </c>
      <c r="G444" s="44" t="s">
        <v>835</v>
      </c>
      <c r="H444" s="44" t="s">
        <v>1176</v>
      </c>
      <c r="I444" s="44" t="s">
        <v>971</v>
      </c>
      <c r="J444" s="44">
        <v>44280</v>
      </c>
      <c r="K444" s="91" t="s">
        <v>1041</v>
      </c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F444" s="27"/>
      <c r="AG444" s="27"/>
      <c r="AH444" s="27"/>
      <c r="AI444" s="27"/>
      <c r="AJ444" s="27"/>
      <c r="AK444" s="27"/>
      <c r="AL444" s="27"/>
      <c r="AM444" s="27"/>
      <c r="AN444" s="27"/>
      <c r="AO444" s="27"/>
      <c r="AP444" s="27"/>
      <c r="AQ444" s="27"/>
      <c r="AR444" s="27"/>
      <c r="AS444" s="27"/>
      <c r="AT444" s="27"/>
      <c r="AU444" s="27"/>
    </row>
    <row r="445" spans="1:47" ht="15.75" customHeight="1">
      <c r="A445" s="45">
        <v>44393</v>
      </c>
      <c r="B445" s="64" t="s">
        <v>1318</v>
      </c>
      <c r="C445" s="46" t="s">
        <v>1027</v>
      </c>
      <c r="D445" s="33" t="s">
        <v>1037</v>
      </c>
      <c r="E445" s="90">
        <v>107481.43</v>
      </c>
      <c r="F445" s="33" t="s">
        <v>1319</v>
      </c>
      <c r="G445" s="44" t="s">
        <v>835</v>
      </c>
      <c r="H445" s="44" t="s">
        <v>1176</v>
      </c>
      <c r="I445" s="44" t="s">
        <v>975</v>
      </c>
      <c r="J445" s="44">
        <v>44260</v>
      </c>
      <c r="K445" s="91" t="s">
        <v>1041</v>
      </c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F445" s="27"/>
      <c r="AG445" s="27"/>
      <c r="AH445" s="27"/>
      <c r="AI445" s="27"/>
      <c r="AJ445" s="27"/>
      <c r="AK445" s="27"/>
      <c r="AL445" s="27"/>
      <c r="AM445" s="27"/>
      <c r="AN445" s="27"/>
      <c r="AO445" s="27"/>
      <c r="AP445" s="27"/>
      <c r="AQ445" s="27"/>
      <c r="AR445" s="27"/>
      <c r="AS445" s="27"/>
      <c r="AT445" s="27"/>
      <c r="AU445" s="27"/>
    </row>
    <row r="446" spans="1:47" ht="15.75" customHeight="1">
      <c r="A446" s="45">
        <v>44393</v>
      </c>
      <c r="B446" s="64" t="s">
        <v>1376</v>
      </c>
      <c r="C446" s="46" t="s">
        <v>1027</v>
      </c>
      <c r="D446" s="33" t="s">
        <v>1037</v>
      </c>
      <c r="E446" s="90">
        <v>10000</v>
      </c>
      <c r="F446" s="33" t="s">
        <v>1377</v>
      </c>
      <c r="G446" s="44" t="s">
        <v>835</v>
      </c>
      <c r="H446" s="44" t="s">
        <v>1176</v>
      </c>
      <c r="I446" s="44" t="s">
        <v>971</v>
      </c>
      <c r="J446" s="44">
        <v>44280</v>
      </c>
      <c r="K446" s="91" t="s">
        <v>1041</v>
      </c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F446" s="27"/>
      <c r="AG446" s="27"/>
      <c r="AH446" s="27"/>
      <c r="AI446" s="27"/>
      <c r="AJ446" s="27"/>
      <c r="AK446" s="27"/>
      <c r="AL446" s="27"/>
      <c r="AM446" s="27"/>
      <c r="AN446" s="27"/>
      <c r="AO446" s="27"/>
      <c r="AP446" s="27"/>
      <c r="AQ446" s="27"/>
      <c r="AR446" s="27"/>
      <c r="AS446" s="27"/>
      <c r="AT446" s="27"/>
      <c r="AU446" s="27"/>
    </row>
    <row r="447" spans="1:47" ht="15.75" customHeight="1">
      <c r="A447" s="45">
        <v>44393</v>
      </c>
      <c r="B447" s="64" t="s">
        <v>1378</v>
      </c>
      <c r="C447" s="46" t="s">
        <v>1027</v>
      </c>
      <c r="D447" s="33" t="s">
        <v>1037</v>
      </c>
      <c r="E447" s="90">
        <v>20000</v>
      </c>
      <c r="F447" s="33" t="s">
        <v>1379</v>
      </c>
      <c r="G447" s="44" t="s">
        <v>835</v>
      </c>
      <c r="H447" s="44" t="s">
        <v>1176</v>
      </c>
      <c r="I447" s="44" t="s">
        <v>973</v>
      </c>
      <c r="J447" s="44">
        <v>44263</v>
      </c>
      <c r="K447" s="91" t="s">
        <v>1122</v>
      </c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F447" s="27"/>
      <c r="AG447" s="27"/>
      <c r="AH447" s="27"/>
      <c r="AI447" s="27"/>
      <c r="AJ447" s="27"/>
      <c r="AK447" s="27"/>
      <c r="AL447" s="27"/>
      <c r="AM447" s="27"/>
      <c r="AN447" s="27"/>
      <c r="AO447" s="27"/>
      <c r="AP447" s="27"/>
      <c r="AQ447" s="27"/>
      <c r="AR447" s="27"/>
      <c r="AS447" s="27"/>
      <c r="AT447" s="27"/>
      <c r="AU447" s="27"/>
    </row>
    <row r="448" spans="1:47" ht="15.75" customHeight="1">
      <c r="A448" s="45">
        <v>44393</v>
      </c>
      <c r="B448" s="64" t="s">
        <v>1048</v>
      </c>
      <c r="C448" s="46" t="s">
        <v>1027</v>
      </c>
      <c r="D448" s="33" t="s">
        <v>1037</v>
      </c>
      <c r="E448" s="90">
        <v>50000</v>
      </c>
      <c r="F448" s="33" t="s">
        <v>1049</v>
      </c>
      <c r="G448" s="44" t="s">
        <v>830</v>
      </c>
      <c r="H448" s="44" t="s">
        <v>86</v>
      </c>
      <c r="I448" s="44" t="s">
        <v>878</v>
      </c>
      <c r="J448" s="44">
        <v>43703</v>
      </c>
      <c r="K448" s="91" t="s">
        <v>1033</v>
      </c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F448" s="27"/>
      <c r="AG448" s="27"/>
      <c r="AH448" s="27"/>
      <c r="AI448" s="27"/>
      <c r="AJ448" s="27"/>
      <c r="AK448" s="27"/>
      <c r="AL448" s="27"/>
      <c r="AM448" s="27"/>
      <c r="AN448" s="27"/>
      <c r="AO448" s="27"/>
      <c r="AP448" s="27"/>
      <c r="AQ448" s="27"/>
      <c r="AR448" s="27"/>
      <c r="AS448" s="27"/>
      <c r="AT448" s="27"/>
      <c r="AU448" s="27"/>
    </row>
    <row r="449" spans="1:47" ht="15.75" customHeight="1">
      <c r="A449" s="44">
        <v>44396</v>
      </c>
      <c r="B449" s="57" t="s">
        <v>1380</v>
      </c>
      <c r="C449" s="33" t="s">
        <v>48</v>
      </c>
      <c r="D449" s="33" t="s">
        <v>1028</v>
      </c>
      <c r="E449" s="90">
        <v>0</v>
      </c>
      <c r="F449" s="33" t="s">
        <v>1381</v>
      </c>
      <c r="G449" s="33" t="s">
        <v>904</v>
      </c>
      <c r="H449" s="33" t="s">
        <v>86</v>
      </c>
      <c r="I449" s="33" t="s">
        <v>849</v>
      </c>
      <c r="J449" s="44">
        <v>44085</v>
      </c>
      <c r="K449" s="92" t="s">
        <v>1054</v>
      </c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F449" s="27"/>
      <c r="AG449" s="27"/>
      <c r="AH449" s="27"/>
      <c r="AI449" s="27"/>
      <c r="AJ449" s="27"/>
      <c r="AK449" s="27"/>
      <c r="AL449" s="27"/>
      <c r="AM449" s="27"/>
      <c r="AN449" s="27"/>
      <c r="AO449" s="27"/>
      <c r="AP449" s="27"/>
      <c r="AQ449" s="27"/>
      <c r="AR449" s="27"/>
      <c r="AS449" s="27"/>
      <c r="AT449" s="27"/>
      <c r="AU449" s="27"/>
    </row>
    <row r="450" spans="1:47" ht="15.75" customHeight="1">
      <c r="A450" s="45">
        <v>44396</v>
      </c>
      <c r="B450" s="64" t="s">
        <v>1093</v>
      </c>
      <c r="C450" s="46" t="s">
        <v>1027</v>
      </c>
      <c r="D450" s="33" t="s">
        <v>1037</v>
      </c>
      <c r="E450" s="90">
        <v>10000</v>
      </c>
      <c r="F450" s="33" t="s">
        <v>1094</v>
      </c>
      <c r="G450" s="44" t="s">
        <v>830</v>
      </c>
      <c r="H450" s="44" t="s">
        <v>86</v>
      </c>
      <c r="I450" s="44" t="s">
        <v>878</v>
      </c>
      <c r="J450" s="44">
        <v>43564</v>
      </c>
      <c r="K450" s="91" t="s">
        <v>1030</v>
      </c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F450" s="27"/>
      <c r="AG450" s="27"/>
      <c r="AH450" s="27"/>
      <c r="AI450" s="27"/>
      <c r="AJ450" s="27"/>
      <c r="AK450" s="27"/>
      <c r="AL450" s="27"/>
      <c r="AM450" s="27"/>
      <c r="AN450" s="27"/>
      <c r="AO450" s="27"/>
      <c r="AP450" s="27"/>
      <c r="AQ450" s="27"/>
      <c r="AR450" s="27"/>
      <c r="AS450" s="27"/>
      <c r="AT450" s="27"/>
      <c r="AU450" s="27"/>
    </row>
    <row r="451" spans="1:47" ht="15.75" customHeight="1">
      <c r="A451" s="45">
        <v>44396</v>
      </c>
      <c r="B451" s="64" t="s">
        <v>1304</v>
      </c>
      <c r="C451" s="46" t="s">
        <v>1027</v>
      </c>
      <c r="D451" s="33" t="s">
        <v>1037</v>
      </c>
      <c r="E451" s="90">
        <v>30000</v>
      </c>
      <c r="F451" s="33" t="s">
        <v>1305</v>
      </c>
      <c r="G451" s="44" t="s">
        <v>835</v>
      </c>
      <c r="H451" s="44" t="s">
        <v>1176</v>
      </c>
      <c r="I451" s="44" t="s">
        <v>971</v>
      </c>
      <c r="J451" s="44">
        <v>44322</v>
      </c>
      <c r="K451" s="91" t="s">
        <v>1041</v>
      </c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F451" s="27"/>
      <c r="AG451" s="27"/>
      <c r="AH451" s="27"/>
      <c r="AI451" s="27"/>
      <c r="AJ451" s="27"/>
      <c r="AK451" s="27"/>
      <c r="AL451" s="27"/>
      <c r="AM451" s="27"/>
      <c r="AN451" s="27"/>
      <c r="AO451" s="27"/>
      <c r="AP451" s="27"/>
      <c r="AQ451" s="27"/>
      <c r="AR451" s="27"/>
      <c r="AS451" s="27"/>
      <c r="AT451" s="27"/>
      <c r="AU451" s="27"/>
    </row>
    <row r="452" spans="1:47" ht="15.75" customHeight="1">
      <c r="A452" s="45">
        <v>44397</v>
      </c>
      <c r="B452" s="64" t="s">
        <v>1084</v>
      </c>
      <c r="C452" s="46" t="s">
        <v>1027</v>
      </c>
      <c r="D452" s="33" t="s">
        <v>1037</v>
      </c>
      <c r="E452" s="90">
        <v>300000</v>
      </c>
      <c r="F452" s="33" t="s">
        <v>1085</v>
      </c>
      <c r="G452" s="44" t="s">
        <v>830</v>
      </c>
      <c r="H452" s="44" t="s">
        <v>86</v>
      </c>
      <c r="I452" s="44" t="s">
        <v>878</v>
      </c>
      <c r="J452" s="44">
        <v>43894</v>
      </c>
      <c r="K452" s="91" t="s">
        <v>1054</v>
      </c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F452" s="27"/>
      <c r="AG452" s="27"/>
      <c r="AH452" s="27"/>
      <c r="AI452" s="27"/>
      <c r="AJ452" s="27"/>
      <c r="AK452" s="27"/>
      <c r="AL452" s="27"/>
      <c r="AM452" s="27"/>
      <c r="AN452" s="27"/>
      <c r="AO452" s="27"/>
      <c r="AP452" s="27"/>
      <c r="AQ452" s="27"/>
      <c r="AR452" s="27"/>
      <c r="AS452" s="27"/>
      <c r="AT452" s="27"/>
      <c r="AU452" s="27"/>
    </row>
    <row r="453" spans="1:47" ht="15.75" customHeight="1">
      <c r="A453" s="45">
        <v>44397</v>
      </c>
      <c r="B453" s="64" t="s">
        <v>1177</v>
      </c>
      <c r="C453" s="46" t="s">
        <v>1027</v>
      </c>
      <c r="D453" s="33" t="s">
        <v>1037</v>
      </c>
      <c r="E453" s="90">
        <v>10000</v>
      </c>
      <c r="F453" s="33" t="s">
        <v>1178</v>
      </c>
      <c r="G453" s="44" t="s">
        <v>835</v>
      </c>
      <c r="H453" s="44" t="s">
        <v>1176</v>
      </c>
      <c r="I453" s="44" t="s">
        <v>973</v>
      </c>
      <c r="J453" s="44">
        <v>44295</v>
      </c>
      <c r="K453" s="91" t="s">
        <v>1179</v>
      </c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F453" s="27"/>
      <c r="AG453" s="27"/>
      <c r="AH453" s="27"/>
      <c r="AI453" s="27"/>
      <c r="AJ453" s="27"/>
      <c r="AK453" s="27"/>
      <c r="AL453" s="27"/>
      <c r="AM453" s="27"/>
      <c r="AN453" s="27"/>
      <c r="AO453" s="27"/>
      <c r="AP453" s="27"/>
      <c r="AQ453" s="27"/>
      <c r="AR453" s="27"/>
      <c r="AS453" s="27"/>
      <c r="AT453" s="27"/>
      <c r="AU453" s="27"/>
    </row>
    <row r="454" spans="1:47" ht="15.75" customHeight="1">
      <c r="A454" s="45">
        <v>44398</v>
      </c>
      <c r="B454" s="64" t="s">
        <v>1304</v>
      </c>
      <c r="C454" s="46" t="s">
        <v>1027</v>
      </c>
      <c r="D454" s="33" t="s">
        <v>1037</v>
      </c>
      <c r="E454" s="90">
        <v>468601.48</v>
      </c>
      <c r="F454" s="33" t="s">
        <v>1305</v>
      </c>
      <c r="G454" s="44" t="s">
        <v>835</v>
      </c>
      <c r="H454" s="44" t="s">
        <v>1176</v>
      </c>
      <c r="I454" s="44" t="s">
        <v>971</v>
      </c>
      <c r="J454" s="44">
        <v>44322</v>
      </c>
      <c r="K454" s="91" t="s">
        <v>1041</v>
      </c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F454" s="27"/>
      <c r="AG454" s="27"/>
      <c r="AH454" s="27"/>
      <c r="AI454" s="27"/>
      <c r="AJ454" s="27"/>
      <c r="AK454" s="27"/>
      <c r="AL454" s="27"/>
      <c r="AM454" s="27"/>
      <c r="AN454" s="27"/>
      <c r="AO454" s="27"/>
      <c r="AP454" s="27"/>
      <c r="AQ454" s="27"/>
      <c r="AR454" s="27"/>
      <c r="AS454" s="27"/>
      <c r="AT454" s="27"/>
      <c r="AU454" s="27"/>
    </row>
    <row r="455" spans="1:47" ht="15.75" customHeight="1">
      <c r="A455" s="45">
        <v>44398</v>
      </c>
      <c r="B455" s="64" t="s">
        <v>1314</v>
      </c>
      <c r="C455" s="46" t="s">
        <v>1027</v>
      </c>
      <c r="D455" s="33" t="s">
        <v>1037</v>
      </c>
      <c r="E455" s="94">
        <v>2200</v>
      </c>
      <c r="F455" s="33" t="s">
        <v>1315</v>
      </c>
      <c r="G455" s="44" t="s">
        <v>835</v>
      </c>
      <c r="H455" s="44" t="s">
        <v>1176</v>
      </c>
      <c r="I455" s="44" t="s">
        <v>973</v>
      </c>
      <c r="J455" s="44">
        <v>44322</v>
      </c>
      <c r="K455" s="91" t="s">
        <v>1041</v>
      </c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F455" s="27"/>
      <c r="AG455" s="27"/>
      <c r="AH455" s="27"/>
      <c r="AI455" s="27"/>
      <c r="AJ455" s="27"/>
      <c r="AK455" s="27"/>
      <c r="AL455" s="27"/>
      <c r="AM455" s="27"/>
      <c r="AN455" s="27"/>
      <c r="AO455" s="27"/>
      <c r="AP455" s="27"/>
      <c r="AQ455" s="27"/>
      <c r="AR455" s="27"/>
      <c r="AS455" s="27"/>
      <c r="AT455" s="27"/>
      <c r="AU455" s="27"/>
    </row>
    <row r="456" spans="1:47" ht="15.75" customHeight="1">
      <c r="A456" s="45">
        <v>44399</v>
      </c>
      <c r="B456" s="64" t="s">
        <v>1304</v>
      </c>
      <c r="C456" s="46" t="s">
        <v>1027</v>
      </c>
      <c r="D456" s="33" t="s">
        <v>1037</v>
      </c>
      <c r="E456" s="90">
        <v>20000</v>
      </c>
      <c r="F456" s="33" t="s">
        <v>1305</v>
      </c>
      <c r="G456" s="44" t="s">
        <v>835</v>
      </c>
      <c r="H456" s="44" t="s">
        <v>1176</v>
      </c>
      <c r="I456" s="44" t="s">
        <v>971</v>
      </c>
      <c r="J456" s="44">
        <v>44322</v>
      </c>
      <c r="K456" s="91" t="s">
        <v>1041</v>
      </c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F456" s="27"/>
      <c r="AG456" s="27"/>
      <c r="AH456" s="27"/>
      <c r="AI456" s="27"/>
      <c r="AJ456" s="27"/>
      <c r="AK456" s="27"/>
      <c r="AL456" s="27"/>
      <c r="AM456" s="27"/>
      <c r="AN456" s="27"/>
      <c r="AO456" s="27"/>
      <c r="AP456" s="27"/>
      <c r="AQ456" s="27"/>
      <c r="AR456" s="27"/>
      <c r="AS456" s="27"/>
      <c r="AT456" s="27"/>
      <c r="AU456" s="27"/>
    </row>
    <row r="457" spans="1:47" ht="15.75" customHeight="1">
      <c r="A457" s="45">
        <v>44400</v>
      </c>
      <c r="B457" s="64" t="s">
        <v>1322</v>
      </c>
      <c r="C457" s="46" t="s">
        <v>1027</v>
      </c>
      <c r="D457" s="33" t="s">
        <v>1037</v>
      </c>
      <c r="E457" s="90">
        <v>15000</v>
      </c>
      <c r="F457" s="33" t="s">
        <v>1323</v>
      </c>
      <c r="G457" s="44" t="s">
        <v>830</v>
      </c>
      <c r="H457" s="44" t="s">
        <v>86</v>
      </c>
      <c r="I457" s="44" t="s">
        <v>969</v>
      </c>
      <c r="J457" s="44">
        <v>43752</v>
      </c>
      <c r="K457" s="91" t="s">
        <v>1041</v>
      </c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F457" s="27"/>
      <c r="AG457" s="27"/>
      <c r="AH457" s="27"/>
      <c r="AI457" s="27"/>
      <c r="AJ457" s="27"/>
      <c r="AK457" s="27"/>
      <c r="AL457" s="27"/>
      <c r="AM457" s="27"/>
      <c r="AN457" s="27"/>
      <c r="AO457" s="27"/>
      <c r="AP457" s="27"/>
      <c r="AQ457" s="27"/>
      <c r="AR457" s="27"/>
      <c r="AS457" s="27"/>
      <c r="AT457" s="27"/>
      <c r="AU457" s="27"/>
    </row>
    <row r="458" spans="1:47" ht="15.75" customHeight="1">
      <c r="A458" s="45">
        <v>44403</v>
      </c>
      <c r="B458" s="64" t="s">
        <v>1368</v>
      </c>
      <c r="C458" s="46" t="s">
        <v>1027</v>
      </c>
      <c r="D458" s="33" t="s">
        <v>1037</v>
      </c>
      <c r="E458" s="90">
        <v>30000</v>
      </c>
      <c r="F458" s="33" t="s">
        <v>1369</v>
      </c>
      <c r="G458" s="44" t="s">
        <v>835</v>
      </c>
      <c r="H458" s="44" t="s">
        <v>1176</v>
      </c>
      <c r="I458" s="44" t="s">
        <v>971</v>
      </c>
      <c r="J458" s="44">
        <v>44321</v>
      </c>
      <c r="K458" s="91" t="s">
        <v>1054</v>
      </c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F458" s="27"/>
      <c r="AG458" s="27"/>
      <c r="AH458" s="27"/>
      <c r="AI458" s="27"/>
      <c r="AJ458" s="27"/>
      <c r="AK458" s="27"/>
      <c r="AL458" s="27"/>
      <c r="AM458" s="27"/>
      <c r="AN458" s="27"/>
      <c r="AO458" s="27"/>
      <c r="AP458" s="27"/>
      <c r="AQ458" s="27"/>
      <c r="AR458" s="27"/>
      <c r="AS458" s="27"/>
      <c r="AT458" s="27"/>
      <c r="AU458" s="27"/>
    </row>
    <row r="459" spans="1:47" ht="15.75" customHeight="1">
      <c r="A459" s="45">
        <v>44403</v>
      </c>
      <c r="B459" s="64" t="s">
        <v>1180</v>
      </c>
      <c r="C459" s="46" t="s">
        <v>1027</v>
      </c>
      <c r="D459" s="33" t="s">
        <v>1037</v>
      </c>
      <c r="E459" s="90">
        <v>40000</v>
      </c>
      <c r="F459" s="33" t="s">
        <v>1181</v>
      </c>
      <c r="G459" s="44" t="s">
        <v>835</v>
      </c>
      <c r="H459" s="44" t="s">
        <v>1176</v>
      </c>
      <c r="I459" s="44" t="s">
        <v>973</v>
      </c>
      <c r="J459" s="44">
        <v>44272</v>
      </c>
      <c r="K459" s="91" t="s">
        <v>1182</v>
      </c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F459" s="27"/>
      <c r="AG459" s="27"/>
      <c r="AH459" s="27"/>
      <c r="AI459" s="27"/>
      <c r="AJ459" s="27"/>
      <c r="AK459" s="27"/>
      <c r="AL459" s="27"/>
      <c r="AM459" s="27"/>
      <c r="AN459" s="27"/>
      <c r="AO459" s="27"/>
      <c r="AP459" s="27"/>
      <c r="AQ459" s="27"/>
      <c r="AR459" s="27"/>
      <c r="AS459" s="27"/>
      <c r="AT459" s="27"/>
      <c r="AU459" s="27"/>
    </row>
    <row r="460" spans="1:47" ht="15.75" customHeight="1">
      <c r="A460" s="45">
        <v>44404</v>
      </c>
      <c r="B460" s="64" t="s">
        <v>1382</v>
      </c>
      <c r="C460" s="33" t="s">
        <v>48</v>
      </c>
      <c r="D460" s="33" t="s">
        <v>1028</v>
      </c>
      <c r="E460" s="90">
        <v>0</v>
      </c>
      <c r="F460" s="33" t="s">
        <v>1383</v>
      </c>
      <c r="G460" s="33" t="s">
        <v>835</v>
      </c>
      <c r="H460" s="33" t="s">
        <v>1299</v>
      </c>
      <c r="I460" s="33" t="s">
        <v>886</v>
      </c>
      <c r="J460" s="44"/>
      <c r="K460" s="92" t="s">
        <v>1041</v>
      </c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F460" s="27"/>
      <c r="AG460" s="27"/>
      <c r="AH460" s="27"/>
      <c r="AI460" s="27"/>
      <c r="AJ460" s="27"/>
      <c r="AK460" s="27"/>
      <c r="AL460" s="27"/>
      <c r="AM460" s="27"/>
      <c r="AN460" s="27"/>
      <c r="AO460" s="27"/>
      <c r="AP460" s="27"/>
      <c r="AQ460" s="27"/>
      <c r="AR460" s="27"/>
      <c r="AS460" s="27"/>
      <c r="AT460" s="27"/>
      <c r="AU460" s="27"/>
    </row>
    <row r="461" spans="1:47" ht="15.75" customHeight="1">
      <c r="A461" s="45">
        <v>44405</v>
      </c>
      <c r="B461" s="64" t="s">
        <v>1308</v>
      </c>
      <c r="C461" s="46" t="s">
        <v>1027</v>
      </c>
      <c r="D461" s="33" t="s">
        <v>1037</v>
      </c>
      <c r="E461" s="90">
        <v>100000</v>
      </c>
      <c r="F461" s="33" t="s">
        <v>1309</v>
      </c>
      <c r="G461" s="44" t="s">
        <v>835</v>
      </c>
      <c r="H461" s="44" t="s">
        <v>1176</v>
      </c>
      <c r="I461" s="44" t="s">
        <v>971</v>
      </c>
      <c r="J461" s="44">
        <v>44319</v>
      </c>
      <c r="K461" s="91" t="s">
        <v>1041</v>
      </c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F461" s="27"/>
      <c r="AG461" s="27"/>
      <c r="AH461" s="27"/>
      <c r="AI461" s="27"/>
      <c r="AJ461" s="27"/>
      <c r="AK461" s="27"/>
      <c r="AL461" s="27"/>
      <c r="AM461" s="27"/>
      <c r="AN461" s="27"/>
      <c r="AO461" s="27"/>
      <c r="AP461" s="27"/>
      <c r="AQ461" s="27"/>
      <c r="AR461" s="27"/>
      <c r="AS461" s="27"/>
      <c r="AT461" s="27"/>
      <c r="AU461" s="27"/>
    </row>
    <row r="462" spans="1:47" ht="15.75" customHeight="1">
      <c r="A462" s="45">
        <v>44406</v>
      </c>
      <c r="B462" s="64" t="s">
        <v>1384</v>
      </c>
      <c r="C462" s="46" t="s">
        <v>1027</v>
      </c>
      <c r="D462" s="33" t="s">
        <v>1062</v>
      </c>
      <c r="E462" s="90">
        <v>15000</v>
      </c>
      <c r="F462" s="33" t="s">
        <v>1385</v>
      </c>
      <c r="G462" s="44" t="s">
        <v>830</v>
      </c>
      <c r="H462" s="44" t="s">
        <v>86</v>
      </c>
      <c r="I462" s="44" t="s">
        <v>878</v>
      </c>
      <c r="J462" s="44">
        <v>43859</v>
      </c>
      <c r="K462" s="91" t="s">
        <v>1054</v>
      </c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F462" s="27"/>
      <c r="AG462" s="27"/>
      <c r="AH462" s="27"/>
      <c r="AI462" s="27"/>
      <c r="AJ462" s="27"/>
      <c r="AK462" s="27"/>
      <c r="AL462" s="27"/>
      <c r="AM462" s="27"/>
      <c r="AN462" s="27"/>
      <c r="AO462" s="27"/>
      <c r="AP462" s="27"/>
      <c r="AQ462" s="27"/>
      <c r="AR462" s="27"/>
      <c r="AS462" s="27"/>
      <c r="AT462" s="27"/>
      <c r="AU462" s="27"/>
    </row>
    <row r="463" spans="1:47" ht="15.75" customHeight="1">
      <c r="A463" s="45">
        <v>44407</v>
      </c>
      <c r="B463" s="64" t="s">
        <v>1386</v>
      </c>
      <c r="C463" s="46" t="s">
        <v>48</v>
      </c>
      <c r="D463" s="33" t="s">
        <v>1037</v>
      </c>
      <c r="E463" s="90">
        <v>3440319.83</v>
      </c>
      <c r="F463" s="33" t="s">
        <v>1387</v>
      </c>
      <c r="G463" s="33" t="s">
        <v>835</v>
      </c>
      <c r="H463" s="33" t="s">
        <v>86</v>
      </c>
      <c r="I463" s="33" t="s">
        <v>847</v>
      </c>
      <c r="J463" s="44"/>
      <c r="K463" s="92" t="s">
        <v>1030</v>
      </c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F463" s="27"/>
      <c r="AG463" s="27"/>
      <c r="AH463" s="27"/>
      <c r="AI463" s="27"/>
      <c r="AJ463" s="27"/>
      <c r="AK463" s="27"/>
      <c r="AL463" s="27"/>
      <c r="AM463" s="27"/>
      <c r="AN463" s="27"/>
      <c r="AO463" s="27"/>
      <c r="AP463" s="27"/>
      <c r="AQ463" s="27"/>
      <c r="AR463" s="27"/>
      <c r="AS463" s="27"/>
      <c r="AT463" s="27"/>
      <c r="AU463" s="27"/>
    </row>
    <row r="464" spans="1:47" ht="15.75" customHeight="1">
      <c r="A464" s="45">
        <v>44407</v>
      </c>
      <c r="B464" s="64" t="s">
        <v>1304</v>
      </c>
      <c r="C464" s="46" t="s">
        <v>1027</v>
      </c>
      <c r="D464" s="33" t="s">
        <v>1037</v>
      </c>
      <c r="E464" s="90">
        <v>10000</v>
      </c>
      <c r="F464" s="33" t="s">
        <v>1305</v>
      </c>
      <c r="G464" s="44" t="s">
        <v>835</v>
      </c>
      <c r="H464" s="44" t="s">
        <v>1176</v>
      </c>
      <c r="I464" s="44" t="s">
        <v>971</v>
      </c>
      <c r="J464" s="44">
        <v>44322</v>
      </c>
      <c r="K464" s="91" t="s">
        <v>1041</v>
      </c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F464" s="27"/>
      <c r="AG464" s="27"/>
      <c r="AH464" s="27"/>
      <c r="AI464" s="27"/>
      <c r="AJ464" s="27"/>
      <c r="AK464" s="27"/>
      <c r="AL464" s="27"/>
      <c r="AM464" s="27"/>
      <c r="AN464" s="27"/>
      <c r="AO464" s="27"/>
      <c r="AP464" s="27"/>
      <c r="AQ464" s="27"/>
      <c r="AR464" s="27"/>
      <c r="AS464" s="27"/>
      <c r="AT464" s="27"/>
      <c r="AU464" s="27"/>
    </row>
    <row r="465" spans="1:47" ht="15.75" customHeight="1">
      <c r="A465" s="45">
        <v>44407</v>
      </c>
      <c r="B465" s="64" t="s">
        <v>1240</v>
      </c>
      <c r="C465" s="46" t="s">
        <v>48</v>
      </c>
      <c r="D465" s="33" t="s">
        <v>1037</v>
      </c>
      <c r="E465" s="90">
        <v>155000</v>
      </c>
      <c r="F465" s="33" t="s">
        <v>1241</v>
      </c>
      <c r="G465" s="33" t="s">
        <v>904</v>
      </c>
      <c r="H465" s="33" t="s">
        <v>86</v>
      </c>
      <c r="I465" s="33" t="s">
        <v>935</v>
      </c>
      <c r="J465" s="42">
        <v>44180</v>
      </c>
      <c r="K465" s="92" t="s">
        <v>1041</v>
      </c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F465" s="27"/>
      <c r="AG465" s="27"/>
      <c r="AH465" s="27"/>
      <c r="AI465" s="27"/>
      <c r="AJ465" s="27"/>
      <c r="AK465" s="27"/>
      <c r="AL465" s="27"/>
      <c r="AM465" s="27"/>
      <c r="AN465" s="27"/>
      <c r="AO465" s="27"/>
      <c r="AP465" s="27"/>
      <c r="AQ465" s="27"/>
      <c r="AR465" s="27"/>
      <c r="AS465" s="27"/>
      <c r="AT465" s="27"/>
      <c r="AU465" s="27"/>
    </row>
    <row r="466" spans="1:47" ht="15.75" customHeight="1">
      <c r="A466" s="45">
        <v>44407</v>
      </c>
      <c r="B466" s="38" t="s">
        <v>1388</v>
      </c>
      <c r="C466" s="10" t="s">
        <v>48</v>
      </c>
      <c r="D466" s="46" t="s">
        <v>1037</v>
      </c>
      <c r="E466" s="47">
        <v>5000</v>
      </c>
      <c r="F466" s="46" t="s">
        <v>1389</v>
      </c>
      <c r="G466" s="46" t="s">
        <v>835</v>
      </c>
      <c r="H466" s="46" t="s">
        <v>1299</v>
      </c>
      <c r="I466" s="46" t="s">
        <v>886</v>
      </c>
      <c r="J466" s="45">
        <v>44407</v>
      </c>
      <c r="K466" s="48" t="s">
        <v>1122</v>
      </c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F466" s="27"/>
      <c r="AG466" s="27"/>
      <c r="AH466" s="27"/>
      <c r="AI466" s="27"/>
      <c r="AJ466" s="27"/>
      <c r="AK466" s="27"/>
      <c r="AL466" s="27"/>
      <c r="AM466" s="27"/>
      <c r="AN466" s="27"/>
      <c r="AO466" s="27"/>
      <c r="AP466" s="27"/>
      <c r="AQ466" s="27"/>
      <c r="AR466" s="27"/>
      <c r="AS466" s="27"/>
      <c r="AT466" s="27"/>
      <c r="AU466" s="27"/>
    </row>
    <row r="467" spans="1:47" ht="15.75" customHeight="1">
      <c r="A467" s="44">
        <v>44408</v>
      </c>
      <c r="B467" s="57" t="s">
        <v>1332</v>
      </c>
      <c r="C467" s="33" t="s">
        <v>48</v>
      </c>
      <c r="D467" s="33" t="s">
        <v>1028</v>
      </c>
      <c r="E467" s="90">
        <v>0</v>
      </c>
      <c r="F467" s="33" t="s">
        <v>1333</v>
      </c>
      <c r="G467" s="33" t="s">
        <v>904</v>
      </c>
      <c r="H467" s="33" t="s">
        <v>86</v>
      </c>
      <c r="I467" s="33" t="s">
        <v>849</v>
      </c>
      <c r="J467" s="44">
        <v>44090</v>
      </c>
      <c r="K467" s="92" t="s">
        <v>1054</v>
      </c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F467" s="27"/>
      <c r="AG467" s="27"/>
      <c r="AH467" s="27"/>
      <c r="AI467" s="27"/>
      <c r="AJ467" s="27"/>
      <c r="AK467" s="27"/>
      <c r="AL467" s="27"/>
      <c r="AM467" s="27"/>
      <c r="AN467" s="27"/>
      <c r="AO467" s="27"/>
      <c r="AP467" s="27"/>
      <c r="AQ467" s="27"/>
      <c r="AR467" s="27"/>
      <c r="AS467" s="27"/>
      <c r="AT467" s="27"/>
      <c r="AU467" s="27"/>
    </row>
    <row r="468" spans="1:47" ht="15.75" customHeight="1">
      <c r="A468" s="45">
        <v>44410</v>
      </c>
      <c r="B468" s="64" t="s">
        <v>1302</v>
      </c>
      <c r="C468" s="46" t="s">
        <v>1027</v>
      </c>
      <c r="D468" s="33" t="s">
        <v>1037</v>
      </c>
      <c r="E468" s="90">
        <v>150000</v>
      </c>
      <c r="F468" s="33" t="s">
        <v>1303</v>
      </c>
      <c r="G468" s="44" t="s">
        <v>835</v>
      </c>
      <c r="H468" s="44" t="s">
        <v>1176</v>
      </c>
      <c r="I468" s="44" t="s">
        <v>971</v>
      </c>
      <c r="J468" s="44">
        <v>44295</v>
      </c>
      <c r="K468" s="91" t="s">
        <v>1122</v>
      </c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F468" s="27"/>
      <c r="AG468" s="27"/>
      <c r="AH468" s="27"/>
      <c r="AI468" s="27"/>
      <c r="AJ468" s="27"/>
      <c r="AK468" s="27"/>
      <c r="AL468" s="27"/>
      <c r="AM468" s="27"/>
      <c r="AN468" s="27"/>
      <c r="AO468" s="27"/>
      <c r="AP468" s="27"/>
      <c r="AQ468" s="27"/>
      <c r="AR468" s="27"/>
      <c r="AS468" s="27"/>
      <c r="AT468" s="27"/>
      <c r="AU468" s="27"/>
    </row>
    <row r="469" spans="1:47" ht="15.75" customHeight="1">
      <c r="A469" s="45">
        <v>44410</v>
      </c>
      <c r="B469" s="64" t="s">
        <v>1174</v>
      </c>
      <c r="C469" s="46" t="s">
        <v>1027</v>
      </c>
      <c r="D469" s="33" t="s">
        <v>1037</v>
      </c>
      <c r="E469" s="90">
        <v>13000</v>
      </c>
      <c r="F469" s="33" t="s">
        <v>1175</v>
      </c>
      <c r="G469" s="44" t="s">
        <v>835</v>
      </c>
      <c r="H469" s="44" t="s">
        <v>1176</v>
      </c>
      <c r="I469" s="44" t="s">
        <v>973</v>
      </c>
      <c r="J469" s="44">
        <v>44321</v>
      </c>
      <c r="K469" s="91" t="s">
        <v>1041</v>
      </c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F469" s="27"/>
      <c r="AG469" s="27"/>
      <c r="AH469" s="27"/>
      <c r="AI469" s="27"/>
      <c r="AJ469" s="27"/>
      <c r="AK469" s="27"/>
      <c r="AL469" s="27"/>
      <c r="AM469" s="27"/>
      <c r="AN469" s="27"/>
      <c r="AO469" s="27"/>
      <c r="AP469" s="27"/>
      <c r="AQ469" s="27"/>
      <c r="AR469" s="27"/>
      <c r="AS469" s="27"/>
      <c r="AT469" s="27"/>
      <c r="AU469" s="27"/>
    </row>
    <row r="470" spans="1:47" ht="15.75" customHeight="1">
      <c r="A470" s="45">
        <v>44410</v>
      </c>
      <c r="B470" s="64" t="s">
        <v>1390</v>
      </c>
      <c r="C470" s="46" t="s">
        <v>48</v>
      </c>
      <c r="D470" s="33" t="s">
        <v>1037</v>
      </c>
      <c r="E470" s="90">
        <v>199844.32</v>
      </c>
      <c r="F470" s="33" t="s">
        <v>1391</v>
      </c>
      <c r="G470" s="33" t="s">
        <v>904</v>
      </c>
      <c r="H470" s="33" t="s">
        <v>86</v>
      </c>
      <c r="I470" s="33" t="s">
        <v>849</v>
      </c>
      <c r="J470" s="44">
        <v>44228</v>
      </c>
      <c r="K470" s="92" t="s">
        <v>1122</v>
      </c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F470" s="27"/>
      <c r="AG470" s="27"/>
      <c r="AH470" s="27"/>
      <c r="AI470" s="27"/>
      <c r="AJ470" s="27"/>
      <c r="AK470" s="27"/>
      <c r="AL470" s="27"/>
      <c r="AM470" s="27"/>
      <c r="AN470" s="27"/>
      <c r="AO470" s="27"/>
      <c r="AP470" s="27"/>
      <c r="AQ470" s="27"/>
      <c r="AR470" s="27"/>
      <c r="AS470" s="27"/>
      <c r="AT470" s="27"/>
      <c r="AU470" s="27"/>
    </row>
    <row r="471" spans="1:47" ht="15.75" customHeight="1">
      <c r="A471" s="45">
        <v>44410</v>
      </c>
      <c r="B471" s="64" t="s">
        <v>1304</v>
      </c>
      <c r="C471" s="46" t="s">
        <v>1027</v>
      </c>
      <c r="D471" s="33" t="s">
        <v>1037</v>
      </c>
      <c r="E471" s="90">
        <v>10000</v>
      </c>
      <c r="F471" s="33" t="s">
        <v>1305</v>
      </c>
      <c r="G471" s="44" t="s">
        <v>835</v>
      </c>
      <c r="H471" s="44" t="s">
        <v>1176</v>
      </c>
      <c r="I471" s="44" t="s">
        <v>971</v>
      </c>
      <c r="J471" s="44">
        <v>44322</v>
      </c>
      <c r="K471" s="91" t="s">
        <v>1041</v>
      </c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F471" s="27"/>
      <c r="AG471" s="27"/>
      <c r="AH471" s="27"/>
      <c r="AI471" s="27"/>
      <c r="AJ471" s="27"/>
      <c r="AK471" s="27"/>
      <c r="AL471" s="27"/>
      <c r="AM471" s="27"/>
      <c r="AN471" s="27"/>
      <c r="AO471" s="27"/>
      <c r="AP471" s="27"/>
      <c r="AQ471" s="27"/>
      <c r="AR471" s="27"/>
      <c r="AS471" s="27"/>
      <c r="AT471" s="27"/>
      <c r="AU471" s="27"/>
    </row>
    <row r="472" spans="1:47" ht="15.75" customHeight="1">
      <c r="A472" s="45">
        <v>44411</v>
      </c>
      <c r="B472" s="64" t="s">
        <v>1180</v>
      </c>
      <c r="C472" s="46" t="s">
        <v>1027</v>
      </c>
      <c r="D472" s="33" t="s">
        <v>1062</v>
      </c>
      <c r="E472" s="90">
        <v>30000</v>
      </c>
      <c r="F472" s="33" t="s">
        <v>1181</v>
      </c>
      <c r="G472" s="44" t="s">
        <v>835</v>
      </c>
      <c r="H472" s="44" t="s">
        <v>1176</v>
      </c>
      <c r="I472" s="44" t="s">
        <v>973</v>
      </c>
      <c r="J472" s="44">
        <v>44272</v>
      </c>
      <c r="K472" s="91" t="s">
        <v>1182</v>
      </c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F472" s="27"/>
      <c r="AG472" s="27"/>
      <c r="AH472" s="27"/>
      <c r="AI472" s="27"/>
      <c r="AJ472" s="27"/>
      <c r="AK472" s="27"/>
      <c r="AL472" s="27"/>
      <c r="AM472" s="27"/>
      <c r="AN472" s="27"/>
      <c r="AO472" s="27"/>
      <c r="AP472" s="27"/>
      <c r="AQ472" s="27"/>
      <c r="AR472" s="27"/>
      <c r="AS472" s="27"/>
      <c r="AT472" s="27"/>
      <c r="AU472" s="27"/>
    </row>
    <row r="473" spans="1:47" ht="15.75" customHeight="1">
      <c r="A473" s="44">
        <v>44412</v>
      </c>
      <c r="B473" s="57" t="s">
        <v>1392</v>
      </c>
      <c r="C473" s="33" t="s">
        <v>48</v>
      </c>
      <c r="D473" s="33" t="s">
        <v>1028</v>
      </c>
      <c r="E473" s="90">
        <v>0</v>
      </c>
      <c r="F473" s="33" t="s">
        <v>1393</v>
      </c>
      <c r="G473" s="33" t="s">
        <v>835</v>
      </c>
      <c r="H473" s="33" t="s">
        <v>86</v>
      </c>
      <c r="I473" s="33" t="s">
        <v>839</v>
      </c>
      <c r="J473" s="44">
        <v>44141</v>
      </c>
      <c r="K473" s="92" t="s">
        <v>1041</v>
      </c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F473" s="27"/>
      <c r="AG473" s="27"/>
      <c r="AH473" s="27"/>
      <c r="AI473" s="27"/>
      <c r="AJ473" s="27"/>
      <c r="AK473" s="27"/>
      <c r="AL473" s="27"/>
      <c r="AM473" s="27"/>
      <c r="AN473" s="27"/>
      <c r="AO473" s="27"/>
      <c r="AP473" s="27"/>
      <c r="AQ473" s="27"/>
      <c r="AR473" s="27"/>
      <c r="AS473" s="27"/>
      <c r="AT473" s="27"/>
      <c r="AU473" s="27"/>
    </row>
    <row r="474" spans="1:47" ht="15.75" customHeight="1">
      <c r="A474" s="45">
        <v>44412</v>
      </c>
      <c r="B474" s="64" t="s">
        <v>1048</v>
      </c>
      <c r="C474" s="46" t="s">
        <v>1027</v>
      </c>
      <c r="D474" s="33" t="s">
        <v>1037</v>
      </c>
      <c r="E474" s="90">
        <v>6000</v>
      </c>
      <c r="F474" s="33" t="s">
        <v>1049</v>
      </c>
      <c r="G474" s="44" t="s">
        <v>830</v>
      </c>
      <c r="H474" s="44" t="s">
        <v>86</v>
      </c>
      <c r="I474" s="44" t="s">
        <v>878</v>
      </c>
      <c r="J474" s="44">
        <v>43703</v>
      </c>
      <c r="K474" s="91" t="s">
        <v>1033</v>
      </c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F474" s="27"/>
      <c r="AG474" s="27"/>
      <c r="AH474" s="27"/>
      <c r="AI474" s="27"/>
      <c r="AJ474" s="27"/>
      <c r="AK474" s="27"/>
      <c r="AL474" s="27"/>
      <c r="AM474" s="27"/>
      <c r="AN474" s="27"/>
      <c r="AO474" s="27"/>
      <c r="AP474" s="27"/>
      <c r="AQ474" s="27"/>
      <c r="AR474" s="27"/>
      <c r="AS474" s="27"/>
      <c r="AT474" s="27"/>
      <c r="AU474" s="27"/>
    </row>
    <row r="475" spans="1:47" ht="15.75" customHeight="1">
      <c r="A475" s="45">
        <v>44412</v>
      </c>
      <c r="B475" s="64" t="s">
        <v>1394</v>
      </c>
      <c r="C475" s="46" t="s">
        <v>48</v>
      </c>
      <c r="D475" s="33" t="s">
        <v>1037</v>
      </c>
      <c r="E475" s="90">
        <v>20000</v>
      </c>
      <c r="F475" s="33" t="s">
        <v>1395</v>
      </c>
      <c r="G475" s="33" t="s">
        <v>830</v>
      </c>
      <c r="H475" s="33" t="s">
        <v>86</v>
      </c>
      <c r="I475" s="33" t="s">
        <v>830</v>
      </c>
      <c r="J475" s="44">
        <v>44235</v>
      </c>
      <c r="K475" s="92" t="s">
        <v>1041</v>
      </c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F475" s="27"/>
      <c r="AG475" s="27"/>
      <c r="AH475" s="27"/>
      <c r="AI475" s="27"/>
      <c r="AJ475" s="27"/>
      <c r="AK475" s="27"/>
      <c r="AL475" s="27"/>
      <c r="AM475" s="27"/>
      <c r="AN475" s="27"/>
      <c r="AO475" s="27"/>
      <c r="AP475" s="27"/>
      <c r="AQ475" s="27"/>
      <c r="AR475" s="27"/>
      <c r="AS475" s="27"/>
      <c r="AT475" s="27"/>
      <c r="AU475" s="27"/>
    </row>
    <row r="476" spans="1:47" ht="15.75" customHeight="1">
      <c r="A476" s="45">
        <v>44412</v>
      </c>
      <c r="B476" s="64" t="s">
        <v>1050</v>
      </c>
      <c r="C476" s="46" t="s">
        <v>1027</v>
      </c>
      <c r="D476" s="33" t="s">
        <v>1037</v>
      </c>
      <c r="E476" s="90">
        <v>16000</v>
      </c>
      <c r="F476" s="33" t="s">
        <v>1051</v>
      </c>
      <c r="G476" s="44" t="s">
        <v>830</v>
      </c>
      <c r="H476" s="44" t="s">
        <v>86</v>
      </c>
      <c r="I476" s="44" t="s">
        <v>878</v>
      </c>
      <c r="J476" s="44">
        <v>43567</v>
      </c>
      <c r="K476" s="91" t="s">
        <v>1041</v>
      </c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F476" s="27"/>
      <c r="AG476" s="27"/>
      <c r="AH476" s="27"/>
      <c r="AI476" s="27"/>
      <c r="AJ476" s="27"/>
      <c r="AK476" s="27"/>
      <c r="AL476" s="27"/>
      <c r="AM476" s="27"/>
      <c r="AN476" s="27"/>
      <c r="AO476" s="27"/>
      <c r="AP476" s="27"/>
      <c r="AQ476" s="27"/>
      <c r="AR476" s="27"/>
      <c r="AS476" s="27"/>
      <c r="AT476" s="27"/>
      <c r="AU476" s="27"/>
    </row>
    <row r="477" spans="1:47" ht="15.75" customHeight="1">
      <c r="A477" s="44">
        <v>44413</v>
      </c>
      <c r="B477" s="57" t="s">
        <v>1396</v>
      </c>
      <c r="C477" s="33" t="s">
        <v>48</v>
      </c>
      <c r="D477" s="33" t="s">
        <v>1028</v>
      </c>
      <c r="E477" s="90">
        <v>0</v>
      </c>
      <c r="F477" s="33" t="s">
        <v>1397</v>
      </c>
      <c r="G477" s="33" t="s">
        <v>904</v>
      </c>
      <c r="H477" s="33" t="s">
        <v>86</v>
      </c>
      <c r="I477" s="33" t="s">
        <v>880</v>
      </c>
      <c r="J477" s="44">
        <v>44120</v>
      </c>
      <c r="K477" s="92" t="s">
        <v>1041</v>
      </c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F477" s="27"/>
      <c r="AG477" s="27"/>
      <c r="AH477" s="27"/>
      <c r="AI477" s="27"/>
      <c r="AJ477" s="27"/>
      <c r="AK477" s="27"/>
      <c r="AL477" s="27"/>
      <c r="AM477" s="27"/>
      <c r="AN477" s="27"/>
      <c r="AO477" s="27"/>
      <c r="AP477" s="27"/>
      <c r="AQ477" s="27"/>
      <c r="AR477" s="27"/>
      <c r="AS477" s="27"/>
      <c r="AT477" s="27"/>
      <c r="AU477" s="27"/>
    </row>
    <row r="478" spans="1:47" ht="15.75" customHeight="1">
      <c r="A478" s="45">
        <v>44413</v>
      </c>
      <c r="B478" s="64" t="s">
        <v>1398</v>
      </c>
      <c r="C478" s="46" t="s">
        <v>1027</v>
      </c>
      <c r="D478" s="33" t="s">
        <v>1037</v>
      </c>
      <c r="E478" s="90">
        <v>500</v>
      </c>
      <c r="F478" s="33" t="s">
        <v>1399</v>
      </c>
      <c r="G478" s="44" t="s">
        <v>835</v>
      </c>
      <c r="H478" s="44" t="s">
        <v>1176</v>
      </c>
      <c r="I478" s="44" t="s">
        <v>973</v>
      </c>
      <c r="J478" s="44">
        <v>44280</v>
      </c>
      <c r="K478" s="91" t="s">
        <v>1041</v>
      </c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F478" s="27"/>
      <c r="AG478" s="27"/>
      <c r="AH478" s="27"/>
      <c r="AI478" s="27"/>
      <c r="AJ478" s="27"/>
      <c r="AK478" s="27"/>
      <c r="AL478" s="27"/>
      <c r="AM478" s="27"/>
      <c r="AN478" s="27"/>
      <c r="AO478" s="27"/>
      <c r="AP478" s="27"/>
      <c r="AQ478" s="27"/>
      <c r="AR478" s="27"/>
      <c r="AS478" s="27"/>
      <c r="AT478" s="27"/>
      <c r="AU478" s="27"/>
    </row>
    <row r="479" spans="1:47" ht="15.75" customHeight="1">
      <c r="A479" s="45">
        <v>44413</v>
      </c>
      <c r="B479" s="64" t="s">
        <v>1396</v>
      </c>
      <c r="C479" s="46" t="s">
        <v>48</v>
      </c>
      <c r="D479" s="33" t="s">
        <v>1062</v>
      </c>
      <c r="E479" s="90">
        <v>200000</v>
      </c>
      <c r="F479" s="33" t="s">
        <v>1397</v>
      </c>
      <c r="G479" s="33" t="s">
        <v>904</v>
      </c>
      <c r="H479" s="33" t="s">
        <v>86</v>
      </c>
      <c r="I479" s="33" t="s">
        <v>880</v>
      </c>
      <c r="J479" s="44">
        <v>44120</v>
      </c>
      <c r="K479" s="92" t="s">
        <v>1041</v>
      </c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F479" s="27"/>
      <c r="AG479" s="27"/>
      <c r="AH479" s="27"/>
      <c r="AI479" s="27"/>
      <c r="AJ479" s="27"/>
      <c r="AK479" s="27"/>
      <c r="AL479" s="27"/>
      <c r="AM479" s="27"/>
      <c r="AN479" s="27"/>
      <c r="AO479" s="27"/>
      <c r="AP479" s="27"/>
      <c r="AQ479" s="27"/>
      <c r="AR479" s="27"/>
      <c r="AS479" s="27"/>
      <c r="AT479" s="27"/>
      <c r="AU479" s="27"/>
    </row>
    <row r="480" spans="1:47" ht="15.75" customHeight="1">
      <c r="A480" s="45">
        <v>44413</v>
      </c>
      <c r="B480" s="64" t="s">
        <v>1400</v>
      </c>
      <c r="C480" s="46" t="s">
        <v>1027</v>
      </c>
      <c r="D480" s="33" t="s">
        <v>1037</v>
      </c>
      <c r="E480" s="90">
        <v>12000</v>
      </c>
      <c r="F480" s="33" t="s">
        <v>1401</v>
      </c>
      <c r="G480" s="44" t="s">
        <v>835</v>
      </c>
      <c r="H480" s="44" t="s">
        <v>1176</v>
      </c>
      <c r="I480" s="44" t="s">
        <v>971</v>
      </c>
      <c r="J480" s="44">
        <v>44328</v>
      </c>
      <c r="K480" s="91" t="s">
        <v>1122</v>
      </c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F480" s="27"/>
      <c r="AG480" s="27"/>
      <c r="AH480" s="27"/>
      <c r="AI480" s="27"/>
      <c r="AJ480" s="27"/>
      <c r="AK480" s="27"/>
      <c r="AL480" s="27"/>
      <c r="AM480" s="27"/>
      <c r="AN480" s="27"/>
      <c r="AO480" s="27"/>
      <c r="AP480" s="27"/>
      <c r="AQ480" s="27"/>
      <c r="AR480" s="27"/>
      <c r="AS480" s="27"/>
      <c r="AT480" s="27"/>
      <c r="AU480" s="27"/>
    </row>
    <row r="481" spans="1:47" ht="15.75" customHeight="1">
      <c r="A481" s="45">
        <v>44414</v>
      </c>
      <c r="B481" s="64" t="s">
        <v>1402</v>
      </c>
      <c r="C481" s="46" t="s">
        <v>48</v>
      </c>
      <c r="D481" s="33" t="s">
        <v>1037</v>
      </c>
      <c r="E481" s="90">
        <v>30000</v>
      </c>
      <c r="F481" s="33" t="s">
        <v>1403</v>
      </c>
      <c r="G481" s="33" t="s">
        <v>904</v>
      </c>
      <c r="H481" s="33" t="s">
        <v>86</v>
      </c>
      <c r="I481" s="49" t="s">
        <v>943</v>
      </c>
      <c r="J481" s="44">
        <v>44130</v>
      </c>
      <c r="K481" s="92" t="s">
        <v>1041</v>
      </c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F481" s="27"/>
      <c r="AG481" s="27"/>
      <c r="AH481" s="27"/>
      <c r="AI481" s="27"/>
      <c r="AJ481" s="27"/>
      <c r="AK481" s="27"/>
      <c r="AL481" s="27"/>
      <c r="AM481" s="27"/>
      <c r="AN481" s="27"/>
      <c r="AO481" s="27"/>
      <c r="AP481" s="27"/>
      <c r="AQ481" s="27"/>
      <c r="AR481" s="27"/>
      <c r="AS481" s="27"/>
      <c r="AT481" s="27"/>
      <c r="AU481" s="27"/>
    </row>
    <row r="482" spans="1:47" ht="15.75" customHeight="1">
      <c r="A482" s="45">
        <v>44417</v>
      </c>
      <c r="B482" s="64" t="s">
        <v>1048</v>
      </c>
      <c r="C482" s="46" t="s">
        <v>1027</v>
      </c>
      <c r="D482" s="33" t="s">
        <v>1037</v>
      </c>
      <c r="E482" s="90">
        <v>2000</v>
      </c>
      <c r="F482" s="33" t="s">
        <v>1049</v>
      </c>
      <c r="G482" s="44" t="s">
        <v>830</v>
      </c>
      <c r="H482" s="44" t="s">
        <v>86</v>
      </c>
      <c r="I482" s="44" t="s">
        <v>878</v>
      </c>
      <c r="J482" s="44">
        <v>43703</v>
      </c>
      <c r="K482" s="91" t="s">
        <v>1033</v>
      </c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F482" s="27"/>
      <c r="AG482" s="27"/>
      <c r="AH482" s="27"/>
      <c r="AI482" s="27"/>
      <c r="AJ482" s="27"/>
      <c r="AK482" s="27"/>
      <c r="AL482" s="27"/>
      <c r="AM482" s="27"/>
      <c r="AN482" s="27"/>
      <c r="AO482" s="27"/>
      <c r="AP482" s="27"/>
      <c r="AQ482" s="27"/>
      <c r="AR482" s="27"/>
      <c r="AS482" s="27"/>
      <c r="AT482" s="27"/>
      <c r="AU482" s="27"/>
    </row>
    <row r="483" spans="1:47" ht="15.75" customHeight="1">
      <c r="A483" s="45">
        <v>44417</v>
      </c>
      <c r="B483" s="64" t="s">
        <v>1177</v>
      </c>
      <c r="C483" s="46" t="s">
        <v>1027</v>
      </c>
      <c r="D483" s="33" t="s">
        <v>1037</v>
      </c>
      <c r="E483" s="90">
        <v>15000</v>
      </c>
      <c r="F483" s="33" t="s">
        <v>1178</v>
      </c>
      <c r="G483" s="44" t="s">
        <v>835</v>
      </c>
      <c r="H483" s="44" t="s">
        <v>1176</v>
      </c>
      <c r="I483" s="44" t="s">
        <v>973</v>
      </c>
      <c r="J483" s="44">
        <v>44295</v>
      </c>
      <c r="K483" s="91" t="s">
        <v>1179</v>
      </c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F483" s="27"/>
      <c r="AG483" s="27"/>
      <c r="AH483" s="27"/>
      <c r="AI483" s="27"/>
      <c r="AJ483" s="27"/>
      <c r="AK483" s="27"/>
      <c r="AL483" s="27"/>
      <c r="AM483" s="27"/>
      <c r="AN483" s="27"/>
      <c r="AO483" s="27"/>
      <c r="AP483" s="27"/>
      <c r="AQ483" s="27"/>
      <c r="AR483" s="27"/>
      <c r="AS483" s="27"/>
      <c r="AT483" s="27"/>
      <c r="AU483" s="27"/>
    </row>
    <row r="484" spans="1:47" ht="15.75" customHeight="1">
      <c r="A484" s="45">
        <v>44417</v>
      </c>
      <c r="B484" s="64" t="s">
        <v>1306</v>
      </c>
      <c r="C484" s="46" t="s">
        <v>1027</v>
      </c>
      <c r="D484" s="33" t="s">
        <v>1037</v>
      </c>
      <c r="E484" s="90">
        <v>2000</v>
      </c>
      <c r="F484" s="33" t="s">
        <v>1307</v>
      </c>
      <c r="G484" s="44" t="s">
        <v>835</v>
      </c>
      <c r="H484" s="44" t="s">
        <v>1176</v>
      </c>
      <c r="I484" s="44" t="s">
        <v>975</v>
      </c>
      <c r="J484" s="44">
        <v>44266</v>
      </c>
      <c r="K484" s="91" t="s">
        <v>1054</v>
      </c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F484" s="27"/>
      <c r="AG484" s="27"/>
      <c r="AH484" s="27"/>
      <c r="AI484" s="27"/>
      <c r="AJ484" s="27"/>
      <c r="AK484" s="27"/>
      <c r="AL484" s="27"/>
      <c r="AM484" s="27"/>
      <c r="AN484" s="27"/>
      <c r="AO484" s="27"/>
      <c r="AP484" s="27"/>
      <c r="AQ484" s="27"/>
      <c r="AR484" s="27"/>
      <c r="AS484" s="27"/>
      <c r="AT484" s="27"/>
      <c r="AU484" s="27"/>
    </row>
    <row r="485" spans="1:47" ht="15.75" customHeight="1">
      <c r="A485" s="45">
        <v>44417</v>
      </c>
      <c r="B485" s="64" t="s">
        <v>1404</v>
      </c>
      <c r="C485" s="46" t="s">
        <v>1027</v>
      </c>
      <c r="D485" s="33" t="s">
        <v>1037</v>
      </c>
      <c r="E485" s="90">
        <v>1000000</v>
      </c>
      <c r="F485" s="33" t="s">
        <v>1405</v>
      </c>
      <c r="G485" s="44" t="s">
        <v>835</v>
      </c>
      <c r="H485" s="44" t="s">
        <v>1176</v>
      </c>
      <c r="I485" s="44" t="s">
        <v>973</v>
      </c>
      <c r="J485" s="44">
        <v>44263</v>
      </c>
      <c r="K485" s="91" t="s">
        <v>1041</v>
      </c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F485" s="27"/>
      <c r="AG485" s="27"/>
      <c r="AH485" s="27"/>
      <c r="AI485" s="27"/>
      <c r="AJ485" s="27"/>
      <c r="AK485" s="27"/>
      <c r="AL485" s="27"/>
      <c r="AM485" s="27"/>
      <c r="AN485" s="27"/>
      <c r="AO485" s="27"/>
      <c r="AP485" s="27"/>
      <c r="AQ485" s="27"/>
      <c r="AR485" s="27"/>
      <c r="AS485" s="27"/>
      <c r="AT485" s="27"/>
      <c r="AU485" s="27"/>
    </row>
    <row r="486" spans="1:47" ht="15.75" customHeight="1">
      <c r="A486" s="44">
        <v>44418</v>
      </c>
      <c r="B486" s="64" t="s">
        <v>1406</v>
      </c>
      <c r="C486" s="33" t="s">
        <v>48</v>
      </c>
      <c r="D486" s="33" t="s">
        <v>1028</v>
      </c>
      <c r="E486" s="90">
        <v>0</v>
      </c>
      <c r="F486" s="33" t="s">
        <v>1407</v>
      </c>
      <c r="G486" s="33" t="s">
        <v>904</v>
      </c>
      <c r="H486" s="33" t="s">
        <v>86</v>
      </c>
      <c r="I486" s="33" t="s">
        <v>892</v>
      </c>
      <c r="J486" s="44">
        <v>44775</v>
      </c>
      <c r="K486" s="92" t="s">
        <v>1030</v>
      </c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F486" s="27"/>
      <c r="AG486" s="27"/>
      <c r="AH486" s="27"/>
      <c r="AI486" s="27"/>
      <c r="AJ486" s="27"/>
      <c r="AK486" s="27"/>
      <c r="AL486" s="27"/>
      <c r="AM486" s="27"/>
      <c r="AN486" s="27"/>
      <c r="AO486" s="27"/>
      <c r="AP486" s="27"/>
      <c r="AQ486" s="27"/>
      <c r="AR486" s="27"/>
      <c r="AS486" s="27"/>
      <c r="AT486" s="27"/>
      <c r="AU486" s="27"/>
    </row>
    <row r="487" spans="1:47" ht="15.75" customHeight="1">
      <c r="A487" s="44">
        <v>44418</v>
      </c>
      <c r="B487" s="57" t="s">
        <v>1384</v>
      </c>
      <c r="C487" s="33" t="s">
        <v>1027</v>
      </c>
      <c r="D487" s="33" t="s">
        <v>1028</v>
      </c>
      <c r="E487" s="90">
        <v>467689.84</v>
      </c>
      <c r="F487" s="33" t="s">
        <v>1385</v>
      </c>
      <c r="G487" s="44" t="s">
        <v>830</v>
      </c>
      <c r="H487" s="44" t="s">
        <v>86</v>
      </c>
      <c r="I487" s="44" t="s">
        <v>878</v>
      </c>
      <c r="J487" s="44">
        <v>43859</v>
      </c>
      <c r="K487" s="91" t="s">
        <v>1054</v>
      </c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F487" s="27"/>
      <c r="AG487" s="27"/>
      <c r="AH487" s="27"/>
      <c r="AI487" s="27"/>
      <c r="AJ487" s="27"/>
      <c r="AK487" s="27"/>
      <c r="AL487" s="27"/>
      <c r="AM487" s="27"/>
      <c r="AN487" s="27"/>
      <c r="AO487" s="27"/>
      <c r="AP487" s="27"/>
      <c r="AQ487" s="27"/>
      <c r="AR487" s="27"/>
      <c r="AS487" s="27"/>
      <c r="AT487" s="27"/>
      <c r="AU487" s="27"/>
    </row>
    <row r="488" spans="1:47" ht="15.75" customHeight="1">
      <c r="A488" s="44">
        <v>44418</v>
      </c>
      <c r="B488" s="57" t="s">
        <v>1274</v>
      </c>
      <c r="C488" s="33" t="s">
        <v>48</v>
      </c>
      <c r="D488" s="33" t="s">
        <v>1028</v>
      </c>
      <c r="E488" s="90">
        <v>0</v>
      </c>
      <c r="F488" s="33" t="s">
        <v>1275</v>
      </c>
      <c r="G488" s="33" t="s">
        <v>904</v>
      </c>
      <c r="H488" s="33" t="s">
        <v>86</v>
      </c>
      <c r="I488" s="33" t="s">
        <v>849</v>
      </c>
      <c r="J488" s="44">
        <v>44228</v>
      </c>
      <c r="K488" s="92" t="s">
        <v>1122</v>
      </c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F488" s="27"/>
      <c r="AG488" s="27"/>
      <c r="AH488" s="27"/>
      <c r="AI488" s="27"/>
      <c r="AJ488" s="27"/>
      <c r="AK488" s="27"/>
      <c r="AL488" s="27"/>
      <c r="AM488" s="27"/>
      <c r="AN488" s="27"/>
      <c r="AO488" s="27"/>
      <c r="AP488" s="27"/>
      <c r="AQ488" s="27"/>
      <c r="AR488" s="27"/>
      <c r="AS488" s="27"/>
      <c r="AT488" s="27"/>
      <c r="AU488" s="27"/>
    </row>
    <row r="489" spans="1:47" ht="15.75" customHeight="1">
      <c r="A489" s="45">
        <v>44418</v>
      </c>
      <c r="B489" s="64" t="s">
        <v>1408</v>
      </c>
      <c r="C489" s="46" t="s">
        <v>48</v>
      </c>
      <c r="D489" s="33" t="s">
        <v>1037</v>
      </c>
      <c r="E489" s="90">
        <v>387869.72</v>
      </c>
      <c r="F489" s="33" t="s">
        <v>1409</v>
      </c>
      <c r="G489" s="33" t="s">
        <v>830</v>
      </c>
      <c r="H489" s="33" t="s">
        <v>86</v>
      </c>
      <c r="I489" s="33" t="s">
        <v>830</v>
      </c>
      <c r="J489" s="44">
        <v>44195</v>
      </c>
      <c r="K489" s="92" t="s">
        <v>1054</v>
      </c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F489" s="27"/>
      <c r="AG489" s="27"/>
      <c r="AH489" s="27"/>
      <c r="AI489" s="27"/>
      <c r="AJ489" s="27"/>
      <c r="AK489" s="27"/>
      <c r="AL489" s="27"/>
      <c r="AM489" s="27"/>
      <c r="AN489" s="27"/>
      <c r="AO489" s="27"/>
      <c r="AP489" s="27"/>
      <c r="AQ489" s="27"/>
      <c r="AR489" s="27"/>
      <c r="AS489" s="27"/>
      <c r="AT489" s="27"/>
      <c r="AU489" s="27"/>
    </row>
    <row r="490" spans="1:47" ht="15.75" customHeight="1">
      <c r="A490" s="45">
        <v>44420</v>
      </c>
      <c r="B490" s="64" t="s">
        <v>1240</v>
      </c>
      <c r="C490" s="46" t="s">
        <v>48</v>
      </c>
      <c r="D490" s="33" t="s">
        <v>1037</v>
      </c>
      <c r="E490" s="90">
        <v>169129.47</v>
      </c>
      <c r="F490" s="33" t="s">
        <v>1241</v>
      </c>
      <c r="G490" s="33" t="s">
        <v>904</v>
      </c>
      <c r="H490" s="33" t="s">
        <v>86</v>
      </c>
      <c r="I490" s="33" t="s">
        <v>935</v>
      </c>
      <c r="J490" s="44">
        <v>44180</v>
      </c>
      <c r="K490" s="92" t="s">
        <v>1041</v>
      </c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F490" s="27"/>
      <c r="AG490" s="27"/>
      <c r="AH490" s="27"/>
      <c r="AI490" s="27"/>
      <c r="AJ490" s="27"/>
      <c r="AK490" s="27"/>
      <c r="AL490" s="27"/>
      <c r="AM490" s="27"/>
      <c r="AN490" s="27"/>
      <c r="AO490" s="27"/>
      <c r="AP490" s="27"/>
      <c r="AQ490" s="27"/>
      <c r="AR490" s="27"/>
      <c r="AS490" s="27"/>
      <c r="AT490" s="27"/>
      <c r="AU490" s="27"/>
    </row>
    <row r="491" spans="1:47" ht="15.75" customHeight="1">
      <c r="A491" s="45">
        <v>44421</v>
      </c>
      <c r="B491" s="64" t="s">
        <v>1410</v>
      </c>
      <c r="C491" s="46" t="s">
        <v>48</v>
      </c>
      <c r="D491" s="33" t="s">
        <v>1037</v>
      </c>
      <c r="E491" s="90">
        <v>300000</v>
      </c>
      <c r="F491" s="33" t="s">
        <v>1411</v>
      </c>
      <c r="G491" s="33" t="s">
        <v>904</v>
      </c>
      <c r="H491" s="33" t="s">
        <v>86</v>
      </c>
      <c r="I491" s="33" t="s">
        <v>965</v>
      </c>
      <c r="J491" s="44">
        <v>44397</v>
      </c>
      <c r="K491" s="92" t="s">
        <v>1054</v>
      </c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F491" s="27"/>
      <c r="AG491" s="27"/>
      <c r="AH491" s="27"/>
      <c r="AI491" s="27"/>
      <c r="AJ491" s="27"/>
      <c r="AK491" s="27"/>
      <c r="AL491" s="27"/>
      <c r="AM491" s="27"/>
      <c r="AN491" s="27"/>
      <c r="AO491" s="27"/>
      <c r="AP491" s="27"/>
      <c r="AQ491" s="27"/>
      <c r="AR491" s="27"/>
      <c r="AS491" s="27"/>
      <c r="AT491" s="27"/>
      <c r="AU491" s="27"/>
    </row>
    <row r="492" spans="1:47" ht="15.75" customHeight="1">
      <c r="A492" s="45">
        <v>44421</v>
      </c>
      <c r="B492" s="64" t="s">
        <v>1052</v>
      </c>
      <c r="C492" s="46" t="s">
        <v>1027</v>
      </c>
      <c r="D492" s="33" t="s">
        <v>1037</v>
      </c>
      <c r="E492" s="90">
        <v>15000</v>
      </c>
      <c r="F492" s="33" t="s">
        <v>1053</v>
      </c>
      <c r="G492" s="44" t="s">
        <v>830</v>
      </c>
      <c r="H492" s="44" t="s">
        <v>86</v>
      </c>
      <c r="I492" s="44" t="s">
        <v>878</v>
      </c>
      <c r="J492" s="44">
        <v>43605</v>
      </c>
      <c r="K492" s="91" t="s">
        <v>1054</v>
      </c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F492" s="27"/>
      <c r="AG492" s="27"/>
      <c r="AH492" s="27"/>
      <c r="AI492" s="27"/>
      <c r="AJ492" s="27"/>
      <c r="AK492" s="27"/>
      <c r="AL492" s="27"/>
      <c r="AM492" s="27"/>
      <c r="AN492" s="27"/>
      <c r="AO492" s="27"/>
      <c r="AP492" s="27"/>
      <c r="AQ492" s="27"/>
      <c r="AR492" s="27"/>
      <c r="AS492" s="27"/>
      <c r="AT492" s="27"/>
      <c r="AU492" s="27"/>
    </row>
    <row r="493" spans="1:47" ht="15.75" customHeight="1">
      <c r="A493" s="45">
        <v>44421</v>
      </c>
      <c r="B493" s="64" t="s">
        <v>1304</v>
      </c>
      <c r="C493" s="46" t="s">
        <v>1027</v>
      </c>
      <c r="D493" s="33" t="s">
        <v>1037</v>
      </c>
      <c r="E493" s="90">
        <v>36000</v>
      </c>
      <c r="F493" s="33" t="s">
        <v>1305</v>
      </c>
      <c r="G493" s="44" t="s">
        <v>835</v>
      </c>
      <c r="H493" s="44" t="s">
        <v>1176</v>
      </c>
      <c r="I493" s="44" t="s">
        <v>971</v>
      </c>
      <c r="J493" s="44">
        <v>44322</v>
      </c>
      <c r="K493" s="91" t="s">
        <v>1041</v>
      </c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F493" s="27"/>
      <c r="AG493" s="27"/>
      <c r="AH493" s="27"/>
      <c r="AI493" s="27"/>
      <c r="AJ493" s="27"/>
      <c r="AK493" s="27"/>
      <c r="AL493" s="27"/>
      <c r="AM493" s="27"/>
      <c r="AN493" s="27"/>
      <c r="AO493" s="27"/>
      <c r="AP493" s="27"/>
      <c r="AQ493" s="27"/>
      <c r="AR493" s="27"/>
      <c r="AS493" s="27"/>
      <c r="AT493" s="27"/>
      <c r="AU493" s="27"/>
    </row>
    <row r="494" spans="1:47" ht="15.75" customHeight="1">
      <c r="A494" s="44">
        <v>44424</v>
      </c>
      <c r="B494" s="57" t="s">
        <v>1412</v>
      </c>
      <c r="C494" s="33" t="s">
        <v>48</v>
      </c>
      <c r="D494" s="33" t="s">
        <v>1028</v>
      </c>
      <c r="E494" s="90">
        <v>0</v>
      </c>
      <c r="F494" s="33" t="s">
        <v>1413</v>
      </c>
      <c r="G494" s="33" t="s">
        <v>904</v>
      </c>
      <c r="H494" s="33" t="s">
        <v>86</v>
      </c>
      <c r="I494" s="33" t="s">
        <v>880</v>
      </c>
      <c r="J494" s="44">
        <v>44078</v>
      </c>
      <c r="K494" s="92" t="s">
        <v>1122</v>
      </c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F494" s="27"/>
      <c r="AG494" s="27"/>
      <c r="AH494" s="27"/>
      <c r="AI494" s="27"/>
      <c r="AJ494" s="27"/>
      <c r="AK494" s="27"/>
      <c r="AL494" s="27"/>
      <c r="AM494" s="27"/>
      <c r="AN494" s="27"/>
      <c r="AO494" s="27"/>
      <c r="AP494" s="27"/>
      <c r="AQ494" s="27"/>
      <c r="AR494" s="27"/>
      <c r="AS494" s="27"/>
      <c r="AT494" s="27"/>
      <c r="AU494" s="27"/>
    </row>
    <row r="495" spans="1:47" ht="15.75" customHeight="1">
      <c r="A495" s="45">
        <v>44424</v>
      </c>
      <c r="B495" s="64" t="s">
        <v>1084</v>
      </c>
      <c r="C495" s="46" t="s">
        <v>1027</v>
      </c>
      <c r="D495" s="33" t="s">
        <v>1037</v>
      </c>
      <c r="E495" s="90">
        <v>29127.62</v>
      </c>
      <c r="F495" s="33" t="s">
        <v>1085</v>
      </c>
      <c r="G495" s="44" t="s">
        <v>830</v>
      </c>
      <c r="H495" s="44" t="s">
        <v>86</v>
      </c>
      <c r="I495" s="44" t="s">
        <v>878</v>
      </c>
      <c r="J495" s="44">
        <v>43894</v>
      </c>
      <c r="K495" s="91" t="s">
        <v>1054</v>
      </c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F495" s="27"/>
      <c r="AG495" s="27"/>
      <c r="AH495" s="27"/>
      <c r="AI495" s="27"/>
      <c r="AJ495" s="27"/>
      <c r="AK495" s="27"/>
      <c r="AL495" s="27"/>
      <c r="AM495" s="27"/>
      <c r="AN495" s="27"/>
      <c r="AO495" s="27"/>
      <c r="AP495" s="27"/>
      <c r="AQ495" s="27"/>
      <c r="AR495" s="27"/>
      <c r="AS495" s="27"/>
      <c r="AT495" s="27"/>
      <c r="AU495" s="27"/>
    </row>
    <row r="496" spans="1:47" ht="15.75" customHeight="1">
      <c r="A496" s="45">
        <v>44424</v>
      </c>
      <c r="B496" s="64" t="s">
        <v>1414</v>
      </c>
      <c r="C496" s="46" t="s">
        <v>1027</v>
      </c>
      <c r="D496" s="33" t="s">
        <v>1037</v>
      </c>
      <c r="E496" s="90">
        <v>4000</v>
      </c>
      <c r="F496" s="33" t="s">
        <v>1415</v>
      </c>
      <c r="G496" s="44" t="s">
        <v>835</v>
      </c>
      <c r="H496" s="44" t="s">
        <v>1176</v>
      </c>
      <c r="I496" s="44" t="s">
        <v>971</v>
      </c>
      <c r="J496" s="44">
        <v>44291</v>
      </c>
      <c r="K496" s="91" t="s">
        <v>1041</v>
      </c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F496" s="27"/>
      <c r="AG496" s="27"/>
      <c r="AH496" s="27"/>
      <c r="AI496" s="27"/>
      <c r="AJ496" s="27"/>
      <c r="AK496" s="27"/>
      <c r="AL496" s="27"/>
      <c r="AM496" s="27"/>
      <c r="AN496" s="27"/>
      <c r="AO496" s="27"/>
      <c r="AP496" s="27"/>
      <c r="AQ496" s="27"/>
      <c r="AR496" s="27"/>
      <c r="AS496" s="27"/>
      <c r="AT496" s="27"/>
      <c r="AU496" s="27"/>
    </row>
    <row r="497" spans="1:47" ht="15.75" customHeight="1">
      <c r="A497" s="45">
        <v>44424</v>
      </c>
      <c r="B497" s="64" t="s">
        <v>1410</v>
      </c>
      <c r="C497" s="46" t="s">
        <v>48</v>
      </c>
      <c r="D497" s="33" t="s">
        <v>1062</v>
      </c>
      <c r="E497" s="90">
        <v>83704.06</v>
      </c>
      <c r="F497" s="33" t="s">
        <v>1416</v>
      </c>
      <c r="G497" s="33" t="s">
        <v>904</v>
      </c>
      <c r="H497" s="33" t="s">
        <v>86</v>
      </c>
      <c r="I497" s="33" t="s">
        <v>965</v>
      </c>
      <c r="J497" s="44">
        <v>44397</v>
      </c>
      <c r="K497" s="92" t="s">
        <v>1054</v>
      </c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F497" s="27"/>
      <c r="AG497" s="27"/>
      <c r="AH497" s="27"/>
      <c r="AI497" s="27"/>
      <c r="AJ497" s="27"/>
      <c r="AK497" s="27"/>
      <c r="AL497" s="27"/>
      <c r="AM497" s="27"/>
      <c r="AN497" s="27"/>
      <c r="AO497" s="27"/>
      <c r="AP497" s="27"/>
      <c r="AQ497" s="27"/>
      <c r="AR497" s="27"/>
      <c r="AS497" s="27"/>
      <c r="AT497" s="27"/>
      <c r="AU497" s="27"/>
    </row>
    <row r="498" spans="1:47" ht="15.75" customHeight="1">
      <c r="A498" s="45">
        <v>44424</v>
      </c>
      <c r="B498" s="64" t="s">
        <v>1417</v>
      </c>
      <c r="C498" s="46" t="s">
        <v>48</v>
      </c>
      <c r="D498" s="33" t="s">
        <v>1062</v>
      </c>
      <c r="E498" s="90">
        <v>5000</v>
      </c>
      <c r="F498" s="33" t="s">
        <v>1418</v>
      </c>
      <c r="G498" s="33" t="s">
        <v>835</v>
      </c>
      <c r="H498" s="33" t="s">
        <v>86</v>
      </c>
      <c r="I498" s="33" t="s">
        <v>916</v>
      </c>
      <c r="J498" s="44">
        <v>44305</v>
      </c>
      <c r="K498" s="92" t="s">
        <v>1030</v>
      </c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F498" s="27"/>
      <c r="AG498" s="27"/>
      <c r="AH498" s="27"/>
      <c r="AI498" s="27"/>
      <c r="AJ498" s="27"/>
      <c r="AK498" s="27"/>
      <c r="AL498" s="27"/>
      <c r="AM498" s="27"/>
      <c r="AN498" s="27"/>
      <c r="AO498" s="27"/>
      <c r="AP498" s="27"/>
      <c r="AQ498" s="27"/>
      <c r="AR498" s="27"/>
      <c r="AS498" s="27"/>
      <c r="AT498" s="27"/>
      <c r="AU498" s="27"/>
    </row>
    <row r="499" spans="1:47" ht="15.75" customHeight="1">
      <c r="A499" s="44">
        <v>44425</v>
      </c>
      <c r="B499" s="57" t="s">
        <v>1419</v>
      </c>
      <c r="C499" s="33" t="s">
        <v>1027</v>
      </c>
      <c r="D499" s="33" t="s">
        <v>1028</v>
      </c>
      <c r="E499" s="90">
        <v>110571.37</v>
      </c>
      <c r="F499" s="33" t="s">
        <v>1420</v>
      </c>
      <c r="G499" s="44" t="s">
        <v>977</v>
      </c>
      <c r="H499" s="44" t="s">
        <v>86</v>
      </c>
      <c r="I499" s="44" t="s">
        <v>977</v>
      </c>
      <c r="J499" s="44">
        <v>43990</v>
      </c>
      <c r="K499" s="91" t="s">
        <v>1030</v>
      </c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F499" s="27"/>
      <c r="AG499" s="27"/>
      <c r="AH499" s="27"/>
      <c r="AI499" s="27"/>
      <c r="AJ499" s="27"/>
      <c r="AK499" s="27"/>
      <c r="AL499" s="27"/>
      <c r="AM499" s="27"/>
      <c r="AN499" s="27"/>
      <c r="AO499" s="27"/>
      <c r="AP499" s="27"/>
      <c r="AQ499" s="27"/>
      <c r="AR499" s="27"/>
      <c r="AS499" s="27"/>
      <c r="AT499" s="27"/>
      <c r="AU499" s="27"/>
    </row>
    <row r="500" spans="1:47" ht="15.75" customHeight="1">
      <c r="A500" s="44">
        <v>44425</v>
      </c>
      <c r="B500" s="57" t="s">
        <v>1421</v>
      </c>
      <c r="C500" s="33" t="s">
        <v>48</v>
      </c>
      <c r="D500" s="33" t="s">
        <v>1028</v>
      </c>
      <c r="E500" s="90">
        <v>0</v>
      </c>
      <c r="F500" s="33" t="s">
        <v>1422</v>
      </c>
      <c r="G500" s="33" t="s">
        <v>835</v>
      </c>
      <c r="H500" s="33" t="s">
        <v>86</v>
      </c>
      <c r="I500" s="33" t="s">
        <v>839</v>
      </c>
      <c r="J500" s="44">
        <v>44148</v>
      </c>
      <c r="K500" s="92" t="s">
        <v>1041</v>
      </c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F500" s="27"/>
      <c r="AG500" s="27"/>
      <c r="AH500" s="27"/>
      <c r="AI500" s="27"/>
      <c r="AJ500" s="27"/>
      <c r="AK500" s="27"/>
      <c r="AL500" s="27"/>
      <c r="AM500" s="27"/>
      <c r="AN500" s="27"/>
      <c r="AO500" s="27"/>
      <c r="AP500" s="27"/>
      <c r="AQ500" s="27"/>
      <c r="AR500" s="27"/>
      <c r="AS500" s="27"/>
      <c r="AT500" s="27"/>
      <c r="AU500" s="27"/>
    </row>
    <row r="501" spans="1:47" ht="15.75" customHeight="1">
      <c r="A501" s="45">
        <v>44425</v>
      </c>
      <c r="B501" s="64" t="s">
        <v>1368</v>
      </c>
      <c r="C501" s="46" t="s">
        <v>1027</v>
      </c>
      <c r="D501" s="33" t="s">
        <v>1037</v>
      </c>
      <c r="E501" s="90">
        <v>3000</v>
      </c>
      <c r="F501" s="33" t="s">
        <v>1369</v>
      </c>
      <c r="G501" s="44" t="s">
        <v>835</v>
      </c>
      <c r="H501" s="44" t="s">
        <v>1176</v>
      </c>
      <c r="I501" s="44" t="s">
        <v>971</v>
      </c>
      <c r="J501" s="44">
        <v>44321</v>
      </c>
      <c r="K501" s="91" t="s">
        <v>1054</v>
      </c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F501" s="27"/>
      <c r="AG501" s="27"/>
      <c r="AH501" s="27"/>
      <c r="AI501" s="27"/>
      <c r="AJ501" s="27"/>
      <c r="AK501" s="27"/>
      <c r="AL501" s="27"/>
      <c r="AM501" s="27"/>
      <c r="AN501" s="27"/>
      <c r="AO501" s="27"/>
      <c r="AP501" s="27"/>
      <c r="AQ501" s="27"/>
      <c r="AR501" s="27"/>
      <c r="AS501" s="27"/>
      <c r="AT501" s="27"/>
      <c r="AU501" s="27"/>
    </row>
    <row r="502" spans="1:47" ht="15.75" customHeight="1">
      <c r="A502" s="45">
        <v>44426</v>
      </c>
      <c r="B502" s="64" t="s">
        <v>1304</v>
      </c>
      <c r="C502" s="46" t="s">
        <v>1027</v>
      </c>
      <c r="D502" s="33" t="s">
        <v>1037</v>
      </c>
      <c r="E502" s="90">
        <v>9000</v>
      </c>
      <c r="F502" s="33" t="s">
        <v>1305</v>
      </c>
      <c r="G502" s="44" t="s">
        <v>835</v>
      </c>
      <c r="H502" s="44" t="s">
        <v>1176</v>
      </c>
      <c r="I502" s="44" t="s">
        <v>971</v>
      </c>
      <c r="J502" s="44">
        <v>44322</v>
      </c>
      <c r="K502" s="91" t="s">
        <v>1041</v>
      </c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F502" s="27"/>
      <c r="AG502" s="27"/>
      <c r="AH502" s="27"/>
      <c r="AI502" s="27"/>
      <c r="AJ502" s="27"/>
      <c r="AK502" s="27"/>
      <c r="AL502" s="27"/>
      <c r="AM502" s="27"/>
      <c r="AN502" s="27"/>
      <c r="AO502" s="27"/>
      <c r="AP502" s="27"/>
      <c r="AQ502" s="27"/>
      <c r="AR502" s="27"/>
      <c r="AS502" s="27"/>
      <c r="AT502" s="27"/>
      <c r="AU502" s="27"/>
    </row>
    <row r="503" spans="1:47" ht="15.75" customHeight="1">
      <c r="A503" s="45">
        <v>44426</v>
      </c>
      <c r="B503" s="64" t="s">
        <v>1423</v>
      </c>
      <c r="C503" s="46" t="s">
        <v>48</v>
      </c>
      <c r="D503" s="33" t="s">
        <v>1037</v>
      </c>
      <c r="E503" s="90">
        <v>10000</v>
      </c>
      <c r="F503" s="33" t="s">
        <v>1424</v>
      </c>
      <c r="G503" s="33" t="s">
        <v>835</v>
      </c>
      <c r="H503" s="33" t="s">
        <v>86</v>
      </c>
      <c r="I503" s="33" t="s">
        <v>839</v>
      </c>
      <c r="J503" s="44">
        <v>44133</v>
      </c>
      <c r="K503" s="92" t="s">
        <v>1054</v>
      </c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F503" s="27"/>
      <c r="AG503" s="27"/>
      <c r="AH503" s="27"/>
      <c r="AI503" s="27"/>
      <c r="AJ503" s="27"/>
      <c r="AK503" s="27"/>
      <c r="AL503" s="27"/>
      <c r="AM503" s="27"/>
      <c r="AN503" s="27"/>
      <c r="AO503" s="27"/>
      <c r="AP503" s="27"/>
      <c r="AQ503" s="27"/>
      <c r="AR503" s="27"/>
      <c r="AS503" s="27"/>
      <c r="AT503" s="27"/>
      <c r="AU503" s="27"/>
    </row>
    <row r="504" spans="1:47" ht="15.75" customHeight="1">
      <c r="A504" s="45">
        <v>44427</v>
      </c>
      <c r="B504" s="64" t="s">
        <v>1425</v>
      </c>
      <c r="C504" s="46" t="s">
        <v>48</v>
      </c>
      <c r="D504" s="33" t="s">
        <v>1062</v>
      </c>
      <c r="E504" s="90">
        <v>117509.41</v>
      </c>
      <c r="F504" s="33" t="s">
        <v>1426</v>
      </c>
      <c r="G504" s="33" t="s">
        <v>830</v>
      </c>
      <c r="H504" s="33" t="s">
        <v>86</v>
      </c>
      <c r="I504" s="33" t="s">
        <v>830</v>
      </c>
      <c r="J504" s="44">
        <v>44368</v>
      </c>
      <c r="K504" s="92" t="s">
        <v>1041</v>
      </c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F504" s="27"/>
      <c r="AG504" s="27"/>
      <c r="AH504" s="27"/>
      <c r="AI504" s="27"/>
      <c r="AJ504" s="27"/>
      <c r="AK504" s="27"/>
      <c r="AL504" s="27"/>
      <c r="AM504" s="27"/>
      <c r="AN504" s="27"/>
      <c r="AO504" s="27"/>
      <c r="AP504" s="27"/>
      <c r="AQ504" s="27"/>
      <c r="AR504" s="27"/>
      <c r="AS504" s="27"/>
      <c r="AT504" s="27"/>
      <c r="AU504" s="27"/>
    </row>
    <row r="505" spans="1:47" ht="15.75" customHeight="1">
      <c r="A505" s="44">
        <v>44428</v>
      </c>
      <c r="B505" s="57" t="s">
        <v>1427</v>
      </c>
      <c r="C505" s="33" t="s">
        <v>48</v>
      </c>
      <c r="D505" s="33" t="s">
        <v>1028</v>
      </c>
      <c r="E505" s="90">
        <v>0</v>
      </c>
      <c r="F505" s="33" t="s">
        <v>1428</v>
      </c>
      <c r="G505" s="33" t="s">
        <v>835</v>
      </c>
      <c r="H505" s="33" t="s">
        <v>86</v>
      </c>
      <c r="I505" s="33" t="s">
        <v>839</v>
      </c>
      <c r="J505" s="44">
        <v>44196</v>
      </c>
      <c r="K505" s="92" t="s">
        <v>1179</v>
      </c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F505" s="27"/>
      <c r="AG505" s="27"/>
      <c r="AH505" s="27"/>
      <c r="AI505" s="27"/>
      <c r="AJ505" s="27"/>
      <c r="AK505" s="27"/>
      <c r="AL505" s="27"/>
      <c r="AM505" s="27"/>
      <c r="AN505" s="27"/>
      <c r="AO505" s="27"/>
      <c r="AP505" s="27"/>
      <c r="AQ505" s="27"/>
      <c r="AR505" s="27"/>
      <c r="AS505" s="27"/>
      <c r="AT505" s="27"/>
      <c r="AU505" s="27"/>
    </row>
    <row r="506" spans="1:47" ht="15.75" customHeight="1">
      <c r="A506" s="45">
        <v>44428</v>
      </c>
      <c r="B506" s="64" t="s">
        <v>1048</v>
      </c>
      <c r="C506" s="46" t="s">
        <v>1027</v>
      </c>
      <c r="D506" s="33" t="s">
        <v>1037</v>
      </c>
      <c r="E506" s="90">
        <v>70000</v>
      </c>
      <c r="F506" s="33" t="s">
        <v>1049</v>
      </c>
      <c r="G506" s="44" t="s">
        <v>830</v>
      </c>
      <c r="H506" s="44" t="s">
        <v>86</v>
      </c>
      <c r="I506" s="44" t="s">
        <v>878</v>
      </c>
      <c r="J506" s="44">
        <v>43703</v>
      </c>
      <c r="K506" s="91" t="s">
        <v>1033</v>
      </c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F506" s="27"/>
      <c r="AG506" s="27"/>
      <c r="AH506" s="27"/>
      <c r="AI506" s="27"/>
      <c r="AJ506" s="27"/>
      <c r="AK506" s="27"/>
      <c r="AL506" s="27"/>
      <c r="AM506" s="27"/>
      <c r="AN506" s="27"/>
      <c r="AO506" s="27"/>
      <c r="AP506" s="27"/>
      <c r="AQ506" s="27"/>
      <c r="AR506" s="27"/>
      <c r="AS506" s="27"/>
      <c r="AT506" s="27"/>
      <c r="AU506" s="27"/>
    </row>
    <row r="507" spans="1:47" ht="15.75" customHeight="1">
      <c r="A507" s="45">
        <v>44428</v>
      </c>
      <c r="B507" s="64" t="s">
        <v>1297</v>
      </c>
      <c r="C507" s="46" t="s">
        <v>48</v>
      </c>
      <c r="D507" s="33" t="s">
        <v>1062</v>
      </c>
      <c r="E507" s="90">
        <v>56000</v>
      </c>
      <c r="F507" s="33" t="s">
        <v>1298</v>
      </c>
      <c r="G507" s="33" t="s">
        <v>835</v>
      </c>
      <c r="H507" s="33" t="s">
        <v>1299</v>
      </c>
      <c r="I507" s="33" t="s">
        <v>886</v>
      </c>
      <c r="J507" s="44">
        <v>44291</v>
      </c>
      <c r="K507" s="92" t="s">
        <v>1030</v>
      </c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F507" s="27"/>
      <c r="AG507" s="27"/>
      <c r="AH507" s="27"/>
      <c r="AI507" s="27"/>
      <c r="AJ507" s="27"/>
      <c r="AK507" s="27"/>
      <c r="AL507" s="27"/>
      <c r="AM507" s="27"/>
      <c r="AN507" s="27"/>
      <c r="AO507" s="27"/>
      <c r="AP507" s="27"/>
      <c r="AQ507" s="27"/>
      <c r="AR507" s="27"/>
      <c r="AS507" s="27"/>
      <c r="AT507" s="27"/>
      <c r="AU507" s="27"/>
    </row>
    <row r="508" spans="1:47" ht="15.75" customHeight="1">
      <c r="A508" s="45">
        <v>44431</v>
      </c>
      <c r="B508" s="64" t="s">
        <v>1429</v>
      </c>
      <c r="C508" s="46" t="s">
        <v>1027</v>
      </c>
      <c r="D508" s="33" t="s">
        <v>1037</v>
      </c>
      <c r="E508" s="90">
        <v>86000</v>
      </c>
      <c r="F508" s="33" t="s">
        <v>1430</v>
      </c>
      <c r="G508" s="44" t="s">
        <v>835</v>
      </c>
      <c r="H508" s="44" t="s">
        <v>1176</v>
      </c>
      <c r="I508" s="44" t="s">
        <v>975</v>
      </c>
      <c r="J508" s="44">
        <v>44267</v>
      </c>
      <c r="K508" s="91" t="s">
        <v>1041</v>
      </c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F508" s="27"/>
      <c r="AG508" s="27"/>
      <c r="AH508" s="27"/>
      <c r="AI508" s="27"/>
      <c r="AJ508" s="27"/>
      <c r="AK508" s="27"/>
      <c r="AL508" s="27"/>
      <c r="AM508" s="27"/>
      <c r="AN508" s="27"/>
      <c r="AO508" s="27"/>
      <c r="AP508" s="27"/>
      <c r="AQ508" s="27"/>
      <c r="AR508" s="27"/>
      <c r="AS508" s="27"/>
      <c r="AT508" s="27"/>
      <c r="AU508" s="27"/>
    </row>
    <row r="509" spans="1:47" ht="15.75" customHeight="1">
      <c r="A509" s="45">
        <v>44431</v>
      </c>
      <c r="B509" s="64" t="s">
        <v>1084</v>
      </c>
      <c r="C509" s="46" t="s">
        <v>1027</v>
      </c>
      <c r="D509" s="33" t="s">
        <v>1037</v>
      </c>
      <c r="E509" s="90">
        <v>1000</v>
      </c>
      <c r="F509" s="33" t="s">
        <v>1085</v>
      </c>
      <c r="G509" s="44" t="s">
        <v>830</v>
      </c>
      <c r="H509" s="44" t="s">
        <v>86</v>
      </c>
      <c r="I509" s="44" t="s">
        <v>878</v>
      </c>
      <c r="J509" s="44">
        <v>43894</v>
      </c>
      <c r="K509" s="91" t="s">
        <v>1054</v>
      </c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F509" s="27"/>
      <c r="AG509" s="27"/>
      <c r="AH509" s="27"/>
      <c r="AI509" s="27"/>
      <c r="AJ509" s="27"/>
      <c r="AK509" s="27"/>
      <c r="AL509" s="27"/>
      <c r="AM509" s="27"/>
      <c r="AN509" s="27"/>
      <c r="AO509" s="27"/>
      <c r="AP509" s="27"/>
      <c r="AQ509" s="27"/>
      <c r="AR509" s="27"/>
      <c r="AS509" s="27"/>
      <c r="AT509" s="27"/>
      <c r="AU509" s="27"/>
    </row>
    <row r="510" spans="1:47" ht="15.75" customHeight="1">
      <c r="A510" s="45">
        <v>44431</v>
      </c>
      <c r="B510" s="64" t="s">
        <v>1197</v>
      </c>
      <c r="C510" s="46" t="s">
        <v>48</v>
      </c>
      <c r="D510" s="33" t="s">
        <v>1037</v>
      </c>
      <c r="E510" s="90">
        <v>10000</v>
      </c>
      <c r="F510" s="33" t="s">
        <v>1198</v>
      </c>
      <c r="G510" s="33" t="s">
        <v>835</v>
      </c>
      <c r="H510" s="33" t="s">
        <v>86</v>
      </c>
      <c r="I510" s="33" t="s">
        <v>997</v>
      </c>
      <c r="J510" s="44">
        <v>44089</v>
      </c>
      <c r="K510" s="92" t="s">
        <v>1179</v>
      </c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F510" s="27"/>
      <c r="AG510" s="27"/>
      <c r="AH510" s="27"/>
      <c r="AI510" s="27"/>
      <c r="AJ510" s="27"/>
      <c r="AK510" s="27"/>
      <c r="AL510" s="27"/>
      <c r="AM510" s="27"/>
      <c r="AN510" s="27"/>
      <c r="AO510" s="27"/>
      <c r="AP510" s="27"/>
      <c r="AQ510" s="27"/>
      <c r="AR510" s="27"/>
      <c r="AS510" s="27"/>
      <c r="AT510" s="27"/>
      <c r="AU510" s="27"/>
    </row>
    <row r="511" spans="1:47" ht="15.75" customHeight="1">
      <c r="A511" s="45">
        <v>44432</v>
      </c>
      <c r="B511" s="64" t="s">
        <v>1308</v>
      </c>
      <c r="C511" s="46" t="s">
        <v>1027</v>
      </c>
      <c r="D511" s="33" t="s">
        <v>1037</v>
      </c>
      <c r="E511" s="90">
        <v>15000</v>
      </c>
      <c r="F511" s="33" t="s">
        <v>1309</v>
      </c>
      <c r="G511" s="44" t="s">
        <v>835</v>
      </c>
      <c r="H511" s="44" t="s">
        <v>1176</v>
      </c>
      <c r="I511" s="44" t="s">
        <v>971</v>
      </c>
      <c r="J511" s="44">
        <v>44319</v>
      </c>
      <c r="K511" s="91" t="s">
        <v>1041</v>
      </c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F511" s="27"/>
      <c r="AG511" s="27"/>
      <c r="AH511" s="27"/>
      <c r="AI511" s="27"/>
      <c r="AJ511" s="27"/>
      <c r="AK511" s="27"/>
      <c r="AL511" s="27"/>
      <c r="AM511" s="27"/>
      <c r="AN511" s="27"/>
      <c r="AO511" s="27"/>
      <c r="AP511" s="27"/>
      <c r="AQ511" s="27"/>
      <c r="AR511" s="27"/>
      <c r="AS511" s="27"/>
      <c r="AT511" s="27"/>
      <c r="AU511" s="27"/>
    </row>
    <row r="512" spans="1:47" ht="15.75" customHeight="1">
      <c r="A512" s="45">
        <v>44432</v>
      </c>
      <c r="B512" s="64" t="s">
        <v>1431</v>
      </c>
      <c r="C512" s="46" t="s">
        <v>1027</v>
      </c>
      <c r="D512" s="33" t="s">
        <v>1062</v>
      </c>
      <c r="E512" s="90">
        <v>50000</v>
      </c>
      <c r="F512" s="33" t="s">
        <v>1432</v>
      </c>
      <c r="G512" s="44" t="s">
        <v>835</v>
      </c>
      <c r="H512" s="44" t="s">
        <v>1176</v>
      </c>
      <c r="I512" s="44" t="s">
        <v>971</v>
      </c>
      <c r="J512" s="44">
        <v>44279</v>
      </c>
      <c r="K512" s="91" t="s">
        <v>1041</v>
      </c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F512" s="27"/>
      <c r="AG512" s="27"/>
      <c r="AH512" s="27"/>
      <c r="AI512" s="27"/>
      <c r="AJ512" s="27"/>
      <c r="AK512" s="27"/>
      <c r="AL512" s="27"/>
      <c r="AM512" s="27"/>
      <c r="AN512" s="27"/>
      <c r="AO512" s="27"/>
      <c r="AP512" s="27"/>
      <c r="AQ512" s="27"/>
      <c r="AR512" s="27"/>
      <c r="AS512" s="27"/>
      <c r="AT512" s="27"/>
      <c r="AU512" s="27"/>
    </row>
    <row r="513" spans="1:47" ht="15.75" customHeight="1">
      <c r="A513" s="45">
        <v>44432</v>
      </c>
      <c r="B513" s="64" t="s">
        <v>1316</v>
      </c>
      <c r="C513" s="46" t="s">
        <v>1027</v>
      </c>
      <c r="D513" s="33" t="s">
        <v>1037</v>
      </c>
      <c r="E513" s="90">
        <v>150000</v>
      </c>
      <c r="F513" s="33" t="s">
        <v>1317</v>
      </c>
      <c r="G513" s="44" t="s">
        <v>835</v>
      </c>
      <c r="H513" s="44" t="s">
        <v>1176</v>
      </c>
      <c r="I513" s="44" t="s">
        <v>973</v>
      </c>
      <c r="J513" s="44">
        <v>44328</v>
      </c>
      <c r="K513" s="91" t="s">
        <v>1041</v>
      </c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F513" s="27"/>
      <c r="AG513" s="27"/>
      <c r="AH513" s="27"/>
      <c r="AI513" s="27"/>
      <c r="AJ513" s="27"/>
      <c r="AK513" s="27"/>
      <c r="AL513" s="27"/>
      <c r="AM513" s="27"/>
      <c r="AN513" s="27"/>
      <c r="AO513" s="27"/>
      <c r="AP513" s="27"/>
      <c r="AQ513" s="27"/>
      <c r="AR513" s="27"/>
      <c r="AS513" s="27"/>
      <c r="AT513" s="27"/>
      <c r="AU513" s="27"/>
    </row>
    <row r="514" spans="1:47" ht="15.75" customHeight="1">
      <c r="A514" s="45">
        <v>44432</v>
      </c>
      <c r="B514" s="64" t="s">
        <v>1201</v>
      </c>
      <c r="C514" s="46" t="s">
        <v>48</v>
      </c>
      <c r="D514" s="33" t="s">
        <v>1037</v>
      </c>
      <c r="E514" s="90">
        <v>130000</v>
      </c>
      <c r="F514" s="33" t="s">
        <v>1202</v>
      </c>
      <c r="G514" s="33" t="s">
        <v>830</v>
      </c>
      <c r="H514" s="33" t="s">
        <v>86</v>
      </c>
      <c r="I514" s="33" t="s">
        <v>830</v>
      </c>
      <c r="J514" s="44">
        <v>44180</v>
      </c>
      <c r="K514" s="92" t="s">
        <v>1041</v>
      </c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F514" s="27"/>
      <c r="AG514" s="27"/>
      <c r="AH514" s="27"/>
      <c r="AI514" s="27"/>
      <c r="AJ514" s="27"/>
      <c r="AK514" s="27"/>
      <c r="AL514" s="27"/>
      <c r="AM514" s="27"/>
      <c r="AN514" s="27"/>
      <c r="AO514" s="27"/>
      <c r="AP514" s="27"/>
      <c r="AQ514" s="27"/>
      <c r="AR514" s="27"/>
      <c r="AS514" s="27"/>
      <c r="AT514" s="27"/>
      <c r="AU514" s="27"/>
    </row>
    <row r="515" spans="1:47" ht="15.75" customHeight="1">
      <c r="A515" s="45">
        <v>44433</v>
      </c>
      <c r="B515" s="64" t="s">
        <v>1201</v>
      </c>
      <c r="C515" s="46" t="s">
        <v>48</v>
      </c>
      <c r="D515" s="33" t="s">
        <v>1037</v>
      </c>
      <c r="E515" s="90">
        <v>43000</v>
      </c>
      <c r="F515" s="33" t="s">
        <v>1202</v>
      </c>
      <c r="G515" s="33" t="s">
        <v>830</v>
      </c>
      <c r="H515" s="33" t="s">
        <v>86</v>
      </c>
      <c r="I515" s="33" t="s">
        <v>830</v>
      </c>
      <c r="J515" s="44">
        <v>44180</v>
      </c>
      <c r="K515" s="92" t="s">
        <v>1041</v>
      </c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F515" s="27"/>
      <c r="AG515" s="27"/>
      <c r="AH515" s="27"/>
      <c r="AI515" s="27"/>
      <c r="AJ515" s="27"/>
      <c r="AK515" s="27"/>
      <c r="AL515" s="27"/>
      <c r="AM515" s="27"/>
      <c r="AN515" s="27"/>
      <c r="AO515" s="27"/>
      <c r="AP515" s="27"/>
      <c r="AQ515" s="27"/>
      <c r="AR515" s="27"/>
      <c r="AS515" s="27"/>
      <c r="AT515" s="27"/>
      <c r="AU515" s="27"/>
    </row>
    <row r="516" spans="1:47" ht="15.75" customHeight="1">
      <c r="A516" s="45">
        <v>44433</v>
      </c>
      <c r="B516" s="64" t="s">
        <v>1084</v>
      </c>
      <c r="C516" s="46" t="s">
        <v>1027</v>
      </c>
      <c r="D516" s="33" t="s">
        <v>1037</v>
      </c>
      <c r="E516" s="90">
        <v>40000</v>
      </c>
      <c r="F516" s="33" t="s">
        <v>1085</v>
      </c>
      <c r="G516" s="44" t="s">
        <v>830</v>
      </c>
      <c r="H516" s="44" t="s">
        <v>86</v>
      </c>
      <c r="I516" s="44" t="s">
        <v>878</v>
      </c>
      <c r="J516" s="44">
        <v>43894</v>
      </c>
      <c r="K516" s="91" t="s">
        <v>1054</v>
      </c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F516" s="27"/>
      <c r="AG516" s="27"/>
      <c r="AH516" s="27"/>
      <c r="AI516" s="27"/>
      <c r="AJ516" s="27"/>
      <c r="AK516" s="27"/>
      <c r="AL516" s="27"/>
      <c r="AM516" s="27"/>
      <c r="AN516" s="27"/>
      <c r="AO516" s="27"/>
      <c r="AP516" s="27"/>
      <c r="AQ516" s="27"/>
      <c r="AR516" s="27"/>
      <c r="AS516" s="27"/>
      <c r="AT516" s="27"/>
      <c r="AU516" s="27"/>
    </row>
    <row r="517" spans="1:47" ht="15.75" customHeight="1">
      <c r="A517" s="45">
        <v>44433</v>
      </c>
      <c r="B517" s="64" t="s">
        <v>1052</v>
      </c>
      <c r="C517" s="46" t="s">
        <v>1027</v>
      </c>
      <c r="D517" s="33" t="s">
        <v>1037</v>
      </c>
      <c r="E517" s="90">
        <v>75000</v>
      </c>
      <c r="F517" s="33" t="s">
        <v>1053</v>
      </c>
      <c r="G517" s="44" t="s">
        <v>830</v>
      </c>
      <c r="H517" s="44" t="s">
        <v>86</v>
      </c>
      <c r="I517" s="44" t="s">
        <v>878</v>
      </c>
      <c r="J517" s="44">
        <v>43605</v>
      </c>
      <c r="K517" s="91" t="s">
        <v>1054</v>
      </c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F517" s="27"/>
      <c r="AG517" s="27"/>
      <c r="AH517" s="27"/>
      <c r="AI517" s="27"/>
      <c r="AJ517" s="27"/>
      <c r="AK517" s="27"/>
      <c r="AL517" s="27"/>
      <c r="AM517" s="27"/>
      <c r="AN517" s="27"/>
      <c r="AO517" s="27"/>
      <c r="AP517" s="27"/>
      <c r="AQ517" s="27"/>
      <c r="AR517" s="27"/>
      <c r="AS517" s="27"/>
      <c r="AT517" s="27"/>
      <c r="AU517" s="27"/>
    </row>
    <row r="518" spans="1:47" ht="15.75" customHeight="1">
      <c r="A518" s="45">
        <v>44434</v>
      </c>
      <c r="B518" s="64" t="s">
        <v>1240</v>
      </c>
      <c r="C518" s="46" t="s">
        <v>48</v>
      </c>
      <c r="D518" s="33" t="s">
        <v>1037</v>
      </c>
      <c r="E518" s="90">
        <v>3000</v>
      </c>
      <c r="F518" s="33" t="s">
        <v>1241</v>
      </c>
      <c r="G518" s="33" t="s">
        <v>904</v>
      </c>
      <c r="H518" s="33" t="s">
        <v>86</v>
      </c>
      <c r="I518" s="33" t="s">
        <v>935</v>
      </c>
      <c r="J518" s="44">
        <v>44180</v>
      </c>
      <c r="K518" s="92" t="s">
        <v>1041</v>
      </c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F518" s="27"/>
      <c r="AG518" s="27"/>
      <c r="AH518" s="27"/>
      <c r="AI518" s="27"/>
      <c r="AJ518" s="27"/>
      <c r="AK518" s="27"/>
      <c r="AL518" s="27"/>
      <c r="AM518" s="27"/>
      <c r="AN518" s="27"/>
      <c r="AO518" s="27"/>
      <c r="AP518" s="27"/>
      <c r="AQ518" s="27"/>
      <c r="AR518" s="27"/>
      <c r="AS518" s="27"/>
      <c r="AT518" s="27"/>
      <c r="AU518" s="27"/>
    </row>
    <row r="519" spans="1:47" ht="15.75" customHeight="1">
      <c r="A519" s="45">
        <v>44434</v>
      </c>
      <c r="B519" s="64" t="s">
        <v>1304</v>
      </c>
      <c r="C519" s="46" t="s">
        <v>1027</v>
      </c>
      <c r="D519" s="33" t="s">
        <v>1037</v>
      </c>
      <c r="E519" s="90">
        <v>2000</v>
      </c>
      <c r="F519" s="33" t="s">
        <v>1305</v>
      </c>
      <c r="G519" s="44" t="s">
        <v>835</v>
      </c>
      <c r="H519" s="44" t="s">
        <v>1176</v>
      </c>
      <c r="I519" s="44" t="s">
        <v>971</v>
      </c>
      <c r="J519" s="44">
        <v>44322</v>
      </c>
      <c r="K519" s="91" t="s">
        <v>1041</v>
      </c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F519" s="27"/>
      <c r="AG519" s="27"/>
      <c r="AH519" s="27"/>
      <c r="AI519" s="27"/>
      <c r="AJ519" s="27"/>
      <c r="AK519" s="27"/>
      <c r="AL519" s="27"/>
      <c r="AM519" s="27"/>
      <c r="AN519" s="27"/>
      <c r="AO519" s="27"/>
      <c r="AP519" s="27"/>
      <c r="AQ519" s="27"/>
      <c r="AR519" s="27"/>
      <c r="AS519" s="27"/>
      <c r="AT519" s="27"/>
      <c r="AU519" s="27"/>
    </row>
    <row r="520" spans="1:47" ht="15.75" customHeight="1">
      <c r="A520" s="44">
        <v>44435</v>
      </c>
      <c r="B520" s="57" t="s">
        <v>1229</v>
      </c>
      <c r="C520" s="33" t="s">
        <v>1027</v>
      </c>
      <c r="D520" s="33" t="s">
        <v>1028</v>
      </c>
      <c r="E520" s="90">
        <v>104633.35</v>
      </c>
      <c r="F520" s="33" t="s">
        <v>1230</v>
      </c>
      <c r="G520" s="44" t="s">
        <v>835</v>
      </c>
      <c r="H520" s="44" t="s">
        <v>1176</v>
      </c>
      <c r="I520" s="44" t="s">
        <v>975</v>
      </c>
      <c r="J520" s="44">
        <v>44273</v>
      </c>
      <c r="K520" s="91" t="s">
        <v>1041</v>
      </c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F520" s="27"/>
      <c r="AG520" s="27"/>
      <c r="AH520" s="27"/>
      <c r="AI520" s="27"/>
      <c r="AJ520" s="27"/>
      <c r="AK520" s="27"/>
      <c r="AL520" s="27"/>
      <c r="AM520" s="27"/>
      <c r="AN520" s="27"/>
      <c r="AO520" s="27"/>
      <c r="AP520" s="27"/>
      <c r="AQ520" s="27"/>
      <c r="AR520" s="27"/>
      <c r="AS520" s="27"/>
      <c r="AT520" s="27"/>
      <c r="AU520" s="27"/>
    </row>
    <row r="521" spans="1:47" ht="15.75" customHeight="1">
      <c r="A521" s="44">
        <v>44438</v>
      </c>
      <c r="B521" s="57" t="s">
        <v>1423</v>
      </c>
      <c r="C521" s="33" t="s">
        <v>48</v>
      </c>
      <c r="D521" s="33" t="s">
        <v>1028</v>
      </c>
      <c r="E521" s="90">
        <v>0</v>
      </c>
      <c r="F521" s="33" t="s">
        <v>1424</v>
      </c>
      <c r="G521" s="33" t="s">
        <v>835</v>
      </c>
      <c r="H521" s="33" t="s">
        <v>86</v>
      </c>
      <c r="I521" s="33" t="s">
        <v>839</v>
      </c>
      <c r="J521" s="44">
        <v>44133</v>
      </c>
      <c r="K521" s="92" t="s">
        <v>1054</v>
      </c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F521" s="27"/>
      <c r="AG521" s="27"/>
      <c r="AH521" s="27"/>
      <c r="AI521" s="27"/>
      <c r="AJ521" s="27"/>
      <c r="AK521" s="27"/>
      <c r="AL521" s="27"/>
      <c r="AM521" s="27"/>
      <c r="AN521" s="27"/>
      <c r="AO521" s="27"/>
      <c r="AP521" s="27"/>
      <c r="AQ521" s="27"/>
      <c r="AR521" s="27"/>
      <c r="AS521" s="27"/>
      <c r="AT521" s="27"/>
      <c r="AU521" s="27"/>
    </row>
    <row r="522" spans="1:47" ht="15.75" customHeight="1">
      <c r="A522" s="45">
        <v>44438</v>
      </c>
      <c r="B522" s="64" t="s">
        <v>1433</v>
      </c>
      <c r="C522" s="46" t="s">
        <v>1027</v>
      </c>
      <c r="D522" s="33" t="s">
        <v>1037</v>
      </c>
      <c r="E522" s="90">
        <v>50000</v>
      </c>
      <c r="F522" s="33" t="s">
        <v>1434</v>
      </c>
      <c r="G522" s="44" t="s">
        <v>835</v>
      </c>
      <c r="H522" s="44" t="s">
        <v>1176</v>
      </c>
      <c r="I522" s="44" t="s">
        <v>973</v>
      </c>
      <c r="J522" s="44">
        <v>44340</v>
      </c>
      <c r="K522" s="91" t="s">
        <v>1054</v>
      </c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F522" s="27"/>
      <c r="AG522" s="27"/>
      <c r="AH522" s="27"/>
      <c r="AI522" s="27"/>
      <c r="AJ522" s="27"/>
      <c r="AK522" s="27"/>
      <c r="AL522" s="27"/>
      <c r="AM522" s="27"/>
      <c r="AN522" s="27"/>
      <c r="AO522" s="27"/>
      <c r="AP522" s="27"/>
      <c r="AQ522" s="27"/>
      <c r="AR522" s="27"/>
      <c r="AS522" s="27"/>
      <c r="AT522" s="27"/>
      <c r="AU522" s="27"/>
    </row>
    <row r="523" spans="1:47" ht="15.75" customHeight="1">
      <c r="A523" s="44">
        <v>44439</v>
      </c>
      <c r="B523" s="57" t="s">
        <v>1435</v>
      </c>
      <c r="C523" s="33" t="s">
        <v>1027</v>
      </c>
      <c r="D523" s="33" t="s">
        <v>1028</v>
      </c>
      <c r="E523" s="90">
        <v>397214.14</v>
      </c>
      <c r="F523" s="33" t="s">
        <v>1436</v>
      </c>
      <c r="G523" s="44" t="s">
        <v>830</v>
      </c>
      <c r="H523" s="44" t="s">
        <v>86</v>
      </c>
      <c r="I523" s="44" t="s">
        <v>969</v>
      </c>
      <c r="J523" s="44">
        <v>43539</v>
      </c>
      <c r="K523" s="91" t="s">
        <v>1041</v>
      </c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F523" s="27"/>
      <c r="AG523" s="27"/>
      <c r="AH523" s="27"/>
      <c r="AI523" s="27"/>
      <c r="AJ523" s="27"/>
      <c r="AK523" s="27"/>
      <c r="AL523" s="27"/>
      <c r="AM523" s="27"/>
      <c r="AN523" s="27"/>
      <c r="AO523" s="27"/>
      <c r="AP523" s="27"/>
      <c r="AQ523" s="27"/>
      <c r="AR523" s="27"/>
      <c r="AS523" s="27"/>
      <c r="AT523" s="27"/>
      <c r="AU523" s="27"/>
    </row>
    <row r="524" spans="1:47" ht="15.75" customHeight="1">
      <c r="A524" s="44">
        <v>44439</v>
      </c>
      <c r="B524" s="57" t="s">
        <v>1437</v>
      </c>
      <c r="C524" s="33" t="s">
        <v>1027</v>
      </c>
      <c r="D524" s="33" t="s">
        <v>1028</v>
      </c>
      <c r="E524" s="90">
        <v>40150.79</v>
      </c>
      <c r="F524" s="33" t="s">
        <v>1436</v>
      </c>
      <c r="G524" s="44" t="s">
        <v>830</v>
      </c>
      <c r="H524" s="44" t="s">
        <v>86</v>
      </c>
      <c r="I524" s="44" t="s">
        <v>969</v>
      </c>
      <c r="J524" s="44">
        <v>44397</v>
      </c>
      <c r="K524" s="91" t="s">
        <v>1438</v>
      </c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F524" s="27"/>
      <c r="AG524" s="27"/>
      <c r="AH524" s="27"/>
      <c r="AI524" s="27"/>
      <c r="AJ524" s="27"/>
      <c r="AK524" s="27"/>
      <c r="AL524" s="27"/>
      <c r="AM524" s="27"/>
      <c r="AN524" s="27"/>
      <c r="AO524" s="27"/>
      <c r="AP524" s="27"/>
      <c r="AQ524" s="27"/>
      <c r="AR524" s="27"/>
      <c r="AS524" s="27"/>
      <c r="AT524" s="27"/>
      <c r="AU524" s="27"/>
    </row>
    <row r="525" spans="1:47" ht="15.75" customHeight="1">
      <c r="A525" s="45">
        <v>44439</v>
      </c>
      <c r="B525" s="64" t="s">
        <v>1370</v>
      </c>
      <c r="C525" s="46" t="s">
        <v>1027</v>
      </c>
      <c r="D525" s="33" t="s">
        <v>1037</v>
      </c>
      <c r="E525" s="90">
        <v>20000</v>
      </c>
      <c r="F525" s="33" t="s">
        <v>1371</v>
      </c>
      <c r="G525" s="44" t="s">
        <v>835</v>
      </c>
      <c r="H525" s="44" t="s">
        <v>1176</v>
      </c>
      <c r="I525" s="44" t="s">
        <v>973</v>
      </c>
      <c r="J525" s="44">
        <v>44319</v>
      </c>
      <c r="K525" s="91" t="s">
        <v>1041</v>
      </c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F525" s="27"/>
      <c r="AG525" s="27"/>
      <c r="AH525" s="27"/>
      <c r="AI525" s="27"/>
      <c r="AJ525" s="27"/>
      <c r="AK525" s="27"/>
      <c r="AL525" s="27"/>
      <c r="AM525" s="27"/>
      <c r="AN525" s="27"/>
      <c r="AO525" s="27"/>
      <c r="AP525" s="27"/>
      <c r="AQ525" s="27"/>
      <c r="AR525" s="27"/>
      <c r="AS525" s="27"/>
      <c r="AT525" s="27"/>
      <c r="AU525" s="27"/>
    </row>
    <row r="526" spans="1:47" ht="15.75" customHeight="1">
      <c r="A526" s="45">
        <v>44439</v>
      </c>
      <c r="B526" s="64" t="s">
        <v>1398</v>
      </c>
      <c r="C526" s="46" t="s">
        <v>1027</v>
      </c>
      <c r="D526" s="33" t="s">
        <v>1037</v>
      </c>
      <c r="E526" s="90">
        <v>130000</v>
      </c>
      <c r="F526" s="33" t="s">
        <v>1399</v>
      </c>
      <c r="G526" s="44" t="s">
        <v>835</v>
      </c>
      <c r="H526" s="44" t="s">
        <v>1176</v>
      </c>
      <c r="I526" s="44" t="s">
        <v>973</v>
      </c>
      <c r="J526" s="44">
        <v>44280</v>
      </c>
      <c r="K526" s="91" t="s">
        <v>1041</v>
      </c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F526" s="27"/>
      <c r="AG526" s="27"/>
      <c r="AH526" s="27"/>
      <c r="AI526" s="27"/>
      <c r="AJ526" s="27"/>
      <c r="AK526" s="27"/>
      <c r="AL526" s="27"/>
      <c r="AM526" s="27"/>
      <c r="AN526" s="27"/>
      <c r="AO526" s="27"/>
      <c r="AP526" s="27"/>
      <c r="AQ526" s="27"/>
      <c r="AR526" s="27"/>
      <c r="AS526" s="27"/>
      <c r="AT526" s="27"/>
      <c r="AU526" s="27"/>
    </row>
    <row r="527" spans="1:47" ht="15.75" customHeight="1">
      <c r="A527" s="45">
        <v>44440</v>
      </c>
      <c r="B527" s="64" t="s">
        <v>1174</v>
      </c>
      <c r="C527" s="46" t="s">
        <v>1027</v>
      </c>
      <c r="D527" s="33" t="s">
        <v>1037</v>
      </c>
      <c r="E527" s="90">
        <v>20000</v>
      </c>
      <c r="F527" s="33" t="s">
        <v>1175</v>
      </c>
      <c r="G527" s="44" t="s">
        <v>835</v>
      </c>
      <c r="H527" s="44" t="s">
        <v>1176</v>
      </c>
      <c r="I527" s="44" t="s">
        <v>973</v>
      </c>
      <c r="J527" s="44">
        <v>44321</v>
      </c>
      <c r="K527" s="91" t="s">
        <v>1041</v>
      </c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F527" s="27"/>
      <c r="AG527" s="27"/>
      <c r="AH527" s="27"/>
      <c r="AI527" s="27"/>
      <c r="AJ527" s="27"/>
      <c r="AK527" s="27"/>
      <c r="AL527" s="27"/>
      <c r="AM527" s="27"/>
      <c r="AN527" s="27"/>
      <c r="AO527" s="27"/>
      <c r="AP527" s="27"/>
      <c r="AQ527" s="27"/>
      <c r="AR527" s="27"/>
      <c r="AS527" s="27"/>
      <c r="AT527" s="27"/>
      <c r="AU527" s="27"/>
    </row>
    <row r="528" spans="1:47" ht="15.75" customHeight="1">
      <c r="A528" s="45">
        <v>44440</v>
      </c>
      <c r="B528" s="64" t="s">
        <v>1093</v>
      </c>
      <c r="C528" s="46" t="s">
        <v>1027</v>
      </c>
      <c r="D528" s="33" t="s">
        <v>1037</v>
      </c>
      <c r="E528" s="90">
        <v>300000</v>
      </c>
      <c r="F528" s="33" t="s">
        <v>1094</v>
      </c>
      <c r="G528" s="44" t="s">
        <v>830</v>
      </c>
      <c r="H528" s="44" t="s">
        <v>86</v>
      </c>
      <c r="I528" s="44" t="s">
        <v>878</v>
      </c>
      <c r="J528" s="44">
        <v>43564</v>
      </c>
      <c r="K528" s="91" t="s">
        <v>1030</v>
      </c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F528" s="27"/>
      <c r="AG528" s="27"/>
      <c r="AH528" s="27"/>
      <c r="AI528" s="27"/>
      <c r="AJ528" s="27"/>
      <c r="AK528" s="27"/>
      <c r="AL528" s="27"/>
      <c r="AM528" s="27"/>
      <c r="AN528" s="27"/>
      <c r="AO528" s="27"/>
      <c r="AP528" s="27"/>
      <c r="AQ528" s="27"/>
      <c r="AR528" s="27"/>
      <c r="AS528" s="27"/>
      <c r="AT528" s="27"/>
      <c r="AU528" s="27"/>
    </row>
    <row r="529" spans="1:47" ht="15.75" customHeight="1">
      <c r="A529" s="45">
        <v>44441</v>
      </c>
      <c r="B529" s="64" t="s">
        <v>1183</v>
      </c>
      <c r="C529" s="46" t="s">
        <v>48</v>
      </c>
      <c r="D529" s="33" t="s">
        <v>1037</v>
      </c>
      <c r="E529" s="90">
        <v>25000</v>
      </c>
      <c r="F529" s="33" t="s">
        <v>1184</v>
      </c>
      <c r="G529" s="33" t="s">
        <v>904</v>
      </c>
      <c r="H529" s="33" t="s">
        <v>86</v>
      </c>
      <c r="I529" s="33" t="s">
        <v>912</v>
      </c>
      <c r="J529" s="44">
        <v>44263</v>
      </c>
      <c r="K529" s="92" t="s">
        <v>1041</v>
      </c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F529" s="27"/>
      <c r="AG529" s="27"/>
      <c r="AH529" s="27"/>
      <c r="AI529" s="27"/>
      <c r="AJ529" s="27"/>
      <c r="AK529" s="27"/>
      <c r="AL529" s="27"/>
      <c r="AM529" s="27"/>
      <c r="AN529" s="27"/>
      <c r="AO529" s="27"/>
      <c r="AP529" s="27"/>
      <c r="AQ529" s="27"/>
      <c r="AR529" s="27"/>
      <c r="AS529" s="27"/>
      <c r="AT529" s="27"/>
      <c r="AU529" s="27"/>
    </row>
    <row r="530" spans="1:47" ht="15.75" customHeight="1">
      <c r="A530" s="45">
        <v>44441</v>
      </c>
      <c r="B530" s="64" t="s">
        <v>1052</v>
      </c>
      <c r="C530" s="46" t="s">
        <v>1027</v>
      </c>
      <c r="D530" s="33" t="s">
        <v>1037</v>
      </c>
      <c r="E530" s="90">
        <v>17000</v>
      </c>
      <c r="F530" s="33" t="s">
        <v>1053</v>
      </c>
      <c r="G530" s="44" t="s">
        <v>830</v>
      </c>
      <c r="H530" s="44" t="s">
        <v>86</v>
      </c>
      <c r="I530" s="44" t="s">
        <v>878</v>
      </c>
      <c r="J530" s="44">
        <v>43605</v>
      </c>
      <c r="K530" s="91" t="s">
        <v>1054</v>
      </c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F530" s="27"/>
      <c r="AG530" s="27"/>
      <c r="AH530" s="27"/>
      <c r="AI530" s="27"/>
      <c r="AJ530" s="27"/>
      <c r="AK530" s="27"/>
      <c r="AL530" s="27"/>
      <c r="AM530" s="27"/>
      <c r="AN530" s="27"/>
      <c r="AO530" s="27"/>
      <c r="AP530" s="27"/>
      <c r="AQ530" s="27"/>
      <c r="AR530" s="27"/>
      <c r="AS530" s="27"/>
      <c r="AT530" s="27"/>
      <c r="AU530" s="27"/>
    </row>
    <row r="531" spans="1:47" ht="15.75" customHeight="1">
      <c r="A531" s="44">
        <v>44442</v>
      </c>
      <c r="B531" s="57" t="s">
        <v>1439</v>
      </c>
      <c r="C531" s="33" t="s">
        <v>48</v>
      </c>
      <c r="D531" s="33" t="s">
        <v>1028</v>
      </c>
      <c r="E531" s="90">
        <v>0</v>
      </c>
      <c r="F531" s="33" t="s">
        <v>1440</v>
      </c>
      <c r="G531" s="33" t="s">
        <v>835</v>
      </c>
      <c r="H531" s="33" t="s">
        <v>86</v>
      </c>
      <c r="I531" s="33" t="s">
        <v>839</v>
      </c>
      <c r="J531" s="44">
        <v>44245</v>
      </c>
      <c r="K531" s="92" t="s">
        <v>1041</v>
      </c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F531" s="27"/>
      <c r="AG531" s="27"/>
      <c r="AH531" s="27"/>
      <c r="AI531" s="27"/>
      <c r="AJ531" s="27"/>
      <c r="AK531" s="27"/>
      <c r="AL531" s="27"/>
      <c r="AM531" s="27"/>
      <c r="AN531" s="27"/>
      <c r="AO531" s="27"/>
      <c r="AP531" s="27"/>
      <c r="AQ531" s="27"/>
      <c r="AR531" s="27"/>
      <c r="AS531" s="27"/>
      <c r="AT531" s="27"/>
      <c r="AU531" s="27"/>
    </row>
    <row r="532" spans="1:47" ht="15.75" customHeight="1">
      <c r="A532" s="45">
        <v>44442</v>
      </c>
      <c r="B532" s="64" t="s">
        <v>1441</v>
      </c>
      <c r="C532" s="46" t="s">
        <v>48</v>
      </c>
      <c r="D532" s="33" t="s">
        <v>1037</v>
      </c>
      <c r="E532" s="90">
        <v>150000</v>
      </c>
      <c r="F532" s="33" t="s">
        <v>1442</v>
      </c>
      <c r="G532" s="33" t="s">
        <v>835</v>
      </c>
      <c r="H532" s="33" t="s">
        <v>86</v>
      </c>
      <c r="I532" s="33" t="s">
        <v>839</v>
      </c>
      <c r="J532" s="44">
        <v>44326</v>
      </c>
      <c r="K532" s="92" t="s">
        <v>1179</v>
      </c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F532" s="27"/>
      <c r="AG532" s="27"/>
      <c r="AH532" s="27"/>
      <c r="AI532" s="27"/>
      <c r="AJ532" s="27"/>
      <c r="AK532" s="27"/>
      <c r="AL532" s="27"/>
      <c r="AM532" s="27"/>
      <c r="AN532" s="27"/>
      <c r="AO532" s="27"/>
      <c r="AP532" s="27"/>
      <c r="AQ532" s="27"/>
      <c r="AR532" s="27"/>
      <c r="AS532" s="27"/>
      <c r="AT532" s="27"/>
      <c r="AU532" s="27"/>
    </row>
    <row r="533" spans="1:47" ht="15.75" customHeight="1">
      <c r="A533" s="45">
        <v>44442</v>
      </c>
      <c r="B533" s="64" t="s">
        <v>1443</v>
      </c>
      <c r="C533" s="46" t="s">
        <v>48</v>
      </c>
      <c r="D533" s="33" t="s">
        <v>1037</v>
      </c>
      <c r="E533" s="90">
        <v>84278.97</v>
      </c>
      <c r="F533" s="33" t="s">
        <v>1444</v>
      </c>
      <c r="G533" s="33" t="s">
        <v>830</v>
      </c>
      <c r="H533" s="33" t="s">
        <v>86</v>
      </c>
      <c r="I533" s="33" t="s">
        <v>830</v>
      </c>
      <c r="J533" s="44">
        <v>44355</v>
      </c>
      <c r="K533" s="92" t="s">
        <v>1054</v>
      </c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F533" s="27"/>
      <c r="AG533" s="27"/>
      <c r="AH533" s="27"/>
      <c r="AI533" s="27"/>
      <c r="AJ533" s="27"/>
      <c r="AK533" s="27"/>
      <c r="AL533" s="27"/>
      <c r="AM533" s="27"/>
      <c r="AN533" s="27"/>
      <c r="AO533" s="27"/>
      <c r="AP533" s="27"/>
      <c r="AQ533" s="27"/>
      <c r="AR533" s="27"/>
      <c r="AS533" s="27"/>
      <c r="AT533" s="27"/>
      <c r="AU533" s="27"/>
    </row>
    <row r="534" spans="1:47" ht="15.75" customHeight="1">
      <c r="A534" s="45">
        <v>44442</v>
      </c>
      <c r="B534" s="64" t="s">
        <v>1345</v>
      </c>
      <c r="C534" s="46" t="s">
        <v>1027</v>
      </c>
      <c r="D534" s="33" t="s">
        <v>1037</v>
      </c>
      <c r="E534" s="90">
        <v>130000</v>
      </c>
      <c r="F534" s="33" t="s">
        <v>1346</v>
      </c>
      <c r="G534" s="44" t="s">
        <v>835</v>
      </c>
      <c r="H534" s="44" t="s">
        <v>1176</v>
      </c>
      <c r="I534" s="44" t="s">
        <v>973</v>
      </c>
      <c r="J534" s="44">
        <v>44313</v>
      </c>
      <c r="K534" s="91" t="s">
        <v>1041</v>
      </c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F534" s="27"/>
      <c r="AG534" s="27"/>
      <c r="AH534" s="27"/>
      <c r="AI534" s="27"/>
      <c r="AJ534" s="27"/>
      <c r="AK534" s="27"/>
      <c r="AL534" s="27"/>
      <c r="AM534" s="27"/>
      <c r="AN534" s="27"/>
      <c r="AO534" s="27"/>
      <c r="AP534" s="27"/>
      <c r="AQ534" s="27"/>
      <c r="AR534" s="27"/>
      <c r="AS534" s="27"/>
      <c r="AT534" s="27"/>
      <c r="AU534" s="27"/>
    </row>
    <row r="535" spans="1:47" ht="15.75" customHeight="1">
      <c r="A535" s="44">
        <v>44445</v>
      </c>
      <c r="B535" s="57" t="s">
        <v>1445</v>
      </c>
      <c r="C535" s="33" t="s">
        <v>48</v>
      </c>
      <c r="D535" s="33" t="s">
        <v>1028</v>
      </c>
      <c r="E535" s="90">
        <v>0</v>
      </c>
      <c r="F535" s="33" t="s">
        <v>1446</v>
      </c>
      <c r="G535" s="33" t="s">
        <v>835</v>
      </c>
      <c r="H535" s="33" t="s">
        <v>86</v>
      </c>
      <c r="I535" s="33" t="s">
        <v>839</v>
      </c>
      <c r="J535" s="44">
        <v>44085</v>
      </c>
      <c r="K535" s="92" t="s">
        <v>1179</v>
      </c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F535" s="27"/>
      <c r="AG535" s="27"/>
      <c r="AH535" s="27"/>
      <c r="AI535" s="27"/>
      <c r="AJ535" s="27"/>
      <c r="AK535" s="27"/>
      <c r="AL535" s="27"/>
      <c r="AM535" s="27"/>
      <c r="AN535" s="27"/>
      <c r="AO535" s="27"/>
      <c r="AP535" s="27"/>
      <c r="AQ535" s="27"/>
      <c r="AR535" s="27"/>
      <c r="AS535" s="27"/>
      <c r="AT535" s="27"/>
      <c r="AU535" s="27"/>
    </row>
    <row r="536" spans="1:47" ht="15.75" customHeight="1">
      <c r="A536" s="44">
        <v>44445</v>
      </c>
      <c r="B536" s="57" t="s">
        <v>1447</v>
      </c>
      <c r="C536" s="33" t="s">
        <v>48</v>
      </c>
      <c r="D536" s="33" t="s">
        <v>1028</v>
      </c>
      <c r="E536" s="90">
        <v>0</v>
      </c>
      <c r="F536" s="33" t="s">
        <v>1448</v>
      </c>
      <c r="G536" s="33" t="s">
        <v>835</v>
      </c>
      <c r="H536" s="33" t="s">
        <v>86</v>
      </c>
      <c r="I536" s="33" t="s">
        <v>839</v>
      </c>
      <c r="J536" s="44">
        <v>44147</v>
      </c>
      <c r="K536" s="92" t="s">
        <v>1054</v>
      </c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F536" s="27"/>
      <c r="AG536" s="27"/>
      <c r="AH536" s="27"/>
      <c r="AI536" s="27"/>
      <c r="AJ536" s="27"/>
      <c r="AK536" s="27"/>
      <c r="AL536" s="27"/>
      <c r="AM536" s="27"/>
      <c r="AN536" s="27"/>
      <c r="AO536" s="27"/>
      <c r="AP536" s="27"/>
      <c r="AQ536" s="27"/>
      <c r="AR536" s="27"/>
      <c r="AS536" s="27"/>
      <c r="AT536" s="27"/>
      <c r="AU536" s="27"/>
    </row>
    <row r="537" spans="1:47" ht="15.75" customHeight="1">
      <c r="A537" s="45">
        <v>44445</v>
      </c>
      <c r="B537" s="64" t="s">
        <v>1306</v>
      </c>
      <c r="C537" s="46" t="s">
        <v>1027</v>
      </c>
      <c r="D537" s="33" t="s">
        <v>1037</v>
      </c>
      <c r="E537" s="90">
        <v>20000</v>
      </c>
      <c r="F537" s="33" t="s">
        <v>1307</v>
      </c>
      <c r="G537" s="44" t="s">
        <v>835</v>
      </c>
      <c r="H537" s="44" t="s">
        <v>1176</v>
      </c>
      <c r="I537" s="44" t="s">
        <v>975</v>
      </c>
      <c r="J537" s="44">
        <v>44266</v>
      </c>
      <c r="K537" s="91" t="s">
        <v>1054</v>
      </c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F537" s="27"/>
      <c r="AG537" s="27"/>
      <c r="AH537" s="27"/>
      <c r="AI537" s="27"/>
      <c r="AJ537" s="27"/>
      <c r="AK537" s="27"/>
      <c r="AL537" s="27"/>
      <c r="AM537" s="27"/>
      <c r="AN537" s="27"/>
      <c r="AO537" s="27"/>
      <c r="AP537" s="27"/>
      <c r="AQ537" s="27"/>
      <c r="AR537" s="27"/>
      <c r="AS537" s="27"/>
      <c r="AT537" s="27"/>
      <c r="AU537" s="27"/>
    </row>
    <row r="538" spans="1:47" ht="15.75" customHeight="1">
      <c r="A538" s="44">
        <v>44447</v>
      </c>
      <c r="B538" s="57" t="s">
        <v>1449</v>
      </c>
      <c r="C538" s="33" t="s">
        <v>48</v>
      </c>
      <c r="D538" s="33" t="s">
        <v>1028</v>
      </c>
      <c r="E538" s="90">
        <v>0</v>
      </c>
      <c r="F538" s="33" t="s">
        <v>1450</v>
      </c>
      <c r="G538" s="33" t="s">
        <v>835</v>
      </c>
      <c r="H538" s="33" t="s">
        <v>86</v>
      </c>
      <c r="I538" s="33" t="s">
        <v>1451</v>
      </c>
      <c r="J538" s="44">
        <v>44096</v>
      </c>
      <c r="K538" s="92" t="s">
        <v>1041</v>
      </c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F538" s="27"/>
      <c r="AG538" s="27"/>
      <c r="AH538" s="27"/>
      <c r="AI538" s="27"/>
      <c r="AJ538" s="27"/>
      <c r="AK538" s="27"/>
      <c r="AL538" s="27"/>
      <c r="AM538" s="27"/>
      <c r="AN538" s="27"/>
      <c r="AO538" s="27"/>
      <c r="AP538" s="27"/>
      <c r="AQ538" s="27"/>
      <c r="AR538" s="27"/>
      <c r="AS538" s="27"/>
      <c r="AT538" s="27"/>
      <c r="AU538" s="27"/>
    </row>
    <row r="539" spans="1:47" ht="15.75" customHeight="1">
      <c r="A539" s="45">
        <v>44447</v>
      </c>
      <c r="B539" s="64" t="s">
        <v>1452</v>
      </c>
      <c r="C539" s="46" t="s">
        <v>1027</v>
      </c>
      <c r="D539" s="33" t="s">
        <v>1037</v>
      </c>
      <c r="E539" s="90">
        <v>300000</v>
      </c>
      <c r="F539" s="33" t="s">
        <v>1453</v>
      </c>
      <c r="G539" s="44" t="s">
        <v>977</v>
      </c>
      <c r="H539" s="44" t="s">
        <v>86</v>
      </c>
      <c r="I539" s="44" t="s">
        <v>977</v>
      </c>
      <c r="J539" s="44">
        <v>44021</v>
      </c>
      <c r="K539" s="91" t="s">
        <v>1041</v>
      </c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F539" s="27"/>
      <c r="AG539" s="27"/>
      <c r="AH539" s="27"/>
      <c r="AI539" s="27"/>
      <c r="AJ539" s="27"/>
      <c r="AK539" s="27"/>
      <c r="AL539" s="27"/>
      <c r="AM539" s="27"/>
      <c r="AN539" s="27"/>
      <c r="AO539" s="27"/>
      <c r="AP539" s="27"/>
      <c r="AQ539" s="27"/>
      <c r="AR539" s="27"/>
      <c r="AS539" s="27"/>
      <c r="AT539" s="27"/>
      <c r="AU539" s="27"/>
    </row>
    <row r="540" spans="1:47" ht="15.75" customHeight="1">
      <c r="A540" s="45">
        <v>44447</v>
      </c>
      <c r="B540" s="64" t="s">
        <v>1276</v>
      </c>
      <c r="C540" s="46" t="s">
        <v>1027</v>
      </c>
      <c r="D540" s="33" t="s">
        <v>1037</v>
      </c>
      <c r="E540" s="90">
        <v>25000</v>
      </c>
      <c r="F540" s="33" t="s">
        <v>1277</v>
      </c>
      <c r="G540" s="44" t="s">
        <v>835</v>
      </c>
      <c r="H540" s="44" t="s">
        <v>1176</v>
      </c>
      <c r="I540" s="44" t="s">
        <v>971</v>
      </c>
      <c r="J540" s="44">
        <v>44279</v>
      </c>
      <c r="K540" s="91" t="s">
        <v>1041</v>
      </c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F540" s="27"/>
      <c r="AG540" s="27"/>
      <c r="AH540" s="27"/>
      <c r="AI540" s="27"/>
      <c r="AJ540" s="27"/>
      <c r="AK540" s="27"/>
      <c r="AL540" s="27"/>
      <c r="AM540" s="27"/>
      <c r="AN540" s="27"/>
      <c r="AO540" s="27"/>
      <c r="AP540" s="27"/>
      <c r="AQ540" s="27"/>
      <c r="AR540" s="27"/>
      <c r="AS540" s="27"/>
      <c r="AT540" s="27"/>
      <c r="AU540" s="27"/>
    </row>
    <row r="541" spans="1:47" ht="15.75" customHeight="1">
      <c r="A541" s="44">
        <v>44448</v>
      </c>
      <c r="B541" s="57" t="s">
        <v>1454</v>
      </c>
      <c r="C541" s="33" t="s">
        <v>1027</v>
      </c>
      <c r="D541" s="33" t="s">
        <v>1028</v>
      </c>
      <c r="E541" s="90">
        <v>130029.24</v>
      </c>
      <c r="F541" s="33" t="s">
        <v>1455</v>
      </c>
      <c r="G541" s="44" t="s">
        <v>977</v>
      </c>
      <c r="H541" s="44" t="s">
        <v>86</v>
      </c>
      <c r="I541" s="44" t="s">
        <v>977</v>
      </c>
      <c r="J541" s="44">
        <v>43441</v>
      </c>
      <c r="K541" s="91" t="s">
        <v>1030</v>
      </c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F541" s="27"/>
      <c r="AG541" s="27"/>
      <c r="AH541" s="27"/>
      <c r="AI541" s="27"/>
      <c r="AJ541" s="27"/>
      <c r="AK541" s="27"/>
      <c r="AL541" s="27"/>
      <c r="AM541" s="27"/>
      <c r="AN541" s="27"/>
      <c r="AO541" s="27"/>
      <c r="AP541" s="27"/>
      <c r="AQ541" s="27"/>
      <c r="AR541" s="27"/>
      <c r="AS541" s="27"/>
      <c r="AT541" s="27"/>
      <c r="AU541" s="27"/>
    </row>
    <row r="542" spans="1:47" ht="15.75" customHeight="1">
      <c r="A542" s="44">
        <v>44448</v>
      </c>
      <c r="B542" s="57" t="s">
        <v>1091</v>
      </c>
      <c r="C542" s="33" t="s">
        <v>1027</v>
      </c>
      <c r="D542" s="33" t="s">
        <v>1028</v>
      </c>
      <c r="E542" s="90">
        <v>555581.43999999994</v>
      </c>
      <c r="F542" s="33" t="s">
        <v>1092</v>
      </c>
      <c r="G542" s="44" t="s">
        <v>830</v>
      </c>
      <c r="H542" s="44" t="s">
        <v>86</v>
      </c>
      <c r="I542" s="44" t="s">
        <v>969</v>
      </c>
      <c r="J542" s="44">
        <v>43607</v>
      </c>
      <c r="K542" s="91" t="s">
        <v>1033</v>
      </c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F542" s="27"/>
      <c r="AG542" s="27"/>
      <c r="AH542" s="27"/>
      <c r="AI542" s="27"/>
      <c r="AJ542" s="27"/>
      <c r="AK542" s="27"/>
      <c r="AL542" s="27"/>
      <c r="AM542" s="27"/>
      <c r="AN542" s="27"/>
      <c r="AO542" s="27"/>
      <c r="AP542" s="27"/>
      <c r="AQ542" s="27"/>
      <c r="AR542" s="27"/>
      <c r="AS542" s="27"/>
      <c r="AT542" s="27"/>
      <c r="AU542" s="27"/>
    </row>
    <row r="543" spans="1:47" ht="15.75" customHeight="1">
      <c r="A543" s="45">
        <v>44448</v>
      </c>
      <c r="B543" s="64" t="s">
        <v>1456</v>
      </c>
      <c r="C543" s="46" t="s">
        <v>1027</v>
      </c>
      <c r="D543" s="33" t="s">
        <v>1037</v>
      </c>
      <c r="E543" s="90">
        <v>17000</v>
      </c>
      <c r="F543" s="33" t="s">
        <v>1457</v>
      </c>
      <c r="G543" s="44" t="s">
        <v>835</v>
      </c>
      <c r="H543" s="44" t="s">
        <v>1176</v>
      </c>
      <c r="I543" s="44" t="s">
        <v>973</v>
      </c>
      <c r="J543" s="44">
        <v>44263</v>
      </c>
      <c r="K543" s="91" t="s">
        <v>1054</v>
      </c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F543" s="27"/>
      <c r="AG543" s="27"/>
      <c r="AH543" s="27"/>
      <c r="AI543" s="27"/>
      <c r="AJ543" s="27"/>
      <c r="AK543" s="27"/>
      <c r="AL543" s="27"/>
      <c r="AM543" s="27"/>
      <c r="AN543" s="27"/>
      <c r="AO543" s="27"/>
      <c r="AP543" s="27"/>
      <c r="AQ543" s="27"/>
      <c r="AR543" s="27"/>
      <c r="AS543" s="27"/>
      <c r="AT543" s="27"/>
      <c r="AU543" s="27"/>
    </row>
    <row r="544" spans="1:47" ht="15.75" customHeight="1">
      <c r="A544" s="45">
        <v>44449</v>
      </c>
      <c r="B544" s="64" t="s">
        <v>1458</v>
      </c>
      <c r="C544" s="46" t="s">
        <v>1027</v>
      </c>
      <c r="D544" s="33" t="s">
        <v>1037</v>
      </c>
      <c r="E544" s="90">
        <v>2502500.1</v>
      </c>
      <c r="F544" s="33" t="s">
        <v>1459</v>
      </c>
      <c r="G544" s="44" t="s">
        <v>835</v>
      </c>
      <c r="H544" s="44" t="s">
        <v>1176</v>
      </c>
      <c r="I544" s="44" t="s">
        <v>973</v>
      </c>
      <c r="J544" s="44">
        <v>44266</v>
      </c>
      <c r="K544" s="91" t="s">
        <v>1122</v>
      </c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F544" s="27"/>
      <c r="AG544" s="27"/>
      <c r="AH544" s="27"/>
      <c r="AI544" s="27"/>
      <c r="AJ544" s="27"/>
      <c r="AK544" s="27"/>
      <c r="AL544" s="27"/>
      <c r="AM544" s="27"/>
      <c r="AN544" s="27"/>
      <c r="AO544" s="27"/>
      <c r="AP544" s="27"/>
      <c r="AQ544" s="27"/>
      <c r="AR544" s="27"/>
      <c r="AS544" s="27"/>
      <c r="AT544" s="27"/>
      <c r="AU544" s="27"/>
    </row>
    <row r="545" spans="1:47" ht="15.75" customHeight="1">
      <c r="A545" s="45">
        <v>44449</v>
      </c>
      <c r="B545" s="64" t="s">
        <v>1460</v>
      </c>
      <c r="C545" s="46" t="s">
        <v>48</v>
      </c>
      <c r="D545" s="33" t="s">
        <v>1062</v>
      </c>
      <c r="E545" s="90">
        <v>0</v>
      </c>
      <c r="F545" s="33" t="s">
        <v>1461</v>
      </c>
      <c r="G545" s="33" t="s">
        <v>830</v>
      </c>
      <c r="H545" s="33" t="s">
        <v>86</v>
      </c>
      <c r="I545" s="33" t="s">
        <v>830</v>
      </c>
      <c r="J545" s="44">
        <v>43869</v>
      </c>
      <c r="K545" s="92" t="s">
        <v>1041</v>
      </c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F545" s="27"/>
      <c r="AG545" s="27"/>
      <c r="AH545" s="27"/>
      <c r="AI545" s="27"/>
      <c r="AJ545" s="27"/>
      <c r="AK545" s="27"/>
      <c r="AL545" s="27"/>
      <c r="AM545" s="27"/>
      <c r="AN545" s="27"/>
      <c r="AO545" s="27"/>
      <c r="AP545" s="27"/>
      <c r="AQ545" s="27"/>
      <c r="AR545" s="27"/>
      <c r="AS545" s="27"/>
      <c r="AT545" s="27"/>
      <c r="AU545" s="27"/>
    </row>
    <row r="546" spans="1:47" ht="15.75" customHeight="1">
      <c r="A546" s="44">
        <v>44450</v>
      </c>
      <c r="B546" s="57" t="s">
        <v>1462</v>
      </c>
      <c r="C546" s="33" t="s">
        <v>48</v>
      </c>
      <c r="D546" s="33" t="s">
        <v>1028</v>
      </c>
      <c r="E546" s="90">
        <v>0</v>
      </c>
      <c r="F546" s="33" t="s">
        <v>1463</v>
      </c>
      <c r="G546" s="33" t="s">
        <v>835</v>
      </c>
      <c r="H546" s="33" t="s">
        <v>86</v>
      </c>
      <c r="I546" s="33" t="s">
        <v>839</v>
      </c>
      <c r="J546" s="44">
        <v>44203</v>
      </c>
      <c r="K546" s="92" t="s">
        <v>1041</v>
      </c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F546" s="27"/>
      <c r="AG546" s="27"/>
      <c r="AH546" s="27"/>
      <c r="AI546" s="27"/>
      <c r="AJ546" s="27"/>
      <c r="AK546" s="27"/>
      <c r="AL546" s="27"/>
      <c r="AM546" s="27"/>
      <c r="AN546" s="27"/>
      <c r="AO546" s="27"/>
      <c r="AP546" s="27"/>
      <c r="AQ546" s="27"/>
      <c r="AR546" s="27"/>
      <c r="AS546" s="27"/>
      <c r="AT546" s="27"/>
      <c r="AU546" s="27"/>
    </row>
    <row r="547" spans="1:47" ht="15.75" customHeight="1">
      <c r="A547" s="44">
        <v>44450</v>
      </c>
      <c r="B547" s="57" t="s">
        <v>1464</v>
      </c>
      <c r="C547" s="33" t="s">
        <v>48</v>
      </c>
      <c r="D547" s="33" t="s">
        <v>1028</v>
      </c>
      <c r="E547" s="90">
        <v>0</v>
      </c>
      <c r="F547" s="33" t="s">
        <v>1463</v>
      </c>
      <c r="G547" s="33" t="s">
        <v>835</v>
      </c>
      <c r="H547" s="33" t="s">
        <v>86</v>
      </c>
      <c r="I547" s="33" t="s">
        <v>839</v>
      </c>
      <c r="J547" s="44">
        <v>44203</v>
      </c>
      <c r="K547" s="92" t="s">
        <v>1438</v>
      </c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F547" s="27"/>
      <c r="AG547" s="27"/>
      <c r="AH547" s="27"/>
      <c r="AI547" s="27"/>
      <c r="AJ547" s="27"/>
      <c r="AK547" s="27"/>
      <c r="AL547" s="27"/>
      <c r="AM547" s="27"/>
      <c r="AN547" s="27"/>
      <c r="AO547" s="27"/>
      <c r="AP547" s="27"/>
      <c r="AQ547" s="27"/>
      <c r="AR547" s="27"/>
      <c r="AS547" s="27"/>
      <c r="AT547" s="27"/>
      <c r="AU547" s="27"/>
    </row>
    <row r="548" spans="1:47" ht="15.75" customHeight="1">
      <c r="A548" s="45">
        <v>44452</v>
      </c>
      <c r="B548" s="64" t="s">
        <v>1465</v>
      </c>
      <c r="C548" s="46" t="s">
        <v>48</v>
      </c>
      <c r="D548" s="33" t="s">
        <v>1037</v>
      </c>
      <c r="E548" s="47">
        <v>4000</v>
      </c>
      <c r="F548" s="33" t="s">
        <v>1466</v>
      </c>
      <c r="G548" s="33" t="s">
        <v>904</v>
      </c>
      <c r="H548" s="33" t="s">
        <v>86</v>
      </c>
      <c r="I548" s="33" t="s">
        <v>849</v>
      </c>
      <c r="J548" s="44">
        <v>44362</v>
      </c>
      <c r="K548" s="92" t="s">
        <v>1054</v>
      </c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F548" s="27"/>
      <c r="AG548" s="27"/>
      <c r="AH548" s="27"/>
      <c r="AI548" s="27"/>
      <c r="AJ548" s="27"/>
      <c r="AK548" s="27"/>
      <c r="AL548" s="27"/>
      <c r="AM548" s="27"/>
      <c r="AN548" s="27"/>
      <c r="AO548" s="27"/>
      <c r="AP548" s="27"/>
      <c r="AQ548" s="27"/>
      <c r="AR548" s="27"/>
      <c r="AS548" s="27"/>
      <c r="AT548" s="27"/>
      <c r="AU548" s="27"/>
    </row>
    <row r="549" spans="1:47" ht="15.75" customHeight="1">
      <c r="A549" s="45">
        <v>44452</v>
      </c>
      <c r="B549" s="64" t="s">
        <v>1177</v>
      </c>
      <c r="C549" s="46" t="s">
        <v>1027</v>
      </c>
      <c r="D549" s="33" t="s">
        <v>1037</v>
      </c>
      <c r="E549" s="47">
        <v>20000</v>
      </c>
      <c r="F549" s="33" t="s">
        <v>1178</v>
      </c>
      <c r="G549" s="44" t="s">
        <v>835</v>
      </c>
      <c r="H549" s="44" t="s">
        <v>1176</v>
      </c>
      <c r="I549" s="44" t="s">
        <v>973</v>
      </c>
      <c r="J549" s="44">
        <v>44295</v>
      </c>
      <c r="K549" s="91" t="s">
        <v>1179</v>
      </c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F549" s="27"/>
      <c r="AG549" s="27"/>
      <c r="AH549" s="27"/>
      <c r="AI549" s="27"/>
      <c r="AJ549" s="27"/>
      <c r="AK549" s="27"/>
      <c r="AL549" s="27"/>
      <c r="AM549" s="27"/>
      <c r="AN549" s="27"/>
      <c r="AO549" s="27"/>
      <c r="AP549" s="27"/>
      <c r="AQ549" s="27"/>
      <c r="AR549" s="27"/>
      <c r="AS549" s="27"/>
      <c r="AT549" s="27"/>
      <c r="AU549" s="27"/>
    </row>
    <row r="550" spans="1:47" ht="15.75" customHeight="1">
      <c r="A550" s="45">
        <v>44452</v>
      </c>
      <c r="B550" s="64" t="s">
        <v>1308</v>
      </c>
      <c r="C550" s="46" t="s">
        <v>1027</v>
      </c>
      <c r="D550" s="33" t="s">
        <v>1037</v>
      </c>
      <c r="E550" s="47">
        <v>5000</v>
      </c>
      <c r="F550" s="33" t="s">
        <v>1309</v>
      </c>
      <c r="G550" s="44" t="s">
        <v>835</v>
      </c>
      <c r="H550" s="44" t="s">
        <v>1176</v>
      </c>
      <c r="I550" s="44" t="s">
        <v>971</v>
      </c>
      <c r="J550" s="44">
        <v>44319</v>
      </c>
      <c r="K550" s="91" t="s">
        <v>1041</v>
      </c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F550" s="27"/>
      <c r="AG550" s="27"/>
      <c r="AH550" s="27"/>
      <c r="AI550" s="27"/>
      <c r="AJ550" s="27"/>
      <c r="AK550" s="27"/>
      <c r="AL550" s="27"/>
      <c r="AM550" s="27"/>
      <c r="AN550" s="27"/>
      <c r="AO550" s="27"/>
      <c r="AP550" s="27"/>
      <c r="AQ550" s="27"/>
      <c r="AR550" s="27"/>
      <c r="AS550" s="27"/>
      <c r="AT550" s="27"/>
      <c r="AU550" s="27"/>
    </row>
    <row r="551" spans="1:47" ht="15.75" customHeight="1">
      <c r="A551" s="44">
        <v>44452</v>
      </c>
      <c r="B551" s="57" t="s">
        <v>1467</v>
      </c>
      <c r="C551" s="33" t="s">
        <v>48</v>
      </c>
      <c r="D551" s="33" t="s">
        <v>1028</v>
      </c>
      <c r="E551" s="90">
        <v>0</v>
      </c>
      <c r="F551" s="33" t="s">
        <v>1468</v>
      </c>
      <c r="G551" s="33" t="s">
        <v>890</v>
      </c>
      <c r="H551" s="33" t="s">
        <v>86</v>
      </c>
      <c r="I551" s="33" t="s">
        <v>904</v>
      </c>
      <c r="J551" s="44">
        <v>44250</v>
      </c>
      <c r="K551" s="92" t="s">
        <v>1438</v>
      </c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F551" s="27"/>
      <c r="AG551" s="27"/>
      <c r="AH551" s="27"/>
      <c r="AI551" s="27"/>
      <c r="AJ551" s="27"/>
      <c r="AK551" s="27"/>
      <c r="AL551" s="27"/>
      <c r="AM551" s="27"/>
      <c r="AN551" s="27"/>
      <c r="AO551" s="27"/>
      <c r="AP551" s="27"/>
      <c r="AQ551" s="27"/>
      <c r="AR551" s="27"/>
      <c r="AS551" s="27"/>
      <c r="AT551" s="27"/>
      <c r="AU551" s="27"/>
    </row>
    <row r="552" spans="1:47" ht="15.75" customHeight="1">
      <c r="A552" s="44">
        <v>44452</v>
      </c>
      <c r="B552" s="57" t="s">
        <v>1469</v>
      </c>
      <c r="C552" s="33" t="s">
        <v>48</v>
      </c>
      <c r="D552" s="33" t="s">
        <v>1028</v>
      </c>
      <c r="E552" s="90">
        <v>0</v>
      </c>
      <c r="F552" s="33" t="s">
        <v>1470</v>
      </c>
      <c r="G552" s="33" t="s">
        <v>835</v>
      </c>
      <c r="H552" s="33" t="s">
        <v>86</v>
      </c>
      <c r="I552" s="33" t="s">
        <v>839</v>
      </c>
      <c r="J552" s="44">
        <v>44120</v>
      </c>
      <c r="K552" s="92" t="s">
        <v>1041</v>
      </c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F552" s="27"/>
      <c r="AG552" s="27"/>
      <c r="AH552" s="27"/>
      <c r="AI552" s="27"/>
      <c r="AJ552" s="27"/>
      <c r="AK552" s="27"/>
      <c r="AL552" s="27"/>
      <c r="AM552" s="27"/>
      <c r="AN552" s="27"/>
      <c r="AO552" s="27"/>
      <c r="AP552" s="27"/>
      <c r="AQ552" s="27"/>
      <c r="AR552" s="27"/>
      <c r="AS552" s="27"/>
      <c r="AT552" s="27"/>
      <c r="AU552" s="27"/>
    </row>
    <row r="553" spans="1:47" ht="15.75" customHeight="1">
      <c r="A553" s="45">
        <v>44453</v>
      </c>
      <c r="B553" s="64" t="s">
        <v>1302</v>
      </c>
      <c r="C553" s="46" t="s">
        <v>1027</v>
      </c>
      <c r="D553" s="33" t="s">
        <v>1037</v>
      </c>
      <c r="E553" s="47">
        <v>10000</v>
      </c>
      <c r="F553" s="33" t="s">
        <v>1303</v>
      </c>
      <c r="G553" s="44" t="s">
        <v>835</v>
      </c>
      <c r="H553" s="44" t="s">
        <v>1176</v>
      </c>
      <c r="I553" s="44" t="s">
        <v>971</v>
      </c>
      <c r="J553" s="44">
        <v>44295</v>
      </c>
      <c r="K553" s="91" t="s">
        <v>1122</v>
      </c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F553" s="27"/>
      <c r="AG553" s="27"/>
      <c r="AH553" s="27"/>
      <c r="AI553" s="27"/>
      <c r="AJ553" s="27"/>
      <c r="AK553" s="27"/>
      <c r="AL553" s="27"/>
      <c r="AM553" s="27"/>
      <c r="AN553" s="27"/>
      <c r="AO553" s="27"/>
      <c r="AP553" s="27"/>
      <c r="AQ553" s="27"/>
      <c r="AR553" s="27"/>
      <c r="AS553" s="27"/>
      <c r="AT553" s="27"/>
      <c r="AU553" s="27"/>
    </row>
    <row r="554" spans="1:47" ht="15.75" customHeight="1">
      <c r="A554" s="45">
        <v>44453</v>
      </c>
      <c r="B554" s="64" t="s">
        <v>1452</v>
      </c>
      <c r="C554" s="46" t="s">
        <v>1027</v>
      </c>
      <c r="D554" s="33" t="s">
        <v>1037</v>
      </c>
      <c r="E554" s="47">
        <v>300000</v>
      </c>
      <c r="F554" s="33" t="s">
        <v>1453</v>
      </c>
      <c r="G554" s="44" t="s">
        <v>977</v>
      </c>
      <c r="H554" s="44" t="s">
        <v>86</v>
      </c>
      <c r="I554" s="44" t="s">
        <v>977</v>
      </c>
      <c r="J554" s="44">
        <v>44021</v>
      </c>
      <c r="K554" s="91" t="s">
        <v>1041</v>
      </c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F554" s="27"/>
      <c r="AG554" s="27"/>
      <c r="AH554" s="27"/>
      <c r="AI554" s="27"/>
      <c r="AJ554" s="27"/>
      <c r="AK554" s="27"/>
      <c r="AL554" s="27"/>
      <c r="AM554" s="27"/>
      <c r="AN554" s="27"/>
      <c r="AO554" s="27"/>
      <c r="AP554" s="27"/>
      <c r="AQ554" s="27"/>
      <c r="AR554" s="27"/>
      <c r="AS554" s="27"/>
      <c r="AT554" s="27"/>
      <c r="AU554" s="27"/>
    </row>
    <row r="555" spans="1:47" ht="15.75" customHeight="1">
      <c r="A555" s="44">
        <v>44453</v>
      </c>
      <c r="B555" s="57" t="s">
        <v>1471</v>
      </c>
      <c r="C555" s="33" t="s">
        <v>48</v>
      </c>
      <c r="D555" s="33" t="s">
        <v>1028</v>
      </c>
      <c r="E555" s="90">
        <v>0</v>
      </c>
      <c r="F555" s="33" t="s">
        <v>1472</v>
      </c>
      <c r="G555" s="33" t="s">
        <v>835</v>
      </c>
      <c r="H555" s="33" t="s">
        <v>86</v>
      </c>
      <c r="I555" s="33" t="s">
        <v>839</v>
      </c>
      <c r="J555" s="44">
        <v>44202</v>
      </c>
      <c r="K555" s="92" t="s">
        <v>1041</v>
      </c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F555" s="27"/>
      <c r="AG555" s="27"/>
      <c r="AH555" s="27"/>
      <c r="AI555" s="27"/>
      <c r="AJ555" s="27"/>
      <c r="AK555" s="27"/>
      <c r="AL555" s="27"/>
      <c r="AM555" s="27"/>
      <c r="AN555" s="27"/>
      <c r="AO555" s="27"/>
      <c r="AP555" s="27"/>
      <c r="AQ555" s="27"/>
      <c r="AR555" s="27"/>
      <c r="AS555" s="27"/>
      <c r="AT555" s="27"/>
      <c r="AU555" s="27"/>
    </row>
    <row r="556" spans="1:47" ht="15.75" customHeight="1">
      <c r="A556" s="45">
        <v>44455</v>
      </c>
      <c r="B556" s="57" t="s">
        <v>1473</v>
      </c>
      <c r="C556" s="46" t="s">
        <v>48</v>
      </c>
      <c r="D556" s="33" t="s">
        <v>1037</v>
      </c>
      <c r="E556" s="47">
        <v>135728.28</v>
      </c>
      <c r="F556" s="33" t="s">
        <v>1474</v>
      </c>
      <c r="G556" s="33" t="s">
        <v>835</v>
      </c>
      <c r="H556" s="33" t="s">
        <v>1299</v>
      </c>
      <c r="I556" s="33" t="s">
        <v>886</v>
      </c>
      <c r="J556" s="44">
        <v>44204</v>
      </c>
      <c r="K556" s="92" t="s">
        <v>1041</v>
      </c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F556" s="27"/>
      <c r="AG556" s="27"/>
      <c r="AH556" s="27"/>
      <c r="AI556" s="27"/>
      <c r="AJ556" s="27"/>
      <c r="AK556" s="27"/>
      <c r="AL556" s="27"/>
      <c r="AM556" s="27"/>
      <c r="AN556" s="27"/>
      <c r="AO556" s="27"/>
      <c r="AP556" s="27"/>
      <c r="AQ556" s="27"/>
      <c r="AR556" s="27"/>
      <c r="AS556" s="27"/>
      <c r="AT556" s="27"/>
      <c r="AU556" s="27"/>
    </row>
    <row r="557" spans="1:47" ht="15.75" customHeight="1">
      <c r="A557" s="44">
        <v>44455</v>
      </c>
      <c r="B557" s="57" t="s">
        <v>1475</v>
      </c>
      <c r="C557" s="33" t="s">
        <v>1027</v>
      </c>
      <c r="D557" s="33" t="s">
        <v>1028</v>
      </c>
      <c r="E557" s="94">
        <v>107666.91</v>
      </c>
      <c r="F557" s="33" t="s">
        <v>1476</v>
      </c>
      <c r="G557" s="44" t="s">
        <v>830</v>
      </c>
      <c r="H557" s="44" t="s">
        <v>86</v>
      </c>
      <c r="I557" s="44" t="s">
        <v>878</v>
      </c>
      <c r="J557" s="44">
        <v>43843</v>
      </c>
      <c r="K557" s="91" t="s">
        <v>1054</v>
      </c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F557" s="27"/>
      <c r="AG557" s="27"/>
      <c r="AH557" s="27"/>
      <c r="AI557" s="27"/>
      <c r="AJ557" s="27"/>
      <c r="AK557" s="27"/>
      <c r="AL557" s="27"/>
      <c r="AM557" s="27"/>
      <c r="AN557" s="27"/>
      <c r="AO557" s="27"/>
      <c r="AP557" s="27"/>
      <c r="AQ557" s="27"/>
      <c r="AR557" s="27"/>
      <c r="AS557" s="27"/>
      <c r="AT557" s="27"/>
      <c r="AU557" s="27"/>
    </row>
    <row r="558" spans="1:47" ht="15.75" customHeight="1">
      <c r="A558" s="44">
        <v>44455</v>
      </c>
      <c r="B558" s="64" t="s">
        <v>1477</v>
      </c>
      <c r="C558" s="33" t="s">
        <v>48</v>
      </c>
      <c r="D558" s="33" t="s">
        <v>1028</v>
      </c>
      <c r="E558" s="90">
        <v>0</v>
      </c>
      <c r="F558" s="33" t="s">
        <v>1478</v>
      </c>
      <c r="G558" s="33" t="s">
        <v>835</v>
      </c>
      <c r="H558" s="33" t="s">
        <v>86</v>
      </c>
      <c r="I558" s="33" t="s">
        <v>839</v>
      </c>
      <c r="J558" s="44">
        <v>44384</v>
      </c>
      <c r="K558" s="92" t="s">
        <v>1179</v>
      </c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F558" s="27"/>
      <c r="AG558" s="27"/>
      <c r="AH558" s="27"/>
      <c r="AI558" s="27"/>
      <c r="AJ558" s="27"/>
      <c r="AK558" s="27"/>
      <c r="AL558" s="27"/>
      <c r="AM558" s="27"/>
      <c r="AN558" s="27"/>
      <c r="AO558" s="27"/>
      <c r="AP558" s="27"/>
      <c r="AQ558" s="27"/>
      <c r="AR558" s="27"/>
      <c r="AS558" s="27"/>
      <c r="AT558" s="27"/>
      <c r="AU558" s="27"/>
    </row>
    <row r="559" spans="1:47" ht="15.75" customHeight="1">
      <c r="A559" s="45">
        <v>44456</v>
      </c>
      <c r="B559" s="64" t="s">
        <v>1048</v>
      </c>
      <c r="C559" s="46" t="s">
        <v>1027</v>
      </c>
      <c r="D559" s="33" t="s">
        <v>1037</v>
      </c>
      <c r="E559" s="47">
        <v>7500</v>
      </c>
      <c r="F559" s="33" t="s">
        <v>1049</v>
      </c>
      <c r="G559" s="44" t="s">
        <v>830</v>
      </c>
      <c r="H559" s="44" t="s">
        <v>86</v>
      </c>
      <c r="I559" s="44" t="s">
        <v>878</v>
      </c>
      <c r="J559" s="44">
        <v>43703</v>
      </c>
      <c r="K559" s="91" t="s">
        <v>1033</v>
      </c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F559" s="27"/>
      <c r="AG559" s="27"/>
      <c r="AH559" s="27"/>
      <c r="AI559" s="27"/>
      <c r="AJ559" s="27"/>
      <c r="AK559" s="27"/>
      <c r="AL559" s="27"/>
      <c r="AM559" s="27"/>
      <c r="AN559" s="27"/>
      <c r="AO559" s="27"/>
      <c r="AP559" s="27"/>
      <c r="AQ559" s="27"/>
      <c r="AR559" s="27"/>
      <c r="AS559" s="27"/>
      <c r="AT559" s="27"/>
      <c r="AU559" s="27"/>
    </row>
    <row r="560" spans="1:47" ht="15.75" customHeight="1">
      <c r="A560" s="44">
        <v>44456</v>
      </c>
      <c r="B560" s="57" t="s">
        <v>1479</v>
      </c>
      <c r="C560" s="33" t="s">
        <v>48</v>
      </c>
      <c r="D560" s="33" t="s">
        <v>1028</v>
      </c>
      <c r="E560" s="90">
        <v>0</v>
      </c>
      <c r="F560" s="33" t="s">
        <v>1480</v>
      </c>
      <c r="G560" s="33" t="s">
        <v>835</v>
      </c>
      <c r="H560" s="33" t="s">
        <v>86</v>
      </c>
      <c r="I560" s="33" t="s">
        <v>839</v>
      </c>
      <c r="J560" s="44">
        <v>44186</v>
      </c>
      <c r="K560" s="92" t="s">
        <v>1041</v>
      </c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F560" s="27"/>
      <c r="AG560" s="27"/>
      <c r="AH560" s="27"/>
      <c r="AI560" s="27"/>
      <c r="AJ560" s="27"/>
      <c r="AK560" s="27"/>
      <c r="AL560" s="27"/>
      <c r="AM560" s="27"/>
      <c r="AN560" s="27"/>
      <c r="AO560" s="27"/>
      <c r="AP560" s="27"/>
      <c r="AQ560" s="27"/>
      <c r="AR560" s="27"/>
      <c r="AS560" s="27"/>
      <c r="AT560" s="27"/>
      <c r="AU560" s="27"/>
    </row>
    <row r="561" spans="1:47" ht="15.75" customHeight="1">
      <c r="A561" s="44">
        <v>44456</v>
      </c>
      <c r="B561" s="57" t="s">
        <v>1481</v>
      </c>
      <c r="C561" s="33" t="s">
        <v>48</v>
      </c>
      <c r="D561" s="33" t="s">
        <v>1028</v>
      </c>
      <c r="E561" s="90">
        <v>0</v>
      </c>
      <c r="F561" s="33" t="s">
        <v>1482</v>
      </c>
      <c r="G561" s="33" t="s">
        <v>835</v>
      </c>
      <c r="H561" s="33" t="s">
        <v>86</v>
      </c>
      <c r="I561" s="33" t="s">
        <v>839</v>
      </c>
      <c r="J561" s="44">
        <v>44456</v>
      </c>
      <c r="K561" s="92" t="s">
        <v>1438</v>
      </c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F561" s="27"/>
      <c r="AG561" s="27"/>
      <c r="AH561" s="27"/>
      <c r="AI561" s="27"/>
      <c r="AJ561" s="27"/>
      <c r="AK561" s="27"/>
      <c r="AL561" s="27"/>
      <c r="AM561" s="27"/>
      <c r="AN561" s="27"/>
      <c r="AO561" s="27"/>
      <c r="AP561" s="27"/>
      <c r="AQ561" s="27"/>
      <c r="AR561" s="27"/>
      <c r="AS561" s="27"/>
      <c r="AT561" s="27"/>
      <c r="AU561" s="27"/>
    </row>
    <row r="562" spans="1:47" ht="15.75" customHeight="1">
      <c r="A562" s="45">
        <v>44459</v>
      </c>
      <c r="B562" s="64" t="s">
        <v>1347</v>
      </c>
      <c r="C562" s="46" t="s">
        <v>1027</v>
      </c>
      <c r="D562" s="33" t="s">
        <v>1037</v>
      </c>
      <c r="E562" s="39">
        <v>159337.69</v>
      </c>
      <c r="F562" s="33" t="s">
        <v>1348</v>
      </c>
      <c r="G562" s="44" t="s">
        <v>835</v>
      </c>
      <c r="H562" s="44" t="s">
        <v>1176</v>
      </c>
      <c r="I562" s="44" t="s">
        <v>973</v>
      </c>
      <c r="J562" s="44">
        <v>44280</v>
      </c>
      <c r="K562" s="91" t="s">
        <v>1179</v>
      </c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F562" s="27"/>
      <c r="AG562" s="27"/>
      <c r="AH562" s="27"/>
      <c r="AI562" s="27"/>
      <c r="AJ562" s="27"/>
      <c r="AK562" s="27"/>
      <c r="AL562" s="27"/>
      <c r="AM562" s="27"/>
      <c r="AN562" s="27"/>
      <c r="AO562" s="27"/>
      <c r="AP562" s="27"/>
      <c r="AQ562" s="27"/>
      <c r="AR562" s="27"/>
      <c r="AS562" s="27"/>
      <c r="AT562" s="27"/>
      <c r="AU562" s="27"/>
    </row>
    <row r="563" spans="1:47" ht="15.75" customHeight="1">
      <c r="A563" s="45">
        <v>44459</v>
      </c>
      <c r="B563" s="64" t="s">
        <v>1483</v>
      </c>
      <c r="C563" s="46" t="s">
        <v>1027</v>
      </c>
      <c r="D563" s="33" t="s">
        <v>1037</v>
      </c>
      <c r="E563" s="47">
        <v>20000</v>
      </c>
      <c r="F563" s="33" t="s">
        <v>1484</v>
      </c>
      <c r="G563" s="44" t="s">
        <v>835</v>
      </c>
      <c r="H563" s="44" t="s">
        <v>1176</v>
      </c>
      <c r="I563" s="44" t="s">
        <v>971</v>
      </c>
      <c r="J563" s="44">
        <v>44319</v>
      </c>
      <c r="K563" s="91" t="s">
        <v>1122</v>
      </c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F563" s="27"/>
      <c r="AG563" s="27"/>
      <c r="AH563" s="27"/>
      <c r="AI563" s="27"/>
      <c r="AJ563" s="27"/>
      <c r="AK563" s="27"/>
      <c r="AL563" s="27"/>
      <c r="AM563" s="27"/>
      <c r="AN563" s="27"/>
      <c r="AO563" s="27"/>
      <c r="AP563" s="27"/>
      <c r="AQ563" s="27"/>
      <c r="AR563" s="27"/>
      <c r="AS563" s="27"/>
      <c r="AT563" s="27"/>
      <c r="AU563" s="27"/>
    </row>
    <row r="564" spans="1:47" ht="15.75" customHeight="1">
      <c r="A564" s="45">
        <v>44459</v>
      </c>
      <c r="B564" s="64" t="s">
        <v>1316</v>
      </c>
      <c r="C564" s="46" t="s">
        <v>1027</v>
      </c>
      <c r="D564" s="33" t="s">
        <v>1037</v>
      </c>
      <c r="E564" s="47">
        <v>271802.71999999997</v>
      </c>
      <c r="F564" s="33" t="s">
        <v>1317</v>
      </c>
      <c r="G564" s="44" t="s">
        <v>835</v>
      </c>
      <c r="H564" s="44" t="s">
        <v>1176</v>
      </c>
      <c r="I564" s="44" t="s">
        <v>973</v>
      </c>
      <c r="J564" s="44">
        <v>44328</v>
      </c>
      <c r="K564" s="91" t="s">
        <v>1041</v>
      </c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F564" s="27"/>
      <c r="AG564" s="27"/>
      <c r="AH564" s="27"/>
      <c r="AI564" s="27"/>
      <c r="AJ564" s="27"/>
      <c r="AK564" s="27"/>
      <c r="AL564" s="27"/>
      <c r="AM564" s="27"/>
      <c r="AN564" s="27"/>
      <c r="AO564" s="27"/>
      <c r="AP564" s="27"/>
      <c r="AQ564" s="27"/>
      <c r="AR564" s="27"/>
      <c r="AS564" s="27"/>
      <c r="AT564" s="27"/>
      <c r="AU564" s="27"/>
    </row>
    <row r="565" spans="1:47" ht="15.75" customHeight="1">
      <c r="A565" s="44">
        <v>44459</v>
      </c>
      <c r="B565" s="64" t="s">
        <v>1386</v>
      </c>
      <c r="C565" s="33" t="s">
        <v>48</v>
      </c>
      <c r="D565" s="33" t="s">
        <v>1028</v>
      </c>
      <c r="E565" s="90">
        <v>0</v>
      </c>
      <c r="F565" s="33" t="s">
        <v>1387</v>
      </c>
      <c r="G565" s="33" t="s">
        <v>835</v>
      </c>
      <c r="H565" s="33" t="s">
        <v>86</v>
      </c>
      <c r="I565" s="33" t="s">
        <v>847</v>
      </c>
      <c r="J565" s="44"/>
      <c r="K565" s="92" t="s">
        <v>1030</v>
      </c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F565" s="27"/>
      <c r="AG565" s="27"/>
      <c r="AH565" s="27"/>
      <c r="AI565" s="27"/>
      <c r="AJ565" s="27"/>
      <c r="AK565" s="27"/>
      <c r="AL565" s="27"/>
      <c r="AM565" s="27"/>
      <c r="AN565" s="27"/>
      <c r="AO565" s="27"/>
      <c r="AP565" s="27"/>
      <c r="AQ565" s="27"/>
      <c r="AR565" s="27"/>
      <c r="AS565" s="27"/>
      <c r="AT565" s="27"/>
      <c r="AU565" s="27"/>
    </row>
    <row r="566" spans="1:47" ht="15.75" customHeight="1">
      <c r="A566" s="45">
        <v>44460</v>
      </c>
      <c r="B566" s="64" t="s">
        <v>1458</v>
      </c>
      <c r="C566" s="46" t="s">
        <v>1027</v>
      </c>
      <c r="D566" s="33" t="s">
        <v>1037</v>
      </c>
      <c r="E566" s="47">
        <v>100000</v>
      </c>
      <c r="F566" s="33" t="s">
        <v>1459</v>
      </c>
      <c r="G566" s="44" t="s">
        <v>835</v>
      </c>
      <c r="H566" s="44" t="s">
        <v>1176</v>
      </c>
      <c r="I566" s="44" t="s">
        <v>973</v>
      </c>
      <c r="J566" s="44">
        <v>44266</v>
      </c>
      <c r="K566" s="91" t="s">
        <v>1122</v>
      </c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F566" s="27"/>
      <c r="AG566" s="27"/>
      <c r="AH566" s="27"/>
      <c r="AI566" s="27"/>
      <c r="AJ566" s="27"/>
      <c r="AK566" s="27"/>
      <c r="AL566" s="27"/>
      <c r="AM566" s="27"/>
      <c r="AN566" s="27"/>
      <c r="AO566" s="27"/>
      <c r="AP566" s="27"/>
      <c r="AQ566" s="27"/>
      <c r="AR566" s="27"/>
      <c r="AS566" s="27"/>
      <c r="AT566" s="27"/>
      <c r="AU566" s="27"/>
    </row>
    <row r="567" spans="1:47" ht="15.75" customHeight="1">
      <c r="A567" s="45">
        <v>44460</v>
      </c>
      <c r="B567" s="57" t="s">
        <v>1485</v>
      </c>
      <c r="C567" s="46" t="s">
        <v>48</v>
      </c>
      <c r="D567" s="33" t="s">
        <v>1062</v>
      </c>
      <c r="E567" s="90">
        <v>157308.25</v>
      </c>
      <c r="F567" s="33" t="s">
        <v>1486</v>
      </c>
      <c r="G567" s="33" t="s">
        <v>830</v>
      </c>
      <c r="H567" s="33" t="s">
        <v>86</v>
      </c>
      <c r="I567" s="33" t="s">
        <v>830</v>
      </c>
      <c r="J567" s="44">
        <v>44250</v>
      </c>
      <c r="K567" s="92" t="s">
        <v>1041</v>
      </c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F567" s="27"/>
      <c r="AG567" s="27"/>
      <c r="AH567" s="27"/>
      <c r="AI567" s="27"/>
      <c r="AJ567" s="27"/>
      <c r="AK567" s="27"/>
      <c r="AL567" s="27"/>
      <c r="AM567" s="27"/>
      <c r="AN567" s="27"/>
      <c r="AO567" s="27"/>
      <c r="AP567" s="27"/>
      <c r="AQ567" s="27"/>
      <c r="AR567" s="27"/>
      <c r="AS567" s="27"/>
      <c r="AT567" s="27"/>
      <c r="AU567" s="27"/>
    </row>
    <row r="568" spans="1:47" ht="15.75" customHeight="1">
      <c r="A568" s="44">
        <v>44460</v>
      </c>
      <c r="B568" s="57" t="s">
        <v>1487</v>
      </c>
      <c r="C568" s="33" t="s">
        <v>48</v>
      </c>
      <c r="D568" s="33" t="s">
        <v>1028</v>
      </c>
      <c r="E568" s="90">
        <v>0</v>
      </c>
      <c r="F568" s="33" t="s">
        <v>1488</v>
      </c>
      <c r="G568" s="33" t="s">
        <v>835</v>
      </c>
      <c r="H568" s="33" t="s">
        <v>86</v>
      </c>
      <c r="I568" s="33" t="s">
        <v>839</v>
      </c>
      <c r="J568" s="44">
        <v>44088</v>
      </c>
      <c r="K568" s="92" t="s">
        <v>1030</v>
      </c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F568" s="27"/>
      <c r="AG568" s="27"/>
      <c r="AH568" s="27"/>
      <c r="AI568" s="27"/>
      <c r="AJ568" s="27"/>
      <c r="AK568" s="27"/>
      <c r="AL568" s="27"/>
      <c r="AM568" s="27"/>
      <c r="AN568" s="27"/>
      <c r="AO568" s="27"/>
      <c r="AP568" s="27"/>
      <c r="AQ568" s="27"/>
      <c r="AR568" s="27"/>
      <c r="AS568" s="27"/>
      <c r="AT568" s="27"/>
      <c r="AU568" s="27"/>
    </row>
    <row r="569" spans="1:47" ht="15.75" customHeight="1">
      <c r="A569" s="45">
        <v>44461</v>
      </c>
      <c r="B569" s="64" t="s">
        <v>1120</v>
      </c>
      <c r="C569" s="46" t="s">
        <v>1076</v>
      </c>
      <c r="D569" s="33" t="s">
        <v>1037</v>
      </c>
      <c r="E569" s="47">
        <v>50000</v>
      </c>
      <c r="F569" s="33" t="s">
        <v>1121</v>
      </c>
      <c r="G569" s="44" t="s">
        <v>835</v>
      </c>
      <c r="H569" s="44" t="s">
        <v>86</v>
      </c>
      <c r="I569" s="44" t="s">
        <v>920</v>
      </c>
      <c r="J569" s="44">
        <v>43934</v>
      </c>
      <c r="K569" s="91" t="s">
        <v>1122</v>
      </c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F569" s="27"/>
      <c r="AG569" s="27"/>
      <c r="AH569" s="27"/>
      <c r="AI569" s="27"/>
      <c r="AJ569" s="27"/>
      <c r="AK569" s="27"/>
      <c r="AL569" s="27"/>
      <c r="AM569" s="27"/>
      <c r="AN569" s="27"/>
      <c r="AO569" s="27"/>
      <c r="AP569" s="27"/>
      <c r="AQ569" s="27"/>
      <c r="AR569" s="27"/>
      <c r="AS569" s="27"/>
      <c r="AT569" s="27"/>
      <c r="AU569" s="27"/>
    </row>
    <row r="570" spans="1:47" ht="15.75" customHeight="1">
      <c r="A570" s="45">
        <v>44461</v>
      </c>
      <c r="B570" s="64" t="s">
        <v>1489</v>
      </c>
      <c r="C570" s="46" t="s">
        <v>1027</v>
      </c>
      <c r="D570" s="33" t="s">
        <v>1037</v>
      </c>
      <c r="E570" s="47">
        <v>30000</v>
      </c>
      <c r="F570" s="33" t="s">
        <v>1490</v>
      </c>
      <c r="G570" s="44" t="s">
        <v>835</v>
      </c>
      <c r="H570" s="44" t="s">
        <v>1176</v>
      </c>
      <c r="I570" s="44" t="s">
        <v>973</v>
      </c>
      <c r="J570" s="44">
        <v>44319</v>
      </c>
      <c r="K570" s="91" t="s">
        <v>1041</v>
      </c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F570" s="27"/>
      <c r="AG570" s="27"/>
      <c r="AH570" s="27"/>
      <c r="AI570" s="27"/>
      <c r="AJ570" s="27"/>
      <c r="AK570" s="27"/>
      <c r="AL570" s="27"/>
      <c r="AM570" s="27"/>
      <c r="AN570" s="27"/>
      <c r="AO570" s="27"/>
      <c r="AP570" s="27"/>
      <c r="AQ570" s="27"/>
      <c r="AR570" s="27"/>
      <c r="AS570" s="27"/>
      <c r="AT570" s="27"/>
      <c r="AU570" s="27"/>
    </row>
    <row r="571" spans="1:47" ht="15.75" customHeight="1">
      <c r="A571" s="45">
        <v>44462</v>
      </c>
      <c r="B571" s="57" t="s">
        <v>1240</v>
      </c>
      <c r="C571" s="46" t="s">
        <v>48</v>
      </c>
      <c r="D571" s="33" t="s">
        <v>1037</v>
      </c>
      <c r="E571" s="47">
        <v>20000</v>
      </c>
      <c r="F571" s="33" t="s">
        <v>1241</v>
      </c>
      <c r="G571" s="33" t="s">
        <v>904</v>
      </c>
      <c r="H571" s="33" t="s">
        <v>86</v>
      </c>
      <c r="I571" s="33" t="s">
        <v>935</v>
      </c>
      <c r="J571" s="44">
        <v>44180</v>
      </c>
      <c r="K571" s="92" t="s">
        <v>1041</v>
      </c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F571" s="27"/>
      <c r="AG571" s="27"/>
      <c r="AH571" s="27"/>
      <c r="AI571" s="27"/>
      <c r="AJ571" s="27"/>
      <c r="AK571" s="27"/>
      <c r="AL571" s="27"/>
      <c r="AM571" s="27"/>
      <c r="AN571" s="27"/>
      <c r="AO571" s="27"/>
      <c r="AP571" s="27"/>
      <c r="AQ571" s="27"/>
      <c r="AR571" s="27"/>
      <c r="AS571" s="27"/>
      <c r="AT571" s="27"/>
      <c r="AU571" s="27"/>
    </row>
    <row r="572" spans="1:47" ht="15.75" customHeight="1">
      <c r="A572" s="45">
        <v>44462</v>
      </c>
      <c r="B572" s="57" t="s">
        <v>1491</v>
      </c>
      <c r="C572" s="46" t="s">
        <v>1027</v>
      </c>
      <c r="D572" s="33" t="s">
        <v>1062</v>
      </c>
      <c r="E572" s="47">
        <v>1421504</v>
      </c>
      <c r="F572" s="33" t="s">
        <v>1492</v>
      </c>
      <c r="G572" s="44" t="s">
        <v>835</v>
      </c>
      <c r="H572" s="44" t="s">
        <v>1176</v>
      </c>
      <c r="I572" s="44" t="s">
        <v>973</v>
      </c>
      <c r="J572" s="44">
        <v>44280</v>
      </c>
      <c r="K572" s="91" t="s">
        <v>1030</v>
      </c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F572" s="27"/>
      <c r="AG572" s="27"/>
      <c r="AH572" s="27"/>
      <c r="AI572" s="27"/>
      <c r="AJ572" s="27"/>
      <c r="AK572" s="27"/>
      <c r="AL572" s="27"/>
      <c r="AM572" s="27"/>
      <c r="AN572" s="27"/>
      <c r="AO572" s="27"/>
      <c r="AP572" s="27"/>
      <c r="AQ572" s="27"/>
      <c r="AR572" s="27"/>
      <c r="AS572" s="27"/>
      <c r="AT572" s="27"/>
      <c r="AU572" s="27"/>
    </row>
    <row r="573" spans="1:47" ht="15.75" customHeight="1">
      <c r="A573" s="45">
        <v>44463</v>
      </c>
      <c r="B573" s="101" t="s">
        <v>1493</v>
      </c>
      <c r="C573" s="46" t="s">
        <v>1027</v>
      </c>
      <c r="D573" s="33" t="s">
        <v>1037</v>
      </c>
      <c r="E573" s="47">
        <v>8000</v>
      </c>
      <c r="F573" s="33" t="s">
        <v>1049</v>
      </c>
      <c r="G573" s="44" t="s">
        <v>830</v>
      </c>
      <c r="H573" s="44" t="s">
        <v>86</v>
      </c>
      <c r="I573" s="44" t="s">
        <v>878</v>
      </c>
      <c r="J573" s="44">
        <v>43704</v>
      </c>
      <c r="K573" s="91" t="s">
        <v>1054</v>
      </c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F573" s="27"/>
      <c r="AG573" s="27"/>
      <c r="AH573" s="27"/>
      <c r="AI573" s="27"/>
      <c r="AJ573" s="27"/>
      <c r="AK573" s="27"/>
      <c r="AL573" s="27"/>
      <c r="AM573" s="27"/>
      <c r="AN573" s="27"/>
      <c r="AO573" s="27"/>
      <c r="AP573" s="27"/>
      <c r="AQ573" s="27"/>
      <c r="AR573" s="27"/>
      <c r="AS573" s="27"/>
      <c r="AT573" s="27"/>
      <c r="AU573" s="27"/>
    </row>
    <row r="574" spans="1:47" ht="15.75" customHeight="1">
      <c r="A574" s="45">
        <v>44463</v>
      </c>
      <c r="B574" s="101" t="s">
        <v>1304</v>
      </c>
      <c r="C574" s="46" t="s">
        <v>1027</v>
      </c>
      <c r="D574" s="33" t="s">
        <v>1037</v>
      </c>
      <c r="E574" s="47">
        <v>20000</v>
      </c>
      <c r="F574" s="33" t="s">
        <v>1305</v>
      </c>
      <c r="G574" s="44" t="s">
        <v>835</v>
      </c>
      <c r="H574" s="44" t="s">
        <v>1176</v>
      </c>
      <c r="I574" s="44" t="s">
        <v>971</v>
      </c>
      <c r="J574" s="44">
        <v>44322</v>
      </c>
      <c r="K574" s="91" t="s">
        <v>1041</v>
      </c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F574" s="27"/>
      <c r="AG574" s="27"/>
      <c r="AH574" s="27"/>
      <c r="AI574" s="27"/>
      <c r="AJ574" s="27"/>
      <c r="AK574" s="27"/>
      <c r="AL574" s="27"/>
      <c r="AM574" s="27"/>
      <c r="AN574" s="27"/>
      <c r="AO574" s="27"/>
      <c r="AP574" s="27"/>
      <c r="AQ574" s="27"/>
      <c r="AR574" s="27"/>
      <c r="AS574" s="27"/>
      <c r="AT574" s="27"/>
      <c r="AU574" s="27"/>
    </row>
    <row r="575" spans="1:47" ht="15.75" customHeight="1">
      <c r="A575" s="45">
        <v>44463</v>
      </c>
      <c r="B575" s="64" t="s">
        <v>1458</v>
      </c>
      <c r="C575" s="46" t="s">
        <v>1027</v>
      </c>
      <c r="D575" s="33" t="s">
        <v>1037</v>
      </c>
      <c r="E575" s="47">
        <v>300000</v>
      </c>
      <c r="F575" s="33" t="s">
        <v>1459</v>
      </c>
      <c r="G575" s="44" t="s">
        <v>835</v>
      </c>
      <c r="H575" s="44" t="s">
        <v>1176</v>
      </c>
      <c r="I575" s="44" t="s">
        <v>973</v>
      </c>
      <c r="J575" s="44">
        <v>44266</v>
      </c>
      <c r="K575" s="91" t="s">
        <v>1122</v>
      </c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F575" s="27"/>
      <c r="AG575" s="27"/>
      <c r="AH575" s="27"/>
      <c r="AI575" s="27"/>
      <c r="AJ575" s="27"/>
      <c r="AK575" s="27"/>
      <c r="AL575" s="27"/>
      <c r="AM575" s="27"/>
      <c r="AN575" s="27"/>
      <c r="AO575" s="27"/>
      <c r="AP575" s="27"/>
      <c r="AQ575" s="27"/>
      <c r="AR575" s="27"/>
      <c r="AS575" s="27"/>
      <c r="AT575" s="27"/>
      <c r="AU575" s="27"/>
    </row>
    <row r="576" spans="1:47" ht="15.75" customHeight="1">
      <c r="A576" s="45">
        <v>44466</v>
      </c>
      <c r="B576" s="101" t="s">
        <v>1308</v>
      </c>
      <c r="C576" s="46" t="s">
        <v>1027</v>
      </c>
      <c r="D576" s="33" t="s">
        <v>1037</v>
      </c>
      <c r="E576" s="47">
        <v>10000</v>
      </c>
      <c r="F576" s="33" t="s">
        <v>1309</v>
      </c>
      <c r="G576" s="44" t="s">
        <v>835</v>
      </c>
      <c r="H576" s="44" t="s">
        <v>1176</v>
      </c>
      <c r="I576" s="44" t="s">
        <v>971</v>
      </c>
      <c r="J576" s="44">
        <v>44319</v>
      </c>
      <c r="K576" s="91" t="s">
        <v>1041</v>
      </c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F576" s="27"/>
      <c r="AG576" s="27"/>
      <c r="AH576" s="27"/>
      <c r="AI576" s="27"/>
      <c r="AJ576" s="27"/>
      <c r="AK576" s="27"/>
      <c r="AL576" s="27"/>
      <c r="AM576" s="27"/>
      <c r="AN576" s="27"/>
      <c r="AO576" s="27"/>
      <c r="AP576" s="27"/>
      <c r="AQ576" s="27"/>
      <c r="AR576" s="27"/>
      <c r="AS576" s="27"/>
      <c r="AT576" s="27"/>
      <c r="AU576" s="27"/>
    </row>
    <row r="577" spans="1:47" ht="15.75" customHeight="1">
      <c r="A577" s="45">
        <v>44466</v>
      </c>
      <c r="B577" s="57" t="s">
        <v>1052</v>
      </c>
      <c r="C577" s="46" t="s">
        <v>1027</v>
      </c>
      <c r="D577" s="33" t="s">
        <v>1037</v>
      </c>
      <c r="E577" s="47">
        <v>12000</v>
      </c>
      <c r="F577" s="33" t="s">
        <v>1053</v>
      </c>
      <c r="G577" s="44" t="s">
        <v>830</v>
      </c>
      <c r="H577" s="44" t="s">
        <v>86</v>
      </c>
      <c r="I577" s="44" t="s">
        <v>878</v>
      </c>
      <c r="J577" s="44">
        <v>43605</v>
      </c>
      <c r="K577" s="91" t="s">
        <v>1054</v>
      </c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F577" s="27"/>
      <c r="AG577" s="27"/>
      <c r="AH577" s="27"/>
      <c r="AI577" s="27"/>
      <c r="AJ577" s="27"/>
      <c r="AK577" s="27"/>
      <c r="AL577" s="27"/>
      <c r="AM577" s="27"/>
      <c r="AN577" s="27"/>
      <c r="AO577" s="27"/>
      <c r="AP577" s="27"/>
      <c r="AQ577" s="27"/>
      <c r="AR577" s="27"/>
      <c r="AS577" s="27"/>
      <c r="AT577" s="27"/>
      <c r="AU577" s="27"/>
    </row>
    <row r="578" spans="1:47" ht="15.75" customHeight="1">
      <c r="A578" s="45">
        <v>44466</v>
      </c>
      <c r="B578" s="101" t="s">
        <v>1494</v>
      </c>
      <c r="C578" s="46" t="s">
        <v>1027</v>
      </c>
      <c r="D578" s="33" t="s">
        <v>1037</v>
      </c>
      <c r="E578" s="47">
        <v>100000</v>
      </c>
      <c r="F578" s="33" t="s">
        <v>1495</v>
      </c>
      <c r="G578" s="44" t="s">
        <v>835</v>
      </c>
      <c r="H578" s="44" t="s">
        <v>1176</v>
      </c>
      <c r="I578" s="44" t="s">
        <v>975</v>
      </c>
      <c r="J578" s="44">
        <v>44299</v>
      </c>
      <c r="K578" s="91" t="s">
        <v>1041</v>
      </c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F578" s="27"/>
      <c r="AG578" s="27"/>
      <c r="AH578" s="27"/>
      <c r="AI578" s="27"/>
      <c r="AJ578" s="27"/>
      <c r="AK578" s="27"/>
      <c r="AL578" s="27"/>
      <c r="AM578" s="27"/>
      <c r="AN578" s="27"/>
      <c r="AO578" s="27"/>
      <c r="AP578" s="27"/>
      <c r="AQ578" s="27"/>
      <c r="AR578" s="27"/>
      <c r="AS578" s="27"/>
      <c r="AT578" s="27"/>
      <c r="AU578" s="27"/>
    </row>
    <row r="579" spans="1:47" ht="15.75" customHeight="1">
      <c r="A579" s="44">
        <v>44467</v>
      </c>
      <c r="B579" s="64" t="s">
        <v>1496</v>
      </c>
      <c r="C579" s="33" t="s">
        <v>48</v>
      </c>
      <c r="D579" s="33" t="s">
        <v>1028</v>
      </c>
      <c r="E579" s="90">
        <v>0</v>
      </c>
      <c r="F579" s="33" t="s">
        <v>1497</v>
      </c>
      <c r="G579" s="33" t="s">
        <v>904</v>
      </c>
      <c r="H579" s="33" t="s">
        <v>86</v>
      </c>
      <c r="I579" s="33" t="s">
        <v>1218</v>
      </c>
      <c r="J579" s="44">
        <v>44917</v>
      </c>
      <c r="K579" s="92" t="s">
        <v>1122</v>
      </c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F579" s="27"/>
      <c r="AG579" s="27"/>
      <c r="AH579" s="27"/>
      <c r="AI579" s="27"/>
      <c r="AJ579" s="27"/>
      <c r="AK579" s="27"/>
      <c r="AL579" s="27"/>
      <c r="AM579" s="27"/>
      <c r="AN579" s="27"/>
      <c r="AO579" s="27"/>
      <c r="AP579" s="27"/>
      <c r="AQ579" s="27"/>
      <c r="AR579" s="27"/>
      <c r="AS579" s="27"/>
      <c r="AT579" s="27"/>
      <c r="AU579" s="27"/>
    </row>
    <row r="580" spans="1:47" ht="15.75" customHeight="1">
      <c r="A580" s="45">
        <v>44468</v>
      </c>
      <c r="B580" s="101" t="s">
        <v>1498</v>
      </c>
      <c r="C580" s="46" t="s">
        <v>1027</v>
      </c>
      <c r="D580" s="33" t="s">
        <v>1037</v>
      </c>
      <c r="E580" s="47" t="s">
        <v>1499</v>
      </c>
      <c r="F580" s="33" t="s">
        <v>1500</v>
      </c>
      <c r="G580" s="44" t="s">
        <v>835</v>
      </c>
      <c r="H580" s="44" t="s">
        <v>1176</v>
      </c>
      <c r="I580" s="44" t="s">
        <v>971</v>
      </c>
      <c r="J580" s="44">
        <v>44391</v>
      </c>
      <c r="K580" s="91" t="s">
        <v>1041</v>
      </c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F580" s="27"/>
      <c r="AG580" s="27"/>
      <c r="AH580" s="27"/>
      <c r="AI580" s="27"/>
      <c r="AJ580" s="27"/>
      <c r="AK580" s="27"/>
      <c r="AL580" s="27"/>
      <c r="AM580" s="27"/>
      <c r="AN580" s="27"/>
      <c r="AO580" s="27"/>
      <c r="AP580" s="27"/>
      <c r="AQ580" s="27"/>
      <c r="AR580" s="27"/>
      <c r="AS580" s="27"/>
      <c r="AT580" s="27"/>
      <c r="AU580" s="27"/>
    </row>
    <row r="581" spans="1:47" ht="15.75" customHeight="1">
      <c r="A581" s="45">
        <v>44468</v>
      </c>
      <c r="B581" s="101" t="s">
        <v>1330</v>
      </c>
      <c r="C581" s="46" t="s">
        <v>1027</v>
      </c>
      <c r="D581" s="33" t="s">
        <v>1037</v>
      </c>
      <c r="E581" s="47">
        <v>30000</v>
      </c>
      <c r="F581" s="33" t="s">
        <v>1331</v>
      </c>
      <c r="G581" s="44" t="s">
        <v>835</v>
      </c>
      <c r="H581" s="44" t="s">
        <v>1176</v>
      </c>
      <c r="I581" s="44" t="s">
        <v>973</v>
      </c>
      <c r="J581" s="44">
        <v>44319</v>
      </c>
      <c r="K581" s="91" t="s">
        <v>1041</v>
      </c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F581" s="27"/>
      <c r="AG581" s="27"/>
      <c r="AH581" s="27"/>
      <c r="AI581" s="27"/>
      <c r="AJ581" s="27"/>
      <c r="AK581" s="27"/>
      <c r="AL581" s="27"/>
      <c r="AM581" s="27"/>
      <c r="AN581" s="27"/>
      <c r="AO581" s="27"/>
      <c r="AP581" s="27"/>
      <c r="AQ581" s="27"/>
      <c r="AR581" s="27"/>
      <c r="AS581" s="27"/>
      <c r="AT581" s="27"/>
      <c r="AU581" s="27"/>
    </row>
    <row r="582" spans="1:47" ht="15.75" customHeight="1">
      <c r="A582" s="45">
        <v>44468</v>
      </c>
      <c r="B582" s="101" t="s">
        <v>1276</v>
      </c>
      <c r="C582" s="46" t="s">
        <v>1027</v>
      </c>
      <c r="D582" s="33" t="s">
        <v>1037</v>
      </c>
      <c r="E582" s="47">
        <v>100000</v>
      </c>
      <c r="F582" s="33" t="s">
        <v>1277</v>
      </c>
      <c r="G582" s="44" t="s">
        <v>835</v>
      </c>
      <c r="H582" s="44" t="s">
        <v>1176</v>
      </c>
      <c r="I582" s="44" t="s">
        <v>971</v>
      </c>
      <c r="J582" s="44">
        <v>44279</v>
      </c>
      <c r="K582" s="91" t="s">
        <v>1041</v>
      </c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F582" s="27"/>
      <c r="AG582" s="27"/>
      <c r="AH582" s="27"/>
      <c r="AI582" s="27"/>
      <c r="AJ582" s="27"/>
      <c r="AK582" s="27"/>
      <c r="AL582" s="27"/>
      <c r="AM582" s="27"/>
      <c r="AN582" s="27"/>
      <c r="AO582" s="27"/>
      <c r="AP582" s="27"/>
      <c r="AQ582" s="27"/>
      <c r="AR582" s="27"/>
      <c r="AS582" s="27"/>
      <c r="AT582" s="27"/>
      <c r="AU582" s="27"/>
    </row>
    <row r="583" spans="1:47" ht="15.75" customHeight="1">
      <c r="A583" s="45">
        <v>44468</v>
      </c>
      <c r="B583" s="101" t="s">
        <v>1501</v>
      </c>
      <c r="C583" s="46" t="s">
        <v>1027</v>
      </c>
      <c r="D583" s="33" t="s">
        <v>1037</v>
      </c>
      <c r="E583" s="47">
        <v>120000</v>
      </c>
      <c r="F583" s="33" t="s">
        <v>1502</v>
      </c>
      <c r="G583" s="44" t="s">
        <v>835</v>
      </c>
      <c r="H583" s="44" t="s">
        <v>1176</v>
      </c>
      <c r="I583" s="44" t="s">
        <v>975</v>
      </c>
      <c r="J583" s="44">
        <v>44279</v>
      </c>
      <c r="K583" s="91" t="s">
        <v>1122</v>
      </c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F583" s="27"/>
      <c r="AG583" s="27"/>
      <c r="AH583" s="27"/>
      <c r="AI583" s="27"/>
      <c r="AJ583" s="27"/>
      <c r="AK583" s="27"/>
      <c r="AL583" s="27"/>
      <c r="AM583" s="27"/>
      <c r="AN583" s="27"/>
      <c r="AO583" s="27"/>
      <c r="AP583" s="27"/>
      <c r="AQ583" s="27"/>
      <c r="AR583" s="27"/>
      <c r="AS583" s="27"/>
      <c r="AT583" s="27"/>
      <c r="AU583" s="27"/>
    </row>
    <row r="584" spans="1:47" ht="15.75" customHeight="1">
      <c r="A584" s="45">
        <v>44469</v>
      </c>
      <c r="B584" s="57" t="s">
        <v>1503</v>
      </c>
      <c r="C584" s="46" t="s">
        <v>48</v>
      </c>
      <c r="D584" s="33" t="s">
        <v>1062</v>
      </c>
      <c r="E584" s="90">
        <v>456422.62</v>
      </c>
      <c r="F584" s="33" t="s">
        <v>1504</v>
      </c>
      <c r="G584" s="33" t="s">
        <v>904</v>
      </c>
      <c r="H584" s="33" t="s">
        <v>86</v>
      </c>
      <c r="I584" s="33" t="s">
        <v>894</v>
      </c>
      <c r="J584" s="44">
        <v>44130</v>
      </c>
      <c r="K584" s="92" t="s">
        <v>1041</v>
      </c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F584" s="27"/>
      <c r="AG584" s="27"/>
      <c r="AH584" s="27"/>
      <c r="AI584" s="27"/>
      <c r="AJ584" s="27"/>
      <c r="AK584" s="27"/>
      <c r="AL584" s="27"/>
      <c r="AM584" s="27"/>
      <c r="AN584" s="27"/>
      <c r="AO584" s="27"/>
      <c r="AP584" s="27"/>
      <c r="AQ584" s="27"/>
      <c r="AR584" s="27"/>
      <c r="AS584" s="27"/>
      <c r="AT584" s="27"/>
      <c r="AU584" s="27"/>
    </row>
    <row r="585" spans="1:47" ht="15.75" customHeight="1">
      <c r="A585" s="45">
        <v>44469</v>
      </c>
      <c r="B585" s="101" t="s">
        <v>1368</v>
      </c>
      <c r="C585" s="46" t="s">
        <v>1027</v>
      </c>
      <c r="D585" s="33" t="s">
        <v>1037</v>
      </c>
      <c r="E585" s="47">
        <v>100000</v>
      </c>
      <c r="F585" s="33" t="s">
        <v>1369</v>
      </c>
      <c r="G585" s="44" t="s">
        <v>835</v>
      </c>
      <c r="H585" s="44" t="s">
        <v>1176</v>
      </c>
      <c r="I585" s="44" t="s">
        <v>971</v>
      </c>
      <c r="J585" s="44">
        <v>44321</v>
      </c>
      <c r="K585" s="91" t="s">
        <v>1054</v>
      </c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F585" s="27"/>
      <c r="AG585" s="27"/>
      <c r="AH585" s="27"/>
      <c r="AI585" s="27"/>
      <c r="AJ585" s="27"/>
      <c r="AK585" s="27"/>
      <c r="AL585" s="27"/>
      <c r="AM585" s="27"/>
      <c r="AN585" s="27"/>
      <c r="AO585" s="27"/>
      <c r="AP585" s="27"/>
      <c r="AQ585" s="27"/>
      <c r="AR585" s="27"/>
      <c r="AS585" s="27"/>
      <c r="AT585" s="27"/>
      <c r="AU585" s="27"/>
    </row>
    <row r="586" spans="1:47" ht="15.75" customHeight="1">
      <c r="A586" s="45">
        <v>44470</v>
      </c>
      <c r="B586" s="64" t="s">
        <v>1288</v>
      </c>
      <c r="C586" s="46" t="s">
        <v>1027</v>
      </c>
      <c r="D586" s="33" t="s">
        <v>1037</v>
      </c>
      <c r="E586" s="47">
        <v>14000</v>
      </c>
      <c r="F586" s="33" t="s">
        <v>1289</v>
      </c>
      <c r="G586" s="44" t="s">
        <v>835</v>
      </c>
      <c r="H586" s="44" t="s">
        <v>1176</v>
      </c>
      <c r="I586" s="44" t="s">
        <v>973</v>
      </c>
      <c r="J586" s="44">
        <v>44280</v>
      </c>
      <c r="K586" s="91" t="s">
        <v>1041</v>
      </c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F586" s="27"/>
      <c r="AG586" s="27"/>
      <c r="AH586" s="27"/>
      <c r="AI586" s="27"/>
      <c r="AJ586" s="27"/>
      <c r="AK586" s="27"/>
      <c r="AL586" s="27"/>
      <c r="AM586" s="27"/>
      <c r="AN586" s="27"/>
      <c r="AO586" s="27"/>
      <c r="AP586" s="27"/>
      <c r="AQ586" s="27"/>
      <c r="AR586" s="27"/>
      <c r="AS586" s="27"/>
      <c r="AT586" s="27"/>
      <c r="AU586" s="27"/>
    </row>
    <row r="587" spans="1:47" ht="15.75" customHeight="1">
      <c r="A587" s="45">
        <v>44470</v>
      </c>
      <c r="B587" s="101" t="s">
        <v>1306</v>
      </c>
      <c r="C587" s="46" t="s">
        <v>1027</v>
      </c>
      <c r="D587" s="33" t="s">
        <v>1037</v>
      </c>
      <c r="E587" s="47">
        <v>45000</v>
      </c>
      <c r="F587" s="33" t="s">
        <v>1307</v>
      </c>
      <c r="G587" s="44" t="s">
        <v>835</v>
      </c>
      <c r="H587" s="44" t="s">
        <v>1176</v>
      </c>
      <c r="I587" s="44" t="s">
        <v>975</v>
      </c>
      <c r="J587" s="44">
        <v>44266</v>
      </c>
      <c r="K587" s="91" t="s">
        <v>1054</v>
      </c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F587" s="27"/>
      <c r="AG587" s="27"/>
      <c r="AH587" s="27"/>
      <c r="AI587" s="27"/>
      <c r="AJ587" s="27"/>
      <c r="AK587" s="27"/>
      <c r="AL587" s="27"/>
      <c r="AM587" s="27"/>
      <c r="AN587" s="27"/>
      <c r="AO587" s="27"/>
      <c r="AP587" s="27"/>
      <c r="AQ587" s="27"/>
      <c r="AR587" s="27"/>
      <c r="AS587" s="27"/>
      <c r="AT587" s="27"/>
      <c r="AU587" s="27"/>
    </row>
    <row r="588" spans="1:47" ht="15.75" customHeight="1">
      <c r="A588" s="45">
        <v>44470</v>
      </c>
      <c r="B588" s="101" t="s">
        <v>1318</v>
      </c>
      <c r="C588" s="46" t="s">
        <v>1027</v>
      </c>
      <c r="D588" s="33" t="s">
        <v>1037</v>
      </c>
      <c r="E588" s="47">
        <v>10000</v>
      </c>
      <c r="F588" s="33" t="s">
        <v>1319</v>
      </c>
      <c r="G588" s="44" t="s">
        <v>835</v>
      </c>
      <c r="H588" s="44" t="s">
        <v>1176</v>
      </c>
      <c r="I588" s="44" t="s">
        <v>975</v>
      </c>
      <c r="J588" s="44">
        <v>44260</v>
      </c>
      <c r="K588" s="91" t="s">
        <v>1041</v>
      </c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F588" s="27"/>
      <c r="AG588" s="27"/>
      <c r="AH588" s="27"/>
      <c r="AI588" s="27"/>
      <c r="AJ588" s="27"/>
      <c r="AK588" s="27"/>
      <c r="AL588" s="27"/>
      <c r="AM588" s="27"/>
      <c r="AN588" s="27"/>
      <c r="AO588" s="27"/>
      <c r="AP588" s="27"/>
      <c r="AQ588" s="27"/>
      <c r="AR588" s="27"/>
      <c r="AS588" s="27"/>
      <c r="AT588" s="27"/>
      <c r="AU588" s="27"/>
    </row>
    <row r="589" spans="1:47" ht="15.75" customHeight="1">
      <c r="A589" s="45">
        <v>44470</v>
      </c>
      <c r="B589" s="101" t="s">
        <v>1505</v>
      </c>
      <c r="C589" s="46" t="s">
        <v>1027</v>
      </c>
      <c r="D589" s="33" t="s">
        <v>1037</v>
      </c>
      <c r="E589" s="47">
        <v>100000</v>
      </c>
      <c r="F589" s="33" t="s">
        <v>1506</v>
      </c>
      <c r="G589" s="44" t="s">
        <v>835</v>
      </c>
      <c r="H589" s="44" t="s">
        <v>1176</v>
      </c>
      <c r="I589" s="44" t="s">
        <v>971</v>
      </c>
      <c r="J589" s="44">
        <v>44393</v>
      </c>
      <c r="K589" s="91" t="s">
        <v>1507</v>
      </c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F589" s="27"/>
      <c r="AG589" s="27"/>
      <c r="AH589" s="27"/>
      <c r="AI589" s="27"/>
      <c r="AJ589" s="27"/>
      <c r="AK589" s="27"/>
      <c r="AL589" s="27"/>
      <c r="AM589" s="27"/>
      <c r="AN589" s="27"/>
      <c r="AO589" s="27"/>
      <c r="AP589" s="27"/>
      <c r="AQ589" s="27"/>
      <c r="AR589" s="27"/>
      <c r="AS589" s="27"/>
      <c r="AT589" s="27"/>
      <c r="AU589" s="27"/>
    </row>
    <row r="590" spans="1:47" ht="15.75" customHeight="1">
      <c r="A590" s="44">
        <v>44470</v>
      </c>
      <c r="B590" s="40" t="s">
        <v>1318</v>
      </c>
      <c r="C590" s="33" t="s">
        <v>1027</v>
      </c>
      <c r="D590" s="33" t="s">
        <v>1028</v>
      </c>
      <c r="E590" s="90">
        <v>151371.24</v>
      </c>
      <c r="F590" s="33" t="s">
        <v>1319</v>
      </c>
      <c r="G590" s="44" t="s">
        <v>835</v>
      </c>
      <c r="H590" s="44" t="s">
        <v>1176</v>
      </c>
      <c r="I590" s="44" t="s">
        <v>975</v>
      </c>
      <c r="J590" s="44">
        <v>44260</v>
      </c>
      <c r="K590" s="91" t="s">
        <v>1041</v>
      </c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F590" s="27"/>
      <c r="AG590" s="27"/>
      <c r="AH590" s="27"/>
      <c r="AI590" s="27"/>
      <c r="AJ590" s="27"/>
      <c r="AK590" s="27"/>
      <c r="AL590" s="27"/>
      <c r="AM590" s="27"/>
      <c r="AN590" s="27"/>
      <c r="AO590" s="27"/>
      <c r="AP590" s="27"/>
      <c r="AQ590" s="27"/>
      <c r="AR590" s="27"/>
      <c r="AS590" s="27"/>
      <c r="AT590" s="27"/>
      <c r="AU590" s="27"/>
    </row>
    <row r="591" spans="1:47" ht="15.75" customHeight="1">
      <c r="A591" s="45">
        <v>44473</v>
      </c>
      <c r="B591" s="57" t="s">
        <v>1501</v>
      </c>
      <c r="C591" s="46" t="s">
        <v>1027</v>
      </c>
      <c r="D591" s="33" t="s">
        <v>1037</v>
      </c>
      <c r="E591" s="47">
        <v>80000</v>
      </c>
      <c r="F591" s="33" t="s">
        <v>1502</v>
      </c>
      <c r="G591" s="44" t="s">
        <v>835</v>
      </c>
      <c r="H591" s="44" t="s">
        <v>1176</v>
      </c>
      <c r="I591" s="44" t="s">
        <v>975</v>
      </c>
      <c r="J591" s="44">
        <v>44279</v>
      </c>
      <c r="K591" s="91" t="s">
        <v>1122</v>
      </c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F591" s="27"/>
      <c r="AG591" s="27"/>
      <c r="AH591" s="27"/>
      <c r="AI591" s="27"/>
      <c r="AJ591" s="27"/>
      <c r="AK591" s="27"/>
      <c r="AL591" s="27"/>
      <c r="AM591" s="27"/>
      <c r="AN591" s="27"/>
      <c r="AO591" s="27"/>
      <c r="AP591" s="27"/>
      <c r="AQ591" s="27"/>
      <c r="AR591" s="27"/>
      <c r="AS591" s="27"/>
      <c r="AT591" s="27"/>
      <c r="AU591" s="27"/>
    </row>
    <row r="592" spans="1:47" ht="15.75" customHeight="1">
      <c r="A592" s="44">
        <v>44473</v>
      </c>
      <c r="B592" s="64" t="s">
        <v>1410</v>
      </c>
      <c r="C592" s="33" t="s">
        <v>48</v>
      </c>
      <c r="D592" s="33" t="s">
        <v>1028</v>
      </c>
      <c r="E592" s="90">
        <v>0</v>
      </c>
      <c r="F592" s="33" t="s">
        <v>1411</v>
      </c>
      <c r="G592" s="33" t="s">
        <v>904</v>
      </c>
      <c r="H592" s="33" t="s">
        <v>86</v>
      </c>
      <c r="I592" s="33" t="s">
        <v>965</v>
      </c>
      <c r="J592" s="44">
        <v>44397</v>
      </c>
      <c r="K592" s="92" t="s">
        <v>1054</v>
      </c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F592" s="27"/>
      <c r="AG592" s="27"/>
      <c r="AH592" s="27"/>
      <c r="AI592" s="27"/>
      <c r="AJ592" s="27"/>
      <c r="AK592" s="27"/>
      <c r="AL592" s="27"/>
      <c r="AM592" s="27"/>
      <c r="AN592" s="27"/>
      <c r="AO592" s="27"/>
      <c r="AP592" s="27"/>
      <c r="AQ592" s="27"/>
      <c r="AR592" s="27"/>
      <c r="AS592" s="27"/>
      <c r="AT592" s="27"/>
      <c r="AU592" s="27"/>
    </row>
    <row r="593" spans="1:47" ht="15.75" customHeight="1">
      <c r="A593" s="44">
        <v>44473</v>
      </c>
      <c r="B593" s="64" t="s">
        <v>1508</v>
      </c>
      <c r="C593" s="33" t="s">
        <v>48</v>
      </c>
      <c r="D593" s="33" t="s">
        <v>1028</v>
      </c>
      <c r="E593" s="90">
        <v>0</v>
      </c>
      <c r="F593" s="33" t="s">
        <v>1509</v>
      </c>
      <c r="G593" s="33" t="s">
        <v>835</v>
      </c>
      <c r="H593" s="33" t="s">
        <v>86</v>
      </c>
      <c r="I593" s="33" t="s">
        <v>847</v>
      </c>
      <c r="J593" s="44">
        <v>44302</v>
      </c>
      <c r="K593" s="92" t="s">
        <v>1030</v>
      </c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F593" s="27"/>
      <c r="AG593" s="27"/>
      <c r="AH593" s="27"/>
      <c r="AI593" s="27"/>
      <c r="AJ593" s="27"/>
      <c r="AK593" s="27"/>
      <c r="AL593" s="27"/>
      <c r="AM593" s="27"/>
      <c r="AN593" s="27"/>
      <c r="AO593" s="27"/>
      <c r="AP593" s="27"/>
      <c r="AQ593" s="27"/>
      <c r="AR593" s="27"/>
      <c r="AS593" s="27"/>
      <c r="AT593" s="27"/>
      <c r="AU593" s="27"/>
    </row>
    <row r="594" spans="1:47" ht="15.75" customHeight="1">
      <c r="A594" s="44">
        <v>44473</v>
      </c>
      <c r="B594" s="57" t="s">
        <v>1510</v>
      </c>
      <c r="C594" s="33" t="s">
        <v>1027</v>
      </c>
      <c r="D594" s="33" t="s">
        <v>1028</v>
      </c>
      <c r="E594" s="90">
        <v>172836.33</v>
      </c>
      <c r="F594" s="33" t="s">
        <v>1511</v>
      </c>
      <c r="G594" s="44" t="s">
        <v>830</v>
      </c>
      <c r="H594" s="44" t="s">
        <v>86</v>
      </c>
      <c r="I594" s="44" t="s">
        <v>878</v>
      </c>
      <c r="J594" s="44">
        <v>43865</v>
      </c>
      <c r="K594" s="91" t="s">
        <v>1041</v>
      </c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F594" s="27"/>
      <c r="AG594" s="27"/>
      <c r="AH594" s="27"/>
      <c r="AI594" s="27"/>
      <c r="AJ594" s="27"/>
      <c r="AK594" s="27"/>
      <c r="AL594" s="27"/>
      <c r="AM594" s="27"/>
      <c r="AN594" s="27"/>
      <c r="AO594" s="27"/>
      <c r="AP594" s="27"/>
      <c r="AQ594" s="27"/>
      <c r="AR594" s="27"/>
      <c r="AS594" s="27"/>
      <c r="AT594" s="27"/>
      <c r="AU594" s="27"/>
    </row>
    <row r="595" spans="1:47" ht="15.75" customHeight="1">
      <c r="A595" s="44">
        <v>44473</v>
      </c>
      <c r="B595" s="64" t="s">
        <v>1160</v>
      </c>
      <c r="C595" s="33" t="s">
        <v>1027</v>
      </c>
      <c r="D595" s="33" t="s">
        <v>1028</v>
      </c>
      <c r="E595" s="90">
        <v>154589.26999999999</v>
      </c>
      <c r="F595" s="33" t="s">
        <v>1161</v>
      </c>
      <c r="G595" s="44" t="s">
        <v>830</v>
      </c>
      <c r="H595" s="44" t="s">
        <v>86</v>
      </c>
      <c r="I595" s="44" t="s">
        <v>878</v>
      </c>
      <c r="J595" s="44">
        <v>43873</v>
      </c>
      <c r="K595" s="91" t="s">
        <v>1041</v>
      </c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F595" s="27"/>
      <c r="AG595" s="27"/>
      <c r="AH595" s="27"/>
      <c r="AI595" s="27"/>
      <c r="AJ595" s="27"/>
      <c r="AK595" s="27"/>
      <c r="AL595" s="27"/>
      <c r="AM595" s="27"/>
      <c r="AN595" s="27"/>
      <c r="AO595" s="27"/>
      <c r="AP595" s="27"/>
      <c r="AQ595" s="27"/>
      <c r="AR595" s="27"/>
      <c r="AS595" s="27"/>
      <c r="AT595" s="27"/>
      <c r="AU595" s="27"/>
    </row>
    <row r="596" spans="1:47" ht="15.75" customHeight="1">
      <c r="A596" s="44">
        <v>44473</v>
      </c>
      <c r="B596" s="40" t="s">
        <v>1501</v>
      </c>
      <c r="C596" s="33" t="s">
        <v>1027</v>
      </c>
      <c r="D596" s="33" t="s">
        <v>1028</v>
      </c>
      <c r="E596" s="90">
        <v>237009.79</v>
      </c>
      <c r="F596" s="33" t="s">
        <v>1502</v>
      </c>
      <c r="G596" s="44" t="s">
        <v>835</v>
      </c>
      <c r="H596" s="44" t="s">
        <v>1176</v>
      </c>
      <c r="I596" s="44" t="s">
        <v>975</v>
      </c>
      <c r="J596" s="44">
        <v>44279</v>
      </c>
      <c r="K596" s="91" t="s">
        <v>1122</v>
      </c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F596" s="27"/>
      <c r="AG596" s="27"/>
      <c r="AH596" s="27"/>
      <c r="AI596" s="27"/>
      <c r="AJ596" s="27"/>
      <c r="AK596" s="27"/>
      <c r="AL596" s="27"/>
      <c r="AM596" s="27"/>
      <c r="AN596" s="27"/>
      <c r="AO596" s="27"/>
      <c r="AP596" s="27"/>
      <c r="AQ596" s="27"/>
      <c r="AR596" s="27"/>
      <c r="AS596" s="27"/>
      <c r="AT596" s="27"/>
      <c r="AU596" s="27"/>
    </row>
    <row r="597" spans="1:47" ht="15.75" customHeight="1">
      <c r="A597" s="45">
        <v>44474</v>
      </c>
      <c r="B597" s="64" t="s">
        <v>1318</v>
      </c>
      <c r="C597" s="46" t="s">
        <v>1027</v>
      </c>
      <c r="D597" s="33" t="s">
        <v>1037</v>
      </c>
      <c r="E597" s="39">
        <v>49307.71</v>
      </c>
      <c r="F597" s="33" t="s">
        <v>1319</v>
      </c>
      <c r="G597" s="44" t="s">
        <v>835</v>
      </c>
      <c r="H597" s="44" t="s">
        <v>1176</v>
      </c>
      <c r="I597" s="44" t="s">
        <v>975</v>
      </c>
      <c r="J597" s="44">
        <v>44260</v>
      </c>
      <c r="K597" s="91" t="s">
        <v>1041</v>
      </c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F597" s="27"/>
      <c r="AG597" s="27"/>
      <c r="AH597" s="27"/>
      <c r="AI597" s="27"/>
      <c r="AJ597" s="27"/>
      <c r="AK597" s="27"/>
      <c r="AL597" s="27"/>
      <c r="AM597" s="27"/>
      <c r="AN597" s="27"/>
      <c r="AO597" s="27"/>
      <c r="AP597" s="27"/>
      <c r="AQ597" s="27"/>
      <c r="AR597" s="27"/>
      <c r="AS597" s="27"/>
      <c r="AT597" s="27"/>
      <c r="AU597" s="27"/>
    </row>
    <row r="598" spans="1:47" ht="15.75" customHeight="1">
      <c r="A598" s="45">
        <v>44474</v>
      </c>
      <c r="B598" s="64" t="s">
        <v>1347</v>
      </c>
      <c r="C598" s="46" t="s">
        <v>1027</v>
      </c>
      <c r="D598" s="33" t="s">
        <v>1037</v>
      </c>
      <c r="E598" s="47">
        <v>56000</v>
      </c>
      <c r="F598" s="33" t="s">
        <v>1348</v>
      </c>
      <c r="G598" s="44" t="s">
        <v>835</v>
      </c>
      <c r="H598" s="44" t="s">
        <v>1176</v>
      </c>
      <c r="I598" s="44" t="s">
        <v>973</v>
      </c>
      <c r="J598" s="44">
        <v>44280</v>
      </c>
      <c r="K598" s="91" t="s">
        <v>1179</v>
      </c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F598" s="27"/>
      <c r="AG598" s="27"/>
      <c r="AH598" s="27"/>
      <c r="AI598" s="27"/>
      <c r="AJ598" s="27"/>
      <c r="AK598" s="27"/>
      <c r="AL598" s="27"/>
      <c r="AM598" s="27"/>
      <c r="AN598" s="27"/>
      <c r="AO598" s="27"/>
      <c r="AP598" s="27"/>
      <c r="AQ598" s="27"/>
      <c r="AR598" s="27"/>
      <c r="AS598" s="27"/>
      <c r="AT598" s="27"/>
      <c r="AU598" s="27"/>
    </row>
    <row r="599" spans="1:47" ht="15.75" customHeight="1">
      <c r="A599" s="45">
        <v>44474</v>
      </c>
      <c r="B599" s="64" t="s">
        <v>1483</v>
      </c>
      <c r="C599" s="46" t="s">
        <v>1027</v>
      </c>
      <c r="D599" s="33" t="s">
        <v>1037</v>
      </c>
      <c r="E599" s="47">
        <v>5500</v>
      </c>
      <c r="F599" s="33" t="s">
        <v>1484</v>
      </c>
      <c r="G599" s="44" t="s">
        <v>835</v>
      </c>
      <c r="H599" s="44" t="s">
        <v>1176</v>
      </c>
      <c r="I599" s="44" t="s">
        <v>971</v>
      </c>
      <c r="J599" s="44">
        <v>44319</v>
      </c>
      <c r="K599" s="91" t="s">
        <v>1122</v>
      </c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F599" s="27"/>
      <c r="AG599" s="27"/>
      <c r="AH599" s="27"/>
      <c r="AI599" s="27"/>
      <c r="AJ599" s="27"/>
      <c r="AK599" s="27"/>
      <c r="AL599" s="27"/>
      <c r="AM599" s="27"/>
      <c r="AN599" s="27"/>
      <c r="AO599" s="27"/>
      <c r="AP599" s="27"/>
      <c r="AQ599" s="27"/>
      <c r="AR599" s="27"/>
      <c r="AS599" s="27"/>
      <c r="AT599" s="27"/>
      <c r="AU599" s="27"/>
    </row>
    <row r="600" spans="1:47" ht="15.75" customHeight="1">
      <c r="A600" s="45">
        <v>44474</v>
      </c>
      <c r="B600" s="64" t="s">
        <v>1345</v>
      </c>
      <c r="C600" s="46" t="s">
        <v>1027</v>
      </c>
      <c r="D600" s="33" t="s">
        <v>1037</v>
      </c>
      <c r="E600" s="47">
        <v>175000</v>
      </c>
      <c r="F600" s="33" t="s">
        <v>1346</v>
      </c>
      <c r="G600" s="44" t="s">
        <v>835</v>
      </c>
      <c r="H600" s="44" t="s">
        <v>1176</v>
      </c>
      <c r="I600" s="44" t="s">
        <v>973</v>
      </c>
      <c r="J600" s="44">
        <v>44313</v>
      </c>
      <c r="K600" s="91" t="s">
        <v>1041</v>
      </c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F600" s="27"/>
      <c r="AG600" s="27"/>
      <c r="AH600" s="27"/>
      <c r="AI600" s="27"/>
      <c r="AJ600" s="27"/>
      <c r="AK600" s="27"/>
      <c r="AL600" s="27"/>
      <c r="AM600" s="27"/>
      <c r="AN600" s="27"/>
      <c r="AO600" s="27"/>
      <c r="AP600" s="27"/>
      <c r="AQ600" s="27"/>
      <c r="AR600" s="27"/>
      <c r="AS600" s="27"/>
      <c r="AT600" s="27"/>
      <c r="AU600" s="27"/>
    </row>
    <row r="601" spans="1:47" ht="15.75" customHeight="1">
      <c r="A601" s="45">
        <v>44474</v>
      </c>
      <c r="B601" s="64" t="s">
        <v>1512</v>
      </c>
      <c r="C601" s="46" t="s">
        <v>1027</v>
      </c>
      <c r="D601" s="33" t="s">
        <v>1037</v>
      </c>
      <c r="E601" s="47">
        <v>10000</v>
      </c>
      <c r="F601" s="33" t="s">
        <v>1513</v>
      </c>
      <c r="G601" s="44" t="s">
        <v>835</v>
      </c>
      <c r="H601" s="44" t="s">
        <v>1176</v>
      </c>
      <c r="I601" s="44" t="s">
        <v>973</v>
      </c>
      <c r="J601" s="44">
        <v>44421</v>
      </c>
      <c r="K601" s="91" t="s">
        <v>1041</v>
      </c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F601" s="27"/>
      <c r="AG601" s="27"/>
      <c r="AH601" s="27"/>
      <c r="AI601" s="27"/>
      <c r="AJ601" s="27"/>
      <c r="AK601" s="27"/>
      <c r="AL601" s="27"/>
      <c r="AM601" s="27"/>
      <c r="AN601" s="27"/>
      <c r="AO601" s="27"/>
      <c r="AP601" s="27"/>
      <c r="AQ601" s="27"/>
      <c r="AR601" s="27"/>
      <c r="AS601" s="27"/>
      <c r="AT601" s="27"/>
      <c r="AU601" s="27"/>
    </row>
    <row r="602" spans="1:47" ht="15.75" customHeight="1">
      <c r="A602" s="45">
        <v>44474</v>
      </c>
      <c r="B602" s="64" t="s">
        <v>1398</v>
      </c>
      <c r="C602" s="46" t="s">
        <v>1027</v>
      </c>
      <c r="D602" s="33" t="s">
        <v>1037</v>
      </c>
      <c r="E602" s="47">
        <v>10000</v>
      </c>
      <c r="F602" s="33" t="s">
        <v>1399</v>
      </c>
      <c r="G602" s="44" t="s">
        <v>835</v>
      </c>
      <c r="H602" s="44" t="s">
        <v>1176</v>
      </c>
      <c r="I602" s="44" t="s">
        <v>973</v>
      </c>
      <c r="J602" s="44">
        <v>44280</v>
      </c>
      <c r="K602" s="91" t="s">
        <v>1041</v>
      </c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F602" s="27"/>
      <c r="AG602" s="27"/>
      <c r="AH602" s="27"/>
      <c r="AI602" s="27"/>
      <c r="AJ602" s="27"/>
      <c r="AK602" s="27"/>
      <c r="AL602" s="27"/>
      <c r="AM602" s="27"/>
      <c r="AN602" s="27"/>
      <c r="AO602" s="27"/>
      <c r="AP602" s="27"/>
      <c r="AQ602" s="27"/>
      <c r="AR602" s="27"/>
      <c r="AS602" s="27"/>
      <c r="AT602" s="27"/>
      <c r="AU602" s="27"/>
    </row>
    <row r="603" spans="1:47" ht="15.75" customHeight="1">
      <c r="A603" s="45">
        <v>44474</v>
      </c>
      <c r="B603" s="64" t="s">
        <v>1048</v>
      </c>
      <c r="C603" s="46" t="s">
        <v>1027</v>
      </c>
      <c r="D603" s="33" t="s">
        <v>1037</v>
      </c>
      <c r="E603" s="47">
        <v>10000</v>
      </c>
      <c r="F603" s="33" t="s">
        <v>1049</v>
      </c>
      <c r="G603" s="44" t="s">
        <v>830</v>
      </c>
      <c r="H603" s="44" t="s">
        <v>86</v>
      </c>
      <c r="I603" s="44" t="s">
        <v>878</v>
      </c>
      <c r="J603" s="44">
        <v>43703</v>
      </c>
      <c r="K603" s="91" t="s">
        <v>1033</v>
      </c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F603" s="27"/>
      <c r="AG603" s="27"/>
      <c r="AH603" s="27"/>
      <c r="AI603" s="27"/>
      <c r="AJ603" s="27"/>
      <c r="AK603" s="27"/>
      <c r="AL603" s="27"/>
      <c r="AM603" s="27"/>
      <c r="AN603" s="27"/>
      <c r="AO603" s="27"/>
      <c r="AP603" s="27"/>
      <c r="AQ603" s="27"/>
      <c r="AR603" s="27"/>
      <c r="AS603" s="27"/>
      <c r="AT603" s="27"/>
      <c r="AU603" s="27"/>
    </row>
    <row r="604" spans="1:47" ht="15.75" customHeight="1">
      <c r="A604" s="45">
        <v>44474</v>
      </c>
      <c r="B604" s="64" t="s">
        <v>1174</v>
      </c>
      <c r="C604" s="46" t="s">
        <v>1027</v>
      </c>
      <c r="D604" s="33" t="s">
        <v>1037</v>
      </c>
      <c r="E604" s="47">
        <v>40000</v>
      </c>
      <c r="F604" s="33" t="s">
        <v>1175</v>
      </c>
      <c r="G604" s="44" t="s">
        <v>835</v>
      </c>
      <c r="H604" s="44" t="s">
        <v>1176</v>
      </c>
      <c r="I604" s="44" t="s">
        <v>973</v>
      </c>
      <c r="J604" s="44">
        <v>44321</v>
      </c>
      <c r="K604" s="91" t="s">
        <v>1041</v>
      </c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F604" s="27"/>
      <c r="AG604" s="27"/>
      <c r="AH604" s="27"/>
      <c r="AI604" s="27"/>
      <c r="AJ604" s="27"/>
      <c r="AK604" s="27"/>
      <c r="AL604" s="27"/>
      <c r="AM604" s="27"/>
      <c r="AN604" s="27"/>
      <c r="AO604" s="27"/>
      <c r="AP604" s="27"/>
      <c r="AQ604" s="27"/>
      <c r="AR604" s="27"/>
      <c r="AS604" s="27"/>
      <c r="AT604" s="27"/>
      <c r="AU604" s="27"/>
    </row>
    <row r="605" spans="1:47" ht="15.75" customHeight="1">
      <c r="A605" s="45">
        <v>44474</v>
      </c>
      <c r="B605" s="64" t="s">
        <v>1514</v>
      </c>
      <c r="C605" s="46" t="s">
        <v>1027</v>
      </c>
      <c r="D605" s="33" t="s">
        <v>1037</v>
      </c>
      <c r="E605" s="47">
        <v>150000</v>
      </c>
      <c r="F605" s="33" t="s">
        <v>1515</v>
      </c>
      <c r="G605" s="44" t="s">
        <v>830</v>
      </c>
      <c r="H605" s="44" t="s">
        <v>86</v>
      </c>
      <c r="I605" s="44" t="s">
        <v>878</v>
      </c>
      <c r="J605" s="44">
        <v>43879</v>
      </c>
      <c r="K605" s="91" t="s">
        <v>1041</v>
      </c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F605" s="27"/>
      <c r="AG605" s="27"/>
      <c r="AH605" s="27"/>
      <c r="AI605" s="27"/>
      <c r="AJ605" s="27"/>
      <c r="AK605" s="27"/>
      <c r="AL605" s="27"/>
      <c r="AM605" s="27"/>
      <c r="AN605" s="27"/>
      <c r="AO605" s="27"/>
      <c r="AP605" s="27"/>
      <c r="AQ605" s="27"/>
      <c r="AR605" s="27"/>
      <c r="AS605" s="27"/>
      <c r="AT605" s="27"/>
      <c r="AU605" s="27"/>
    </row>
    <row r="606" spans="1:47" ht="15.75" customHeight="1">
      <c r="A606" s="45">
        <v>44475</v>
      </c>
      <c r="B606" s="64" t="s">
        <v>1501</v>
      </c>
      <c r="C606" s="46" t="s">
        <v>1027</v>
      </c>
      <c r="D606" s="33" t="s">
        <v>1037</v>
      </c>
      <c r="E606" s="47">
        <v>30000</v>
      </c>
      <c r="F606" s="33" t="s">
        <v>1502</v>
      </c>
      <c r="G606" s="44" t="s">
        <v>835</v>
      </c>
      <c r="H606" s="44" t="s">
        <v>1176</v>
      </c>
      <c r="I606" s="44" t="s">
        <v>975</v>
      </c>
      <c r="J606" s="44">
        <v>44279</v>
      </c>
      <c r="K606" s="91" t="s">
        <v>1122</v>
      </c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F606" s="27"/>
      <c r="AG606" s="27"/>
      <c r="AH606" s="27"/>
      <c r="AI606" s="27"/>
      <c r="AJ606" s="27"/>
      <c r="AK606" s="27"/>
      <c r="AL606" s="27"/>
      <c r="AM606" s="27"/>
      <c r="AN606" s="27"/>
      <c r="AO606" s="27"/>
      <c r="AP606" s="27"/>
      <c r="AQ606" s="27"/>
      <c r="AR606" s="27"/>
      <c r="AS606" s="27"/>
      <c r="AT606" s="27"/>
      <c r="AU606" s="27"/>
    </row>
    <row r="607" spans="1:47" ht="15.75" customHeight="1">
      <c r="A607" s="45">
        <v>44475</v>
      </c>
      <c r="B607" s="64" t="s">
        <v>1304</v>
      </c>
      <c r="C607" s="46" t="s">
        <v>1027</v>
      </c>
      <c r="D607" s="33" t="s">
        <v>1037</v>
      </c>
      <c r="E607" s="47">
        <v>20000</v>
      </c>
      <c r="F607" s="33" t="s">
        <v>1305</v>
      </c>
      <c r="G607" s="44" t="s">
        <v>835</v>
      </c>
      <c r="H607" s="44" t="s">
        <v>1176</v>
      </c>
      <c r="I607" s="44" t="s">
        <v>971</v>
      </c>
      <c r="J607" s="44">
        <v>44322</v>
      </c>
      <c r="K607" s="91" t="s">
        <v>1041</v>
      </c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F607" s="27"/>
      <c r="AG607" s="27"/>
      <c r="AH607" s="27"/>
      <c r="AI607" s="27"/>
      <c r="AJ607" s="27"/>
      <c r="AK607" s="27"/>
      <c r="AL607" s="27"/>
      <c r="AM607" s="27"/>
      <c r="AN607" s="27"/>
      <c r="AO607" s="27"/>
      <c r="AP607" s="27"/>
      <c r="AQ607" s="27"/>
      <c r="AR607" s="27"/>
      <c r="AS607" s="27"/>
      <c r="AT607" s="27"/>
      <c r="AU607" s="27"/>
    </row>
    <row r="608" spans="1:47" ht="15.75" customHeight="1">
      <c r="A608" s="45">
        <v>44476</v>
      </c>
      <c r="B608" s="64" t="s">
        <v>1516</v>
      </c>
      <c r="C608" s="46" t="s">
        <v>1027</v>
      </c>
      <c r="D608" s="33" t="s">
        <v>1062</v>
      </c>
      <c r="E608" s="90">
        <v>121689.31</v>
      </c>
      <c r="F608" s="33" t="s">
        <v>1517</v>
      </c>
      <c r="G608" s="44" t="s">
        <v>835</v>
      </c>
      <c r="H608" s="44" t="s">
        <v>1176</v>
      </c>
      <c r="I608" s="44" t="s">
        <v>973</v>
      </c>
      <c r="J608" s="44">
        <v>44333</v>
      </c>
      <c r="K608" s="91" t="s">
        <v>1041</v>
      </c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F608" s="27"/>
      <c r="AG608" s="27"/>
      <c r="AH608" s="27"/>
      <c r="AI608" s="27"/>
      <c r="AJ608" s="27"/>
      <c r="AK608" s="27"/>
      <c r="AL608" s="27"/>
      <c r="AM608" s="27"/>
      <c r="AN608" s="27"/>
      <c r="AO608" s="27"/>
      <c r="AP608" s="27"/>
      <c r="AQ608" s="27"/>
      <c r="AR608" s="27"/>
      <c r="AS608" s="27"/>
      <c r="AT608" s="27"/>
      <c r="AU608" s="27"/>
    </row>
    <row r="609" spans="1:47" ht="15.75" customHeight="1">
      <c r="A609" s="45">
        <v>44477</v>
      </c>
      <c r="B609" s="50" t="s">
        <v>1227</v>
      </c>
      <c r="C609" s="46" t="s">
        <v>48</v>
      </c>
      <c r="D609" s="33" t="s">
        <v>1062</v>
      </c>
      <c r="E609" s="90">
        <v>94947.93</v>
      </c>
      <c r="F609" s="33" t="s">
        <v>1228</v>
      </c>
      <c r="G609" s="33" t="s">
        <v>904</v>
      </c>
      <c r="H609" s="33" t="s">
        <v>86</v>
      </c>
      <c r="I609" s="33" t="s">
        <v>961</v>
      </c>
      <c r="J609" s="44">
        <v>44105</v>
      </c>
      <c r="K609" s="92" t="s">
        <v>1030</v>
      </c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F609" s="27"/>
      <c r="AG609" s="27"/>
      <c r="AH609" s="27"/>
      <c r="AI609" s="27"/>
      <c r="AJ609" s="27"/>
      <c r="AK609" s="27"/>
      <c r="AL609" s="27"/>
      <c r="AM609" s="27"/>
      <c r="AN609" s="27"/>
      <c r="AO609" s="27"/>
      <c r="AP609" s="27"/>
      <c r="AQ609" s="27"/>
      <c r="AR609" s="27"/>
      <c r="AS609" s="27"/>
      <c r="AT609" s="27"/>
      <c r="AU609" s="27"/>
    </row>
    <row r="610" spans="1:47" ht="15.75" customHeight="1">
      <c r="A610" s="44">
        <v>44477</v>
      </c>
      <c r="B610" s="57" t="s">
        <v>1518</v>
      </c>
      <c r="C610" s="33" t="s">
        <v>48</v>
      </c>
      <c r="D610" s="33" t="s">
        <v>1028</v>
      </c>
      <c r="E610" s="90">
        <v>0</v>
      </c>
      <c r="F610" s="33" t="s">
        <v>1391</v>
      </c>
      <c r="G610" s="33" t="s">
        <v>904</v>
      </c>
      <c r="H610" s="33" t="s">
        <v>86</v>
      </c>
      <c r="I610" s="33" t="s">
        <v>849</v>
      </c>
      <c r="J610" s="44">
        <v>44238</v>
      </c>
      <c r="K610" s="92" t="s">
        <v>1122</v>
      </c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F610" s="27"/>
      <c r="AG610" s="27"/>
      <c r="AH610" s="27"/>
      <c r="AI610" s="27"/>
      <c r="AJ610" s="27"/>
      <c r="AK610" s="27"/>
      <c r="AL610" s="27"/>
      <c r="AM610" s="27"/>
      <c r="AN610" s="27"/>
      <c r="AO610" s="27"/>
      <c r="AP610" s="27"/>
      <c r="AQ610" s="27"/>
      <c r="AR610" s="27"/>
      <c r="AS610" s="27"/>
      <c r="AT610" s="27"/>
      <c r="AU610" s="27"/>
    </row>
    <row r="611" spans="1:47" ht="15.75" customHeight="1">
      <c r="A611" s="45">
        <v>44480</v>
      </c>
      <c r="B611" s="101" t="s">
        <v>1456</v>
      </c>
      <c r="C611" s="46" t="s">
        <v>1027</v>
      </c>
      <c r="D611" s="33" t="s">
        <v>1037</v>
      </c>
      <c r="E611" s="47">
        <v>20000</v>
      </c>
      <c r="F611" s="33" t="s">
        <v>1457</v>
      </c>
      <c r="G611" s="44" t="s">
        <v>835</v>
      </c>
      <c r="H611" s="44" t="s">
        <v>1176</v>
      </c>
      <c r="I611" s="44" t="s">
        <v>973</v>
      </c>
      <c r="J611" s="44">
        <v>44263</v>
      </c>
      <c r="K611" s="91" t="s">
        <v>1054</v>
      </c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F611" s="27"/>
      <c r="AG611" s="27"/>
      <c r="AH611" s="27"/>
      <c r="AI611" s="27"/>
      <c r="AJ611" s="27"/>
      <c r="AK611" s="27"/>
      <c r="AL611" s="27"/>
      <c r="AM611" s="27"/>
      <c r="AN611" s="27"/>
      <c r="AO611" s="27"/>
      <c r="AP611" s="27"/>
      <c r="AQ611" s="27"/>
      <c r="AR611" s="27"/>
      <c r="AS611" s="27"/>
      <c r="AT611" s="27"/>
      <c r="AU611" s="27"/>
    </row>
    <row r="612" spans="1:47" ht="15.75" customHeight="1">
      <c r="A612" s="44">
        <v>44480</v>
      </c>
      <c r="B612" s="40" t="s">
        <v>1519</v>
      </c>
      <c r="C612" s="33" t="s">
        <v>1027</v>
      </c>
      <c r="D612" s="33" t="s">
        <v>1028</v>
      </c>
      <c r="E612" s="90">
        <v>489398.81</v>
      </c>
      <c r="F612" s="33" t="s">
        <v>1520</v>
      </c>
      <c r="G612" s="44" t="s">
        <v>835</v>
      </c>
      <c r="H612" s="44" t="s">
        <v>1176</v>
      </c>
      <c r="I612" s="44" t="s">
        <v>971</v>
      </c>
      <c r="J612" s="44">
        <v>44280</v>
      </c>
      <c r="K612" s="91" t="s">
        <v>1122</v>
      </c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F612" s="27"/>
      <c r="AG612" s="27"/>
      <c r="AH612" s="27"/>
      <c r="AI612" s="27"/>
      <c r="AJ612" s="27"/>
      <c r="AK612" s="27"/>
      <c r="AL612" s="27"/>
      <c r="AM612" s="27"/>
      <c r="AN612" s="27"/>
      <c r="AO612" s="27"/>
      <c r="AP612" s="27"/>
      <c r="AQ612" s="27"/>
      <c r="AR612" s="27"/>
      <c r="AS612" s="27"/>
      <c r="AT612" s="27"/>
      <c r="AU612" s="27"/>
    </row>
    <row r="613" spans="1:47" ht="15.75" customHeight="1">
      <c r="A613" s="45">
        <v>44482</v>
      </c>
      <c r="B613" s="64" t="s">
        <v>1521</v>
      </c>
      <c r="C613" s="46" t="s">
        <v>48</v>
      </c>
      <c r="D613" s="33" t="s">
        <v>1062</v>
      </c>
      <c r="E613" s="90">
        <v>274363.67</v>
      </c>
      <c r="F613" s="33" t="s">
        <v>1522</v>
      </c>
      <c r="G613" s="33" t="s">
        <v>835</v>
      </c>
      <c r="H613" s="33" t="s">
        <v>1299</v>
      </c>
      <c r="I613" s="33" t="s">
        <v>841</v>
      </c>
      <c r="J613" s="44">
        <v>44356</v>
      </c>
      <c r="K613" s="92" t="s">
        <v>1054</v>
      </c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F613" s="27"/>
      <c r="AG613" s="27"/>
      <c r="AH613" s="27"/>
      <c r="AI613" s="27"/>
      <c r="AJ613" s="27"/>
      <c r="AK613" s="27"/>
      <c r="AL613" s="27"/>
      <c r="AM613" s="27"/>
      <c r="AN613" s="27"/>
      <c r="AO613" s="27"/>
      <c r="AP613" s="27"/>
      <c r="AQ613" s="27"/>
      <c r="AR613" s="27"/>
      <c r="AS613" s="27"/>
      <c r="AT613" s="27"/>
      <c r="AU613" s="27"/>
    </row>
    <row r="614" spans="1:47" ht="15.75" customHeight="1">
      <c r="A614" s="45">
        <v>44482</v>
      </c>
      <c r="B614" s="57" t="s">
        <v>1523</v>
      </c>
      <c r="C614" s="46" t="s">
        <v>48</v>
      </c>
      <c r="D614" s="33" t="s">
        <v>1037</v>
      </c>
      <c r="E614" s="90">
        <v>150000</v>
      </c>
      <c r="F614" s="33" t="s">
        <v>1524</v>
      </c>
      <c r="G614" s="33" t="s">
        <v>830</v>
      </c>
      <c r="H614" s="33" t="s">
        <v>86</v>
      </c>
      <c r="I614" s="33" t="s">
        <v>830</v>
      </c>
      <c r="J614" s="44">
        <v>44118</v>
      </c>
      <c r="K614" s="92" t="s">
        <v>1030</v>
      </c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F614" s="27"/>
      <c r="AG614" s="27"/>
      <c r="AH614" s="27"/>
      <c r="AI614" s="27"/>
      <c r="AJ614" s="27"/>
      <c r="AK614" s="27"/>
      <c r="AL614" s="27"/>
      <c r="AM614" s="27"/>
      <c r="AN614" s="27"/>
      <c r="AO614" s="27"/>
      <c r="AP614" s="27"/>
      <c r="AQ614" s="27"/>
      <c r="AR614" s="27"/>
      <c r="AS614" s="27"/>
      <c r="AT614" s="27"/>
      <c r="AU614" s="27"/>
    </row>
    <row r="615" spans="1:47" ht="15.75" customHeight="1">
      <c r="A615" s="44">
        <v>44482</v>
      </c>
      <c r="B615" s="57" t="s">
        <v>1065</v>
      </c>
      <c r="C615" s="33" t="s">
        <v>1027</v>
      </c>
      <c r="D615" s="33" t="s">
        <v>1028</v>
      </c>
      <c r="E615" s="90">
        <v>15.64</v>
      </c>
      <c r="F615" s="33" t="s">
        <v>1066</v>
      </c>
      <c r="G615" s="44" t="s">
        <v>830</v>
      </c>
      <c r="H615" s="44" t="s">
        <v>86</v>
      </c>
      <c r="I615" s="44" t="s">
        <v>969</v>
      </c>
      <c r="J615" s="44">
        <v>43559</v>
      </c>
      <c r="K615" s="91" t="s">
        <v>1033</v>
      </c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F615" s="27"/>
      <c r="AG615" s="27"/>
      <c r="AH615" s="27"/>
      <c r="AI615" s="27"/>
      <c r="AJ615" s="27"/>
      <c r="AK615" s="27"/>
      <c r="AL615" s="27"/>
      <c r="AM615" s="27"/>
      <c r="AN615" s="27"/>
      <c r="AO615" s="27"/>
      <c r="AP615" s="27"/>
      <c r="AQ615" s="27"/>
      <c r="AR615" s="27"/>
      <c r="AS615" s="27"/>
      <c r="AT615" s="27"/>
      <c r="AU615" s="27"/>
    </row>
    <row r="616" spans="1:47" ht="15.75" customHeight="1">
      <c r="A616" s="44">
        <v>44482</v>
      </c>
      <c r="B616" s="57" t="s">
        <v>1106</v>
      </c>
      <c r="C616" s="33" t="s">
        <v>1027</v>
      </c>
      <c r="D616" s="33" t="s">
        <v>1028</v>
      </c>
      <c r="E616" s="90">
        <v>115.28</v>
      </c>
      <c r="F616" s="33" t="s">
        <v>1107</v>
      </c>
      <c r="G616" s="44" t="s">
        <v>830</v>
      </c>
      <c r="H616" s="44" t="s">
        <v>86</v>
      </c>
      <c r="I616" s="44" t="s">
        <v>878</v>
      </c>
      <c r="J616" s="44">
        <v>43620</v>
      </c>
      <c r="K616" s="91" t="s">
        <v>1030</v>
      </c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F616" s="27"/>
      <c r="AG616" s="27"/>
      <c r="AH616" s="27"/>
      <c r="AI616" s="27"/>
      <c r="AJ616" s="27"/>
      <c r="AK616" s="27"/>
      <c r="AL616" s="27"/>
      <c r="AM616" s="27"/>
      <c r="AN616" s="27"/>
      <c r="AO616" s="27"/>
      <c r="AP616" s="27"/>
      <c r="AQ616" s="27"/>
      <c r="AR616" s="27"/>
      <c r="AS616" s="27"/>
      <c r="AT616" s="27"/>
      <c r="AU616" s="27"/>
    </row>
    <row r="617" spans="1:47" ht="15.75" customHeight="1">
      <c r="A617" s="44">
        <v>44482</v>
      </c>
      <c r="B617" s="57" t="s">
        <v>1130</v>
      </c>
      <c r="C617" s="33" t="s">
        <v>1027</v>
      </c>
      <c r="D617" s="33" t="s">
        <v>1028</v>
      </c>
      <c r="E617" s="90">
        <v>13.08</v>
      </c>
      <c r="F617" s="33" t="s">
        <v>1131</v>
      </c>
      <c r="G617" s="44" t="s">
        <v>830</v>
      </c>
      <c r="H617" s="44" t="s">
        <v>86</v>
      </c>
      <c r="I617" s="44" t="s">
        <v>878</v>
      </c>
      <c r="J617" s="44">
        <v>43675</v>
      </c>
      <c r="K617" s="91" t="s">
        <v>1033</v>
      </c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F617" s="27"/>
      <c r="AG617" s="27"/>
      <c r="AH617" s="27"/>
      <c r="AI617" s="27"/>
      <c r="AJ617" s="27"/>
      <c r="AK617" s="27"/>
      <c r="AL617" s="27"/>
      <c r="AM617" s="27"/>
      <c r="AN617" s="27"/>
      <c r="AO617" s="27"/>
      <c r="AP617" s="27"/>
      <c r="AQ617" s="27"/>
      <c r="AR617" s="27"/>
      <c r="AS617" s="27"/>
      <c r="AT617" s="27"/>
      <c r="AU617" s="27"/>
    </row>
    <row r="618" spans="1:47" ht="15.75" customHeight="1">
      <c r="A618" s="44">
        <v>44482</v>
      </c>
      <c r="B618" s="57" t="s">
        <v>1525</v>
      </c>
      <c r="C618" s="33" t="s">
        <v>1027</v>
      </c>
      <c r="D618" s="33" t="s">
        <v>1028</v>
      </c>
      <c r="E618" s="90"/>
      <c r="F618" s="33" t="s">
        <v>1526</v>
      </c>
      <c r="G618" s="44" t="s">
        <v>830</v>
      </c>
      <c r="H618" s="44" t="s">
        <v>86</v>
      </c>
      <c r="I618" s="44" t="s">
        <v>830</v>
      </c>
      <c r="J618" s="44" t="s">
        <v>1264</v>
      </c>
      <c r="K618" s="91" t="s">
        <v>1041</v>
      </c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F618" s="27"/>
      <c r="AG618" s="27"/>
      <c r="AH618" s="27"/>
      <c r="AI618" s="27"/>
      <c r="AJ618" s="27"/>
      <c r="AK618" s="27"/>
      <c r="AL618" s="27"/>
      <c r="AM618" s="27"/>
      <c r="AN618" s="27"/>
      <c r="AO618" s="27"/>
      <c r="AP618" s="27"/>
      <c r="AQ618" s="27"/>
      <c r="AR618" s="27"/>
      <c r="AS618" s="27"/>
      <c r="AT618" s="27"/>
      <c r="AU618" s="27"/>
    </row>
    <row r="619" spans="1:47" ht="15.75" customHeight="1">
      <c r="A619" s="44">
        <v>44482</v>
      </c>
      <c r="B619" s="57" t="s">
        <v>1286</v>
      </c>
      <c r="C619" s="33" t="s">
        <v>1027</v>
      </c>
      <c r="D619" s="33" t="s">
        <v>1028</v>
      </c>
      <c r="E619" s="90">
        <v>3049.18</v>
      </c>
      <c r="F619" s="33" t="s">
        <v>1287</v>
      </c>
      <c r="G619" s="44" t="s">
        <v>830</v>
      </c>
      <c r="H619" s="44" t="s">
        <v>86</v>
      </c>
      <c r="I619" s="44" t="s">
        <v>830</v>
      </c>
      <c r="J619" s="44">
        <v>44124</v>
      </c>
      <c r="K619" s="91" t="s">
        <v>1041</v>
      </c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F619" s="27"/>
      <c r="AG619" s="27"/>
      <c r="AH619" s="27"/>
      <c r="AI619" s="27"/>
      <c r="AJ619" s="27"/>
      <c r="AK619" s="27"/>
      <c r="AL619" s="27"/>
      <c r="AM619" s="27"/>
      <c r="AN619" s="27"/>
      <c r="AO619" s="27"/>
      <c r="AP619" s="27"/>
      <c r="AQ619" s="27"/>
      <c r="AR619" s="27"/>
      <c r="AS619" s="27"/>
      <c r="AT619" s="27"/>
      <c r="AU619" s="27"/>
    </row>
    <row r="620" spans="1:47" ht="15.75" customHeight="1">
      <c r="A620" s="44">
        <v>44482</v>
      </c>
      <c r="B620" s="57" t="s">
        <v>1284</v>
      </c>
      <c r="C620" s="33" t="s">
        <v>1027</v>
      </c>
      <c r="D620" s="33" t="s">
        <v>1028</v>
      </c>
      <c r="E620" s="90">
        <v>693.98</v>
      </c>
      <c r="F620" s="33" t="s">
        <v>1285</v>
      </c>
      <c r="G620" s="44" t="s">
        <v>830</v>
      </c>
      <c r="H620" s="44" t="s">
        <v>86</v>
      </c>
      <c r="I620" s="44" t="s">
        <v>830</v>
      </c>
      <c r="J620" s="44">
        <v>44118</v>
      </c>
      <c r="K620" s="91" t="s">
        <v>1041</v>
      </c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F620" s="27"/>
      <c r="AG620" s="27"/>
      <c r="AH620" s="27"/>
      <c r="AI620" s="27"/>
      <c r="AJ620" s="27"/>
      <c r="AK620" s="27"/>
      <c r="AL620" s="27"/>
      <c r="AM620" s="27"/>
      <c r="AN620" s="27"/>
      <c r="AO620" s="27"/>
      <c r="AP620" s="27"/>
      <c r="AQ620" s="27"/>
      <c r="AR620" s="27"/>
      <c r="AS620" s="27"/>
      <c r="AT620" s="27"/>
      <c r="AU620" s="27"/>
    </row>
    <row r="621" spans="1:47" ht="15.75" customHeight="1">
      <c r="A621" s="44">
        <v>44482</v>
      </c>
      <c r="B621" s="57" t="s">
        <v>1527</v>
      </c>
      <c r="C621" s="33" t="s">
        <v>1027</v>
      </c>
      <c r="D621" s="33" t="s">
        <v>1028</v>
      </c>
      <c r="E621" s="90"/>
      <c r="F621" s="33" t="s">
        <v>1528</v>
      </c>
      <c r="G621" s="44" t="s">
        <v>830</v>
      </c>
      <c r="H621" s="44" t="s">
        <v>86</v>
      </c>
      <c r="I621" s="44" t="s">
        <v>969</v>
      </c>
      <c r="J621" s="44">
        <v>43609</v>
      </c>
      <c r="K621" s="91" t="s">
        <v>1030</v>
      </c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F621" s="27"/>
      <c r="AG621" s="27"/>
      <c r="AH621" s="27"/>
      <c r="AI621" s="27"/>
      <c r="AJ621" s="27"/>
      <c r="AK621" s="27"/>
      <c r="AL621" s="27"/>
      <c r="AM621" s="27"/>
      <c r="AN621" s="27"/>
      <c r="AO621" s="27"/>
      <c r="AP621" s="27"/>
      <c r="AQ621" s="27"/>
      <c r="AR621" s="27"/>
      <c r="AS621" s="27"/>
      <c r="AT621" s="27"/>
      <c r="AU621" s="27"/>
    </row>
    <row r="622" spans="1:47" ht="15.75" customHeight="1">
      <c r="A622" s="44">
        <v>44482</v>
      </c>
      <c r="B622" s="57" t="s">
        <v>1529</v>
      </c>
      <c r="C622" s="33" t="s">
        <v>1027</v>
      </c>
      <c r="D622" s="33" t="s">
        <v>1028</v>
      </c>
      <c r="E622" s="90"/>
      <c r="F622" s="33" t="s">
        <v>1528</v>
      </c>
      <c r="G622" s="44" t="s">
        <v>830</v>
      </c>
      <c r="H622" s="44" t="s">
        <v>86</v>
      </c>
      <c r="I622" s="44" t="s">
        <v>969</v>
      </c>
      <c r="J622" s="44">
        <v>43609</v>
      </c>
      <c r="K622" s="91" t="s">
        <v>1054</v>
      </c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F622" s="27"/>
      <c r="AG622" s="27"/>
      <c r="AH622" s="27"/>
      <c r="AI622" s="27"/>
      <c r="AJ622" s="27"/>
      <c r="AK622" s="27"/>
      <c r="AL622" s="27"/>
      <c r="AM622" s="27"/>
      <c r="AN622" s="27"/>
      <c r="AO622" s="27"/>
      <c r="AP622" s="27"/>
      <c r="AQ622" s="27"/>
      <c r="AR622" s="27"/>
      <c r="AS622" s="27"/>
      <c r="AT622" s="27"/>
      <c r="AU622" s="27"/>
    </row>
    <row r="623" spans="1:47" ht="15.75" customHeight="1">
      <c r="A623" s="44">
        <v>44482</v>
      </c>
      <c r="B623" s="57" t="s">
        <v>1530</v>
      </c>
      <c r="C623" s="33" t="s">
        <v>1027</v>
      </c>
      <c r="D623" s="33" t="s">
        <v>1028</v>
      </c>
      <c r="E623" s="90"/>
      <c r="F623" s="33"/>
      <c r="G623" s="44"/>
      <c r="H623" s="44"/>
      <c r="I623" s="44"/>
      <c r="J623" s="44"/>
      <c r="K623" s="91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F623" s="27"/>
      <c r="AG623" s="27"/>
      <c r="AH623" s="27"/>
      <c r="AI623" s="27"/>
      <c r="AJ623" s="27"/>
      <c r="AK623" s="27"/>
      <c r="AL623" s="27"/>
      <c r="AM623" s="27"/>
      <c r="AN623" s="27"/>
      <c r="AO623" s="27"/>
      <c r="AP623" s="27"/>
      <c r="AQ623" s="27"/>
      <c r="AR623" s="27"/>
      <c r="AS623" s="27"/>
      <c r="AT623" s="27"/>
      <c r="AU623" s="27"/>
    </row>
    <row r="624" spans="1:47" ht="15.75" customHeight="1">
      <c r="A624" s="44">
        <v>44482</v>
      </c>
      <c r="B624" s="57" t="s">
        <v>1531</v>
      </c>
      <c r="C624" s="33" t="s">
        <v>1027</v>
      </c>
      <c r="D624" s="33" t="s">
        <v>1028</v>
      </c>
      <c r="E624" s="90"/>
      <c r="F624" s="33" t="s">
        <v>1532</v>
      </c>
      <c r="G624" s="44" t="s">
        <v>830</v>
      </c>
      <c r="H624" s="44" t="s">
        <v>86</v>
      </c>
      <c r="I624" s="44" t="s">
        <v>878</v>
      </c>
      <c r="J624" s="44" t="s">
        <v>1264</v>
      </c>
      <c r="K624" s="91" t="s">
        <v>1041</v>
      </c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F624" s="27"/>
      <c r="AG624" s="27"/>
      <c r="AH624" s="27"/>
      <c r="AI624" s="27"/>
      <c r="AJ624" s="27"/>
      <c r="AK624" s="27"/>
      <c r="AL624" s="27"/>
      <c r="AM624" s="27"/>
      <c r="AN624" s="27"/>
      <c r="AO624" s="27"/>
      <c r="AP624" s="27"/>
      <c r="AQ624" s="27"/>
      <c r="AR624" s="27"/>
      <c r="AS624" s="27"/>
      <c r="AT624" s="27"/>
      <c r="AU624" s="27"/>
    </row>
    <row r="625" spans="1:47" ht="15.75" customHeight="1">
      <c r="A625" s="44">
        <v>44482</v>
      </c>
      <c r="B625" s="57" t="s">
        <v>1227</v>
      </c>
      <c r="C625" s="33" t="s">
        <v>48</v>
      </c>
      <c r="D625" s="33" t="s">
        <v>1028</v>
      </c>
      <c r="E625" s="90">
        <v>0</v>
      </c>
      <c r="F625" s="33" t="s">
        <v>1228</v>
      </c>
      <c r="G625" s="33" t="s">
        <v>904</v>
      </c>
      <c r="H625" s="33" t="s">
        <v>86</v>
      </c>
      <c r="I625" s="33" t="s">
        <v>961</v>
      </c>
      <c r="J625" s="44">
        <v>44105</v>
      </c>
      <c r="K625" s="92" t="s">
        <v>1030</v>
      </c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F625" s="27"/>
      <c r="AG625" s="27"/>
      <c r="AH625" s="27"/>
      <c r="AI625" s="27"/>
      <c r="AJ625" s="27"/>
      <c r="AK625" s="27"/>
      <c r="AL625" s="27"/>
      <c r="AM625" s="27"/>
      <c r="AN625" s="27"/>
      <c r="AO625" s="27"/>
      <c r="AP625" s="27"/>
      <c r="AQ625" s="27"/>
      <c r="AR625" s="27"/>
      <c r="AS625" s="27"/>
      <c r="AT625" s="27"/>
      <c r="AU625" s="27"/>
    </row>
    <row r="626" spans="1:47" ht="15.75" customHeight="1">
      <c r="A626" s="45">
        <v>44483</v>
      </c>
      <c r="B626" s="51" t="s">
        <v>1162</v>
      </c>
      <c r="C626" s="33" t="s">
        <v>1027</v>
      </c>
      <c r="D626" s="33" t="s">
        <v>1062</v>
      </c>
      <c r="E626" s="52">
        <v>73572.75</v>
      </c>
      <c r="F626" s="33" t="s">
        <v>1163</v>
      </c>
      <c r="G626" s="44" t="s">
        <v>830</v>
      </c>
      <c r="H626" s="44" t="s">
        <v>86</v>
      </c>
      <c r="I626" s="44" t="s">
        <v>878</v>
      </c>
      <c r="J626" s="44">
        <v>43875</v>
      </c>
      <c r="K626" s="91" t="s">
        <v>1054</v>
      </c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F626" s="27"/>
      <c r="AG626" s="27"/>
      <c r="AH626" s="27"/>
      <c r="AI626" s="27"/>
      <c r="AJ626" s="27"/>
      <c r="AK626" s="27"/>
      <c r="AL626" s="27"/>
      <c r="AM626" s="27"/>
      <c r="AN626" s="27"/>
      <c r="AO626" s="27"/>
      <c r="AP626" s="27"/>
      <c r="AQ626" s="27"/>
      <c r="AR626" s="27"/>
      <c r="AS626" s="27"/>
      <c r="AT626" s="27"/>
      <c r="AU626" s="27"/>
    </row>
    <row r="627" spans="1:47" ht="15.75" customHeight="1">
      <c r="A627" s="45">
        <v>44483</v>
      </c>
      <c r="B627" s="51" t="s">
        <v>1177</v>
      </c>
      <c r="C627" s="33" t="s">
        <v>1027</v>
      </c>
      <c r="D627" s="33" t="s">
        <v>1037</v>
      </c>
      <c r="E627" s="47">
        <v>10000</v>
      </c>
      <c r="F627" s="33" t="s">
        <v>1178</v>
      </c>
      <c r="G627" s="44" t="s">
        <v>835</v>
      </c>
      <c r="H627" s="44" t="s">
        <v>1176</v>
      </c>
      <c r="I627" s="44" t="s">
        <v>973</v>
      </c>
      <c r="J627" s="44">
        <v>44295</v>
      </c>
      <c r="K627" s="91" t="s">
        <v>1179</v>
      </c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F627" s="27"/>
      <c r="AG627" s="27"/>
      <c r="AH627" s="27"/>
      <c r="AI627" s="27"/>
      <c r="AJ627" s="27"/>
      <c r="AK627" s="27"/>
      <c r="AL627" s="27"/>
      <c r="AM627" s="27"/>
      <c r="AN627" s="27"/>
      <c r="AO627" s="27"/>
      <c r="AP627" s="27"/>
      <c r="AQ627" s="27"/>
      <c r="AR627" s="27"/>
      <c r="AS627" s="27"/>
      <c r="AT627" s="27"/>
      <c r="AU627" s="27"/>
    </row>
    <row r="628" spans="1:47" ht="15.75" customHeight="1">
      <c r="A628" s="45">
        <v>44484</v>
      </c>
      <c r="B628" s="40" t="s">
        <v>1483</v>
      </c>
      <c r="C628" s="46" t="s">
        <v>1027</v>
      </c>
      <c r="D628" s="33" t="s">
        <v>1028</v>
      </c>
      <c r="E628" s="47">
        <v>161212.56</v>
      </c>
      <c r="F628" s="33" t="s">
        <v>1484</v>
      </c>
      <c r="G628" s="44" t="s">
        <v>835</v>
      </c>
      <c r="H628" s="44" t="s">
        <v>1176</v>
      </c>
      <c r="I628" s="44" t="s">
        <v>971</v>
      </c>
      <c r="J628" s="44">
        <v>44319</v>
      </c>
      <c r="K628" s="91" t="s">
        <v>1122</v>
      </c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F628" s="27"/>
      <c r="AG628" s="27"/>
      <c r="AH628" s="27"/>
      <c r="AI628" s="27"/>
      <c r="AJ628" s="27"/>
      <c r="AK628" s="27"/>
      <c r="AL628" s="27"/>
      <c r="AM628" s="27"/>
      <c r="AN628" s="27"/>
      <c r="AO628" s="27"/>
      <c r="AP628" s="27"/>
      <c r="AQ628" s="27"/>
      <c r="AR628" s="27"/>
      <c r="AS628" s="27"/>
      <c r="AT628" s="27"/>
      <c r="AU628" s="27"/>
    </row>
    <row r="629" spans="1:47" ht="15.75" customHeight="1">
      <c r="A629" s="44">
        <v>44484</v>
      </c>
      <c r="B629" s="57" t="s">
        <v>1533</v>
      </c>
      <c r="C629" s="33" t="s">
        <v>1027</v>
      </c>
      <c r="D629" s="33" t="s">
        <v>1028</v>
      </c>
      <c r="E629" s="90"/>
      <c r="F629" s="33" t="s">
        <v>1534</v>
      </c>
      <c r="G629" s="44" t="s">
        <v>830</v>
      </c>
      <c r="H629" s="44" t="s">
        <v>86</v>
      </c>
      <c r="I629" s="44" t="s">
        <v>969</v>
      </c>
      <c r="J629" s="44" t="s">
        <v>1264</v>
      </c>
      <c r="K629" s="91" t="s">
        <v>1054</v>
      </c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F629" s="27"/>
      <c r="AG629" s="27"/>
      <c r="AH629" s="27"/>
      <c r="AI629" s="27"/>
      <c r="AJ629" s="27"/>
      <c r="AK629" s="27"/>
      <c r="AL629" s="27"/>
      <c r="AM629" s="27"/>
      <c r="AN629" s="27"/>
      <c r="AO629" s="27"/>
      <c r="AP629" s="27"/>
      <c r="AQ629" s="27"/>
      <c r="AR629" s="27"/>
      <c r="AS629" s="27"/>
      <c r="AT629" s="27"/>
      <c r="AU629" s="27"/>
    </row>
    <row r="630" spans="1:47" ht="15.75" customHeight="1">
      <c r="A630" s="44">
        <v>44484</v>
      </c>
      <c r="B630" s="57" t="s">
        <v>1535</v>
      </c>
      <c r="C630" s="33" t="s">
        <v>1027</v>
      </c>
      <c r="D630" s="33" t="s">
        <v>1028</v>
      </c>
      <c r="E630" s="90"/>
      <c r="F630" s="33" t="s">
        <v>1534</v>
      </c>
      <c r="G630" s="44" t="s">
        <v>830</v>
      </c>
      <c r="H630" s="44" t="s">
        <v>86</v>
      </c>
      <c r="I630" s="44" t="s">
        <v>969</v>
      </c>
      <c r="J630" s="44" t="s">
        <v>1264</v>
      </c>
      <c r="K630" s="91" t="s">
        <v>1030</v>
      </c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F630" s="27"/>
      <c r="AG630" s="27"/>
      <c r="AH630" s="27"/>
      <c r="AI630" s="27"/>
      <c r="AJ630" s="27"/>
      <c r="AK630" s="27"/>
      <c r="AL630" s="27"/>
      <c r="AM630" s="27"/>
      <c r="AN630" s="27"/>
      <c r="AO630" s="27"/>
      <c r="AP630" s="27"/>
      <c r="AQ630" s="27"/>
      <c r="AR630" s="27"/>
      <c r="AS630" s="27"/>
      <c r="AT630" s="27"/>
      <c r="AU630" s="27"/>
    </row>
    <row r="631" spans="1:47" ht="15.75" customHeight="1">
      <c r="A631" s="44">
        <v>44484</v>
      </c>
      <c r="B631" s="64" t="s">
        <v>1235</v>
      </c>
      <c r="C631" s="33" t="s">
        <v>1027</v>
      </c>
      <c r="D631" s="33" t="s">
        <v>1028</v>
      </c>
      <c r="E631" s="90">
        <v>1.47</v>
      </c>
      <c r="F631" s="33" t="s">
        <v>1236</v>
      </c>
      <c r="G631" s="44" t="s">
        <v>830</v>
      </c>
      <c r="H631" s="44" t="s">
        <v>86</v>
      </c>
      <c r="I631" s="44" t="s">
        <v>969</v>
      </c>
      <c r="J631" s="44">
        <v>43861</v>
      </c>
      <c r="K631" s="91" t="s">
        <v>1054</v>
      </c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F631" s="27"/>
      <c r="AG631" s="27"/>
      <c r="AH631" s="27"/>
      <c r="AI631" s="27"/>
      <c r="AJ631" s="27"/>
      <c r="AK631" s="27"/>
      <c r="AL631" s="27"/>
      <c r="AM631" s="27"/>
      <c r="AN631" s="27"/>
      <c r="AO631" s="27"/>
      <c r="AP631" s="27"/>
      <c r="AQ631" s="27"/>
      <c r="AR631" s="27"/>
      <c r="AS631" s="27"/>
      <c r="AT631" s="27"/>
      <c r="AU631" s="27"/>
    </row>
    <row r="632" spans="1:47" ht="15.75" customHeight="1">
      <c r="A632" s="44">
        <v>44484</v>
      </c>
      <c r="B632" s="57" t="s">
        <v>1156</v>
      </c>
      <c r="C632" s="33" t="s">
        <v>1027</v>
      </c>
      <c r="D632" s="33" t="s">
        <v>1028</v>
      </c>
      <c r="E632" s="90">
        <v>2.93</v>
      </c>
      <c r="F632" s="33" t="s">
        <v>1157</v>
      </c>
      <c r="G632" s="44" t="s">
        <v>830</v>
      </c>
      <c r="H632" s="44" t="s">
        <v>86</v>
      </c>
      <c r="I632" s="44" t="s">
        <v>969</v>
      </c>
      <c r="J632" s="44">
        <v>43622</v>
      </c>
      <c r="K632" s="91" t="s">
        <v>1054</v>
      </c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F632" s="27"/>
      <c r="AG632" s="27"/>
      <c r="AH632" s="27"/>
      <c r="AI632" s="27"/>
      <c r="AJ632" s="27"/>
      <c r="AK632" s="27"/>
      <c r="AL632" s="27"/>
      <c r="AM632" s="27"/>
      <c r="AN632" s="27"/>
      <c r="AO632" s="27"/>
      <c r="AP632" s="27"/>
      <c r="AQ632" s="27"/>
      <c r="AR632" s="27"/>
      <c r="AS632" s="27"/>
      <c r="AT632" s="27"/>
      <c r="AU632" s="27"/>
    </row>
    <row r="633" spans="1:47" ht="15.75" customHeight="1">
      <c r="A633" s="44">
        <v>44484</v>
      </c>
      <c r="B633" s="57" t="s">
        <v>1536</v>
      </c>
      <c r="C633" s="33" t="s">
        <v>1027</v>
      </c>
      <c r="D633" s="33" t="s">
        <v>1028</v>
      </c>
      <c r="E633" s="90"/>
      <c r="F633" s="33" t="s">
        <v>1157</v>
      </c>
      <c r="G633" s="44" t="s">
        <v>830</v>
      </c>
      <c r="H633" s="44" t="s">
        <v>86</v>
      </c>
      <c r="I633" s="44" t="s">
        <v>969</v>
      </c>
      <c r="J633" s="44">
        <v>43622</v>
      </c>
      <c r="K633" s="91" t="s">
        <v>1041</v>
      </c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F633" s="27"/>
      <c r="AG633" s="27"/>
      <c r="AH633" s="27"/>
      <c r="AI633" s="27"/>
      <c r="AJ633" s="27"/>
      <c r="AK633" s="27"/>
      <c r="AL633" s="27"/>
      <c r="AM633" s="27"/>
      <c r="AN633" s="27"/>
      <c r="AO633" s="27"/>
      <c r="AP633" s="27"/>
      <c r="AQ633" s="27"/>
      <c r="AR633" s="27"/>
      <c r="AS633" s="27"/>
      <c r="AT633" s="27"/>
      <c r="AU633" s="27"/>
    </row>
    <row r="634" spans="1:47" ht="15.75" customHeight="1">
      <c r="A634" s="44">
        <v>44484</v>
      </c>
      <c r="B634" s="64" t="s">
        <v>1324</v>
      </c>
      <c r="C634" s="33" t="s">
        <v>1027</v>
      </c>
      <c r="D634" s="33" t="s">
        <v>1028</v>
      </c>
      <c r="E634" s="90">
        <v>0.22</v>
      </c>
      <c r="F634" s="33" t="s">
        <v>1325</v>
      </c>
      <c r="G634" s="44" t="s">
        <v>830</v>
      </c>
      <c r="H634" s="44" t="s">
        <v>86</v>
      </c>
      <c r="I634" s="44" t="s">
        <v>830</v>
      </c>
      <c r="J634" s="44">
        <v>44036</v>
      </c>
      <c r="K634" s="91" t="s">
        <v>1054</v>
      </c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F634" s="27"/>
      <c r="AG634" s="27"/>
      <c r="AH634" s="27"/>
      <c r="AI634" s="27"/>
      <c r="AJ634" s="27"/>
      <c r="AK634" s="27"/>
      <c r="AL634" s="27"/>
      <c r="AM634" s="27"/>
      <c r="AN634" s="27"/>
      <c r="AO634" s="27"/>
      <c r="AP634" s="27"/>
      <c r="AQ634" s="27"/>
      <c r="AR634" s="27"/>
      <c r="AS634" s="27"/>
      <c r="AT634" s="27"/>
      <c r="AU634" s="27"/>
    </row>
    <row r="635" spans="1:47" ht="15.75" customHeight="1">
      <c r="A635" s="44">
        <v>44484</v>
      </c>
      <c r="B635" s="57" t="s">
        <v>1537</v>
      </c>
      <c r="C635" s="33" t="s">
        <v>1027</v>
      </c>
      <c r="D635" s="33" t="s">
        <v>1028</v>
      </c>
      <c r="E635" s="90"/>
      <c r="F635" s="33" t="s">
        <v>1538</v>
      </c>
      <c r="G635" s="44" t="s">
        <v>830</v>
      </c>
      <c r="H635" s="44" t="s">
        <v>86</v>
      </c>
      <c r="I635" s="44" t="s">
        <v>969</v>
      </c>
      <c r="J635" s="44" t="s">
        <v>1264</v>
      </c>
      <c r="K635" s="91" t="s">
        <v>1054</v>
      </c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F635" s="27"/>
      <c r="AG635" s="27"/>
      <c r="AH635" s="27"/>
      <c r="AI635" s="27"/>
      <c r="AJ635" s="27"/>
      <c r="AK635" s="27"/>
      <c r="AL635" s="27"/>
      <c r="AM635" s="27"/>
      <c r="AN635" s="27"/>
      <c r="AO635" s="27"/>
      <c r="AP635" s="27"/>
      <c r="AQ635" s="27"/>
      <c r="AR635" s="27"/>
      <c r="AS635" s="27"/>
      <c r="AT635" s="27"/>
      <c r="AU635" s="27"/>
    </row>
    <row r="636" spans="1:47" ht="15.75" customHeight="1">
      <c r="A636" s="44">
        <v>44484</v>
      </c>
      <c r="B636" s="64" t="s">
        <v>1111</v>
      </c>
      <c r="C636" s="33" t="s">
        <v>1027</v>
      </c>
      <c r="D636" s="33" t="s">
        <v>1028</v>
      </c>
      <c r="E636" s="90">
        <v>146.69</v>
      </c>
      <c r="F636" s="33" t="s">
        <v>1112</v>
      </c>
      <c r="G636" s="44" t="s">
        <v>830</v>
      </c>
      <c r="H636" s="44" t="s">
        <v>86</v>
      </c>
      <c r="I636" s="44" t="s">
        <v>878</v>
      </c>
      <c r="J636" s="44">
        <v>43732</v>
      </c>
      <c r="K636" s="91" t="s">
        <v>1033</v>
      </c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F636" s="27"/>
      <c r="AG636" s="27"/>
      <c r="AH636" s="27"/>
      <c r="AI636" s="27"/>
      <c r="AJ636" s="27"/>
      <c r="AK636" s="27"/>
      <c r="AL636" s="27"/>
      <c r="AM636" s="27"/>
      <c r="AN636" s="27"/>
      <c r="AO636" s="27"/>
      <c r="AP636" s="27"/>
      <c r="AQ636" s="27"/>
      <c r="AR636" s="27"/>
      <c r="AS636" s="27"/>
      <c r="AT636" s="27"/>
      <c r="AU636" s="27"/>
    </row>
    <row r="637" spans="1:47" ht="15.75" customHeight="1">
      <c r="A637" s="44">
        <v>44484</v>
      </c>
      <c r="B637" s="57" t="s">
        <v>1539</v>
      </c>
      <c r="C637" s="33" t="s">
        <v>1027</v>
      </c>
      <c r="D637" s="33" t="s">
        <v>1028</v>
      </c>
      <c r="E637" s="90">
        <v>78</v>
      </c>
      <c r="F637" s="33" t="s">
        <v>1540</v>
      </c>
      <c r="G637" s="44" t="s">
        <v>830</v>
      </c>
      <c r="H637" s="44" t="s">
        <v>86</v>
      </c>
      <c r="I637" s="44" t="s">
        <v>969</v>
      </c>
      <c r="J637" s="44">
        <v>43853</v>
      </c>
      <c r="K637" s="91" t="s">
        <v>1041</v>
      </c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F637" s="27"/>
      <c r="AG637" s="27"/>
      <c r="AH637" s="27"/>
      <c r="AI637" s="27"/>
      <c r="AJ637" s="27"/>
      <c r="AK637" s="27"/>
      <c r="AL637" s="27"/>
      <c r="AM637" s="27"/>
      <c r="AN637" s="27"/>
      <c r="AO637" s="27"/>
      <c r="AP637" s="27"/>
      <c r="AQ637" s="27"/>
      <c r="AR637" s="27"/>
      <c r="AS637" s="27"/>
      <c r="AT637" s="27"/>
      <c r="AU637" s="27"/>
    </row>
    <row r="638" spans="1:47" ht="15.75" customHeight="1">
      <c r="A638" s="45">
        <v>44488</v>
      </c>
      <c r="B638" s="53" t="s">
        <v>1541</v>
      </c>
      <c r="C638" s="46" t="s">
        <v>48</v>
      </c>
      <c r="D638" s="33" t="s">
        <v>1062</v>
      </c>
      <c r="E638" s="47">
        <v>44080.95</v>
      </c>
      <c r="F638" s="33" t="s">
        <v>1542</v>
      </c>
      <c r="G638" s="33" t="s">
        <v>904</v>
      </c>
      <c r="H638" s="33" t="s">
        <v>86</v>
      </c>
      <c r="I638" s="33" t="s">
        <v>1543</v>
      </c>
      <c r="J638" s="44">
        <v>44537</v>
      </c>
      <c r="K638" s="92" t="s">
        <v>1122</v>
      </c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F638" s="27"/>
      <c r="AG638" s="27"/>
      <c r="AH638" s="27"/>
      <c r="AI638" s="27"/>
      <c r="AJ638" s="27"/>
      <c r="AK638" s="27"/>
      <c r="AL638" s="27"/>
      <c r="AM638" s="27"/>
      <c r="AN638" s="27"/>
      <c r="AO638" s="27"/>
      <c r="AP638" s="27"/>
      <c r="AQ638" s="27"/>
      <c r="AR638" s="27"/>
      <c r="AS638" s="27"/>
      <c r="AT638" s="27"/>
      <c r="AU638" s="27"/>
    </row>
    <row r="639" spans="1:47" ht="15.75" customHeight="1">
      <c r="A639" s="45">
        <v>44489</v>
      </c>
      <c r="B639" s="51" t="s">
        <v>1505</v>
      </c>
      <c r="C639" s="46" t="s">
        <v>1027</v>
      </c>
      <c r="D639" s="33" t="s">
        <v>1037</v>
      </c>
      <c r="E639" s="47">
        <v>70000</v>
      </c>
      <c r="F639" s="33" t="s">
        <v>1506</v>
      </c>
      <c r="G639" s="44" t="s">
        <v>835</v>
      </c>
      <c r="H639" s="44" t="s">
        <v>1176</v>
      </c>
      <c r="I639" s="44" t="s">
        <v>971</v>
      </c>
      <c r="J639" s="44">
        <v>44393</v>
      </c>
      <c r="K639" s="91" t="s">
        <v>1507</v>
      </c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F639" s="27"/>
      <c r="AG639" s="27"/>
      <c r="AH639" s="27"/>
      <c r="AI639" s="27"/>
      <c r="AJ639" s="27"/>
      <c r="AK639" s="27"/>
      <c r="AL639" s="27"/>
      <c r="AM639" s="27"/>
      <c r="AN639" s="27"/>
      <c r="AO639" s="27"/>
      <c r="AP639" s="27"/>
      <c r="AQ639" s="27"/>
      <c r="AR639" s="27"/>
      <c r="AS639" s="27"/>
      <c r="AT639" s="27"/>
      <c r="AU639" s="27"/>
    </row>
    <row r="640" spans="1:47" ht="15.75" customHeight="1">
      <c r="A640" s="45">
        <v>44489</v>
      </c>
      <c r="B640" s="51" t="s">
        <v>1544</v>
      </c>
      <c r="C640" s="46" t="s">
        <v>48</v>
      </c>
      <c r="D640" s="33" t="s">
        <v>1037</v>
      </c>
      <c r="E640" s="47">
        <v>100000</v>
      </c>
      <c r="F640" s="54" t="s">
        <v>1540</v>
      </c>
      <c r="G640" s="33" t="s">
        <v>830</v>
      </c>
      <c r="H640" s="33" t="s">
        <v>86</v>
      </c>
      <c r="I640" s="33" t="s">
        <v>830</v>
      </c>
      <c r="J640" s="33" t="s">
        <v>1545</v>
      </c>
      <c r="K640" s="92" t="s">
        <v>1054</v>
      </c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F640" s="27"/>
      <c r="AG640" s="27"/>
      <c r="AH640" s="27"/>
      <c r="AI640" s="27"/>
      <c r="AJ640" s="27"/>
      <c r="AK640" s="27"/>
      <c r="AL640" s="27"/>
      <c r="AM640" s="27"/>
      <c r="AN640" s="27"/>
      <c r="AO640" s="27"/>
      <c r="AP640" s="27"/>
      <c r="AQ640" s="27"/>
      <c r="AR640" s="27"/>
      <c r="AS640" s="27"/>
      <c r="AT640" s="27"/>
      <c r="AU640" s="27"/>
    </row>
    <row r="641" spans="1:47" ht="15.75" customHeight="1">
      <c r="A641" s="45">
        <v>44489</v>
      </c>
      <c r="B641" s="38" t="s">
        <v>1546</v>
      </c>
      <c r="C641" s="46" t="s">
        <v>48</v>
      </c>
      <c r="D641" s="33" t="s">
        <v>1028</v>
      </c>
      <c r="E641" s="47">
        <v>90625.34</v>
      </c>
      <c r="F641" s="33" t="s">
        <v>1547</v>
      </c>
      <c r="G641" s="33" t="s">
        <v>835</v>
      </c>
      <c r="H641" s="33" t="s">
        <v>1299</v>
      </c>
      <c r="I641" s="33" t="s">
        <v>886</v>
      </c>
      <c r="J641" s="44">
        <v>44362</v>
      </c>
      <c r="K641" s="92" t="s">
        <v>1122</v>
      </c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F641" s="27"/>
      <c r="AG641" s="27"/>
      <c r="AH641" s="27"/>
      <c r="AI641" s="27"/>
      <c r="AJ641" s="27"/>
      <c r="AK641" s="27"/>
      <c r="AL641" s="27"/>
      <c r="AM641" s="27"/>
      <c r="AN641" s="27"/>
      <c r="AO641" s="27"/>
      <c r="AP641" s="27"/>
      <c r="AQ641" s="27"/>
      <c r="AR641" s="27"/>
      <c r="AS641" s="27"/>
      <c r="AT641" s="27"/>
      <c r="AU641" s="27"/>
    </row>
    <row r="642" spans="1:47" ht="15.75" customHeight="1">
      <c r="A642" s="45">
        <v>44490</v>
      </c>
      <c r="B642" s="53" t="s">
        <v>1240</v>
      </c>
      <c r="C642" s="46" t="s">
        <v>48</v>
      </c>
      <c r="D642" s="33" t="s">
        <v>1037</v>
      </c>
      <c r="E642" s="47">
        <v>16000</v>
      </c>
      <c r="F642" s="33" t="s">
        <v>1241</v>
      </c>
      <c r="G642" s="33" t="s">
        <v>904</v>
      </c>
      <c r="H642" s="33" t="s">
        <v>86</v>
      </c>
      <c r="I642" s="33" t="s">
        <v>935</v>
      </c>
      <c r="J642" s="44">
        <v>44180</v>
      </c>
      <c r="K642" s="92" t="s">
        <v>1041</v>
      </c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F642" s="27"/>
      <c r="AG642" s="27"/>
      <c r="AH642" s="27"/>
      <c r="AI642" s="27"/>
      <c r="AJ642" s="27"/>
      <c r="AK642" s="27"/>
      <c r="AL642" s="27"/>
      <c r="AM642" s="27"/>
      <c r="AN642" s="27"/>
      <c r="AO642" s="27"/>
      <c r="AP642" s="27"/>
      <c r="AQ642" s="27"/>
      <c r="AR642" s="27"/>
      <c r="AS642" s="27"/>
      <c r="AT642" s="27"/>
      <c r="AU642" s="27"/>
    </row>
    <row r="643" spans="1:47" ht="15.75" customHeight="1">
      <c r="A643" s="45">
        <v>44490</v>
      </c>
      <c r="B643" s="55" t="s">
        <v>1548</v>
      </c>
      <c r="C643" s="46" t="s">
        <v>48</v>
      </c>
      <c r="D643" s="33" t="s">
        <v>1028</v>
      </c>
      <c r="E643" s="47">
        <v>661576.63</v>
      </c>
      <c r="F643" s="33" t="s">
        <v>1549</v>
      </c>
      <c r="G643" s="33" t="s">
        <v>904</v>
      </c>
      <c r="H643" s="33" t="s">
        <v>86</v>
      </c>
      <c r="I643" s="33" t="s">
        <v>843</v>
      </c>
      <c r="J643" s="44">
        <v>44490</v>
      </c>
      <c r="K643" s="92" t="s">
        <v>1122</v>
      </c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F643" s="27"/>
      <c r="AG643" s="27"/>
      <c r="AH643" s="27"/>
      <c r="AI643" s="27"/>
      <c r="AJ643" s="27"/>
      <c r="AK643" s="27"/>
      <c r="AL643" s="27"/>
      <c r="AM643" s="27"/>
      <c r="AN643" s="27"/>
      <c r="AO643" s="27"/>
      <c r="AP643" s="27"/>
      <c r="AQ643" s="27"/>
      <c r="AR643" s="27"/>
      <c r="AS643" s="27"/>
      <c r="AT643" s="27"/>
      <c r="AU643" s="27"/>
    </row>
    <row r="644" spans="1:47" ht="15.75" customHeight="1">
      <c r="A644" s="45">
        <v>44490</v>
      </c>
      <c r="B644" s="57" t="s">
        <v>1191</v>
      </c>
      <c r="C644" s="46" t="s">
        <v>1027</v>
      </c>
      <c r="D644" s="33" t="s">
        <v>1028</v>
      </c>
      <c r="E644" s="47">
        <v>1915</v>
      </c>
      <c r="F644" s="33" t="s">
        <v>1192</v>
      </c>
      <c r="G644" s="44" t="s">
        <v>830</v>
      </c>
      <c r="H644" s="44" t="s">
        <v>86</v>
      </c>
      <c r="I644" s="44" t="s">
        <v>878</v>
      </c>
      <c r="J644" s="44">
        <v>43725</v>
      </c>
      <c r="K644" s="91" t="s">
        <v>1033</v>
      </c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F644" s="27"/>
      <c r="AG644" s="27"/>
      <c r="AH644" s="27"/>
      <c r="AI644" s="27"/>
      <c r="AJ644" s="27"/>
      <c r="AK644" s="27"/>
      <c r="AL644" s="27"/>
      <c r="AM644" s="27"/>
      <c r="AN644" s="27"/>
      <c r="AO644" s="27"/>
      <c r="AP644" s="27"/>
      <c r="AQ644" s="27"/>
      <c r="AR644" s="27"/>
      <c r="AS644" s="27"/>
      <c r="AT644" s="27"/>
      <c r="AU644" s="27"/>
    </row>
    <row r="645" spans="1:47" ht="15.75" customHeight="1">
      <c r="A645" s="45">
        <v>44490</v>
      </c>
      <c r="B645" s="38" t="s">
        <v>1084</v>
      </c>
      <c r="C645" s="46" t="s">
        <v>1027</v>
      </c>
      <c r="D645" s="33" t="s">
        <v>1037</v>
      </c>
      <c r="E645" s="47">
        <v>3000</v>
      </c>
      <c r="F645" s="33" t="s">
        <v>1085</v>
      </c>
      <c r="G645" s="44" t="s">
        <v>830</v>
      </c>
      <c r="H645" s="44" t="s">
        <v>86</v>
      </c>
      <c r="I645" s="44" t="s">
        <v>878</v>
      </c>
      <c r="J645" s="44">
        <v>43894</v>
      </c>
      <c r="K645" s="91" t="s">
        <v>1054</v>
      </c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F645" s="27"/>
      <c r="AG645" s="27"/>
      <c r="AH645" s="27"/>
      <c r="AI645" s="27"/>
      <c r="AJ645" s="27"/>
      <c r="AK645" s="27"/>
      <c r="AL645" s="27"/>
      <c r="AM645" s="27"/>
      <c r="AN645" s="27"/>
      <c r="AO645" s="27"/>
      <c r="AP645" s="27"/>
      <c r="AQ645" s="27"/>
      <c r="AR645" s="27"/>
      <c r="AS645" s="27"/>
      <c r="AT645" s="27"/>
      <c r="AU645" s="27"/>
    </row>
    <row r="646" spans="1:47" ht="15.75" customHeight="1">
      <c r="A646" s="45">
        <v>44494</v>
      </c>
      <c r="B646" s="56" t="s">
        <v>1550</v>
      </c>
      <c r="C646" s="46" t="s">
        <v>48</v>
      </c>
      <c r="D646" s="33" t="s">
        <v>1028</v>
      </c>
      <c r="E646" s="47">
        <v>792665.02</v>
      </c>
      <c r="F646" s="33" t="s">
        <v>1551</v>
      </c>
      <c r="G646" s="33" t="s">
        <v>904</v>
      </c>
      <c r="H646" s="33" t="s">
        <v>86</v>
      </c>
      <c r="I646" s="33" t="s">
        <v>902</v>
      </c>
      <c r="J646" s="44">
        <v>44368</v>
      </c>
      <c r="K646" s="92" t="s">
        <v>1030</v>
      </c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F646" s="27"/>
      <c r="AG646" s="27"/>
      <c r="AH646" s="27"/>
      <c r="AI646" s="27"/>
      <c r="AJ646" s="27"/>
      <c r="AK646" s="27"/>
      <c r="AL646" s="27"/>
      <c r="AM646" s="27"/>
      <c r="AN646" s="27"/>
      <c r="AO646" s="27"/>
      <c r="AP646" s="27"/>
      <c r="AQ646" s="27"/>
      <c r="AR646" s="27"/>
      <c r="AS646" s="27"/>
      <c r="AT646" s="27"/>
      <c r="AU646" s="27"/>
    </row>
    <row r="647" spans="1:47" ht="15.75" customHeight="1">
      <c r="A647" s="45">
        <v>44494</v>
      </c>
      <c r="B647" s="38" t="s">
        <v>1177</v>
      </c>
      <c r="C647" s="46" t="s">
        <v>1027</v>
      </c>
      <c r="D647" s="33" t="s">
        <v>1037</v>
      </c>
      <c r="E647" s="47">
        <v>10000</v>
      </c>
      <c r="F647" s="33" t="s">
        <v>1178</v>
      </c>
      <c r="G647" s="44" t="s">
        <v>835</v>
      </c>
      <c r="H647" s="44" t="s">
        <v>1176</v>
      </c>
      <c r="I647" s="44" t="s">
        <v>973</v>
      </c>
      <c r="J647" s="44">
        <v>44295</v>
      </c>
      <c r="K647" s="91" t="s">
        <v>1179</v>
      </c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F647" s="27"/>
      <c r="AG647" s="27"/>
      <c r="AH647" s="27"/>
      <c r="AI647" s="27"/>
      <c r="AJ647" s="27"/>
      <c r="AK647" s="27"/>
      <c r="AL647" s="27"/>
      <c r="AM647" s="27"/>
      <c r="AN647" s="27"/>
      <c r="AO647" s="27"/>
      <c r="AP647" s="27"/>
      <c r="AQ647" s="27"/>
      <c r="AR647" s="27"/>
      <c r="AS647" s="27"/>
      <c r="AT647" s="27"/>
      <c r="AU647" s="27"/>
    </row>
    <row r="648" spans="1:47" ht="15.75" customHeight="1">
      <c r="A648" s="45">
        <v>44494</v>
      </c>
      <c r="B648" s="38" t="s">
        <v>1052</v>
      </c>
      <c r="C648" s="46" t="s">
        <v>1027</v>
      </c>
      <c r="D648" s="33" t="s">
        <v>1037</v>
      </c>
      <c r="E648" s="47">
        <v>12000</v>
      </c>
      <c r="F648" s="33" t="s">
        <v>1053</v>
      </c>
      <c r="G648" s="44" t="s">
        <v>830</v>
      </c>
      <c r="H648" s="44" t="s">
        <v>86</v>
      </c>
      <c r="I648" s="44" t="s">
        <v>878</v>
      </c>
      <c r="J648" s="44">
        <v>43605</v>
      </c>
      <c r="K648" s="91" t="s">
        <v>1054</v>
      </c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F648" s="27"/>
      <c r="AG648" s="27"/>
      <c r="AH648" s="27"/>
      <c r="AI648" s="27"/>
      <c r="AJ648" s="27"/>
      <c r="AK648" s="27"/>
      <c r="AL648" s="27"/>
      <c r="AM648" s="27"/>
      <c r="AN648" s="27"/>
      <c r="AO648" s="27"/>
      <c r="AP648" s="27"/>
      <c r="AQ648" s="27"/>
      <c r="AR648" s="27"/>
      <c r="AS648" s="27"/>
      <c r="AT648" s="27"/>
      <c r="AU648" s="27"/>
    </row>
    <row r="649" spans="1:47" ht="15.75" customHeight="1">
      <c r="A649" s="45">
        <v>44494</v>
      </c>
      <c r="B649" s="38" t="s">
        <v>1552</v>
      </c>
      <c r="C649" s="46" t="s">
        <v>1027</v>
      </c>
      <c r="D649" s="33" t="s">
        <v>1037</v>
      </c>
      <c r="E649" s="47">
        <v>33000</v>
      </c>
      <c r="F649" s="33" t="s">
        <v>1553</v>
      </c>
      <c r="G649" s="33" t="s">
        <v>835</v>
      </c>
      <c r="H649" s="33" t="s">
        <v>1176</v>
      </c>
      <c r="I649" s="33" t="s">
        <v>975</v>
      </c>
      <c r="J649" s="44">
        <v>44383</v>
      </c>
      <c r="K649" s="92" t="s">
        <v>1054</v>
      </c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F649" s="27"/>
      <c r="AG649" s="27"/>
      <c r="AH649" s="27"/>
      <c r="AI649" s="27"/>
      <c r="AJ649" s="27"/>
      <c r="AK649" s="27"/>
      <c r="AL649" s="27"/>
      <c r="AM649" s="27"/>
      <c r="AN649" s="27"/>
      <c r="AO649" s="27"/>
      <c r="AP649" s="27"/>
      <c r="AQ649" s="27"/>
      <c r="AR649" s="27"/>
      <c r="AS649" s="27"/>
      <c r="AT649" s="27"/>
      <c r="AU649" s="27"/>
    </row>
    <row r="650" spans="1:47" ht="15.75" customHeight="1">
      <c r="A650" s="45">
        <v>44494</v>
      </c>
      <c r="B650" s="38" t="s">
        <v>1308</v>
      </c>
      <c r="C650" s="46" t="s">
        <v>1027</v>
      </c>
      <c r="D650" s="33" t="s">
        <v>1037</v>
      </c>
      <c r="E650" s="47">
        <v>10000</v>
      </c>
      <c r="F650" s="33" t="s">
        <v>1309</v>
      </c>
      <c r="G650" s="44" t="s">
        <v>835</v>
      </c>
      <c r="H650" s="44" t="s">
        <v>1176</v>
      </c>
      <c r="I650" s="44" t="s">
        <v>971</v>
      </c>
      <c r="J650" s="44">
        <v>44319</v>
      </c>
      <c r="K650" s="91" t="s">
        <v>1041</v>
      </c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F650" s="27"/>
      <c r="AG650" s="27"/>
      <c r="AH650" s="27"/>
      <c r="AI650" s="27"/>
      <c r="AJ650" s="27"/>
      <c r="AK650" s="27"/>
      <c r="AL650" s="27"/>
      <c r="AM650" s="27"/>
      <c r="AN650" s="27"/>
      <c r="AO650" s="27"/>
      <c r="AP650" s="27"/>
      <c r="AQ650" s="27"/>
      <c r="AR650" s="27"/>
      <c r="AS650" s="27"/>
      <c r="AT650" s="27"/>
      <c r="AU650" s="27"/>
    </row>
    <row r="651" spans="1:47" ht="15.75" customHeight="1">
      <c r="A651" s="45">
        <v>44495</v>
      </c>
      <c r="B651" s="55" t="s">
        <v>1554</v>
      </c>
      <c r="C651" s="46" t="s">
        <v>48</v>
      </c>
      <c r="D651" s="33" t="s">
        <v>1028</v>
      </c>
      <c r="E651" s="47">
        <v>295388.82</v>
      </c>
      <c r="F651" s="33" t="s">
        <v>1555</v>
      </c>
      <c r="G651" s="33" t="s">
        <v>904</v>
      </c>
      <c r="H651" s="33" t="s">
        <v>86</v>
      </c>
      <c r="I651" s="33" t="s">
        <v>890</v>
      </c>
      <c r="J651" s="44">
        <v>44111</v>
      </c>
      <c r="K651" s="92" t="s">
        <v>1122</v>
      </c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F651" s="27"/>
      <c r="AG651" s="27"/>
      <c r="AH651" s="27"/>
      <c r="AI651" s="27"/>
      <c r="AJ651" s="27"/>
      <c r="AK651" s="27"/>
      <c r="AL651" s="27"/>
      <c r="AM651" s="27"/>
      <c r="AN651" s="27"/>
      <c r="AO651" s="27"/>
      <c r="AP651" s="27"/>
      <c r="AQ651" s="27"/>
      <c r="AR651" s="27"/>
      <c r="AS651" s="27"/>
      <c r="AT651" s="27"/>
      <c r="AU651" s="27"/>
    </row>
    <row r="652" spans="1:47" ht="15.75" customHeight="1">
      <c r="A652" s="45">
        <v>44495</v>
      </c>
      <c r="B652" s="38" t="s">
        <v>1288</v>
      </c>
      <c r="C652" s="46" t="s">
        <v>1027</v>
      </c>
      <c r="D652" s="33" t="s">
        <v>1037</v>
      </c>
      <c r="E652" s="47">
        <v>14000</v>
      </c>
      <c r="F652" s="33" t="s">
        <v>1289</v>
      </c>
      <c r="G652" s="44" t="s">
        <v>835</v>
      </c>
      <c r="H652" s="44" t="s">
        <v>1176</v>
      </c>
      <c r="I652" s="44" t="s">
        <v>973</v>
      </c>
      <c r="J652" s="44">
        <v>44280</v>
      </c>
      <c r="K652" s="91" t="s">
        <v>1041</v>
      </c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F652" s="27"/>
      <c r="AG652" s="27"/>
      <c r="AH652" s="27"/>
      <c r="AI652" s="27"/>
      <c r="AJ652" s="27"/>
      <c r="AK652" s="27"/>
      <c r="AL652" s="27"/>
      <c r="AM652" s="27"/>
      <c r="AN652" s="27"/>
      <c r="AO652" s="27"/>
      <c r="AP652" s="27"/>
      <c r="AQ652" s="27"/>
      <c r="AR652" s="27"/>
      <c r="AS652" s="27"/>
      <c r="AT652" s="27"/>
      <c r="AU652" s="27"/>
    </row>
    <row r="653" spans="1:47" ht="15.75" customHeight="1">
      <c r="A653" s="45">
        <v>44497</v>
      </c>
      <c r="B653" s="38" t="s">
        <v>1306</v>
      </c>
      <c r="C653" s="46" t="s">
        <v>1027</v>
      </c>
      <c r="D653" s="33" t="s">
        <v>1037</v>
      </c>
      <c r="E653" s="47">
        <v>40000</v>
      </c>
      <c r="F653" s="33" t="s">
        <v>1307</v>
      </c>
      <c r="G653" s="44" t="s">
        <v>835</v>
      </c>
      <c r="H653" s="44" t="s">
        <v>1176</v>
      </c>
      <c r="I653" s="44" t="s">
        <v>975</v>
      </c>
      <c r="J653" s="44">
        <v>44266</v>
      </c>
      <c r="K653" s="91" t="s">
        <v>1054</v>
      </c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F653" s="27"/>
      <c r="AG653" s="27"/>
      <c r="AH653" s="27"/>
      <c r="AI653" s="27"/>
      <c r="AJ653" s="27"/>
      <c r="AK653" s="27"/>
      <c r="AL653" s="27"/>
      <c r="AM653" s="27"/>
      <c r="AN653" s="27"/>
      <c r="AO653" s="27"/>
      <c r="AP653" s="27"/>
      <c r="AQ653" s="27"/>
      <c r="AR653" s="27"/>
      <c r="AS653" s="27"/>
      <c r="AT653" s="27"/>
      <c r="AU653" s="27"/>
    </row>
    <row r="654" spans="1:47" ht="15.75" customHeight="1">
      <c r="A654" s="45">
        <v>44497</v>
      </c>
      <c r="B654" s="55" t="s">
        <v>1556</v>
      </c>
      <c r="C654" s="46" t="s">
        <v>48</v>
      </c>
      <c r="D654" s="33" t="s">
        <v>1028</v>
      </c>
      <c r="E654" s="47">
        <v>142605.94</v>
      </c>
      <c r="F654" s="33" t="s">
        <v>1557</v>
      </c>
      <c r="G654" s="33" t="s">
        <v>835</v>
      </c>
      <c r="H654" s="33" t="s">
        <v>86</v>
      </c>
      <c r="I654" s="33" t="s">
        <v>866</v>
      </c>
      <c r="J654" s="44">
        <v>44271</v>
      </c>
      <c r="K654" s="92" t="s">
        <v>1438</v>
      </c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F654" s="27"/>
      <c r="AG654" s="27"/>
      <c r="AH654" s="27"/>
      <c r="AI654" s="27"/>
      <c r="AJ654" s="27"/>
      <c r="AK654" s="27"/>
      <c r="AL654" s="27"/>
      <c r="AM654" s="27"/>
      <c r="AN654" s="27"/>
      <c r="AO654" s="27"/>
      <c r="AP654" s="27"/>
      <c r="AQ654" s="27"/>
      <c r="AR654" s="27"/>
      <c r="AS654" s="27"/>
      <c r="AT654" s="27"/>
      <c r="AU654" s="27"/>
    </row>
    <row r="655" spans="1:47" ht="15.75" customHeight="1">
      <c r="A655" s="45">
        <v>44497</v>
      </c>
      <c r="B655" s="55" t="s">
        <v>1558</v>
      </c>
      <c r="C655" s="46" t="s">
        <v>48</v>
      </c>
      <c r="D655" s="33" t="s">
        <v>1028</v>
      </c>
      <c r="E655" s="47">
        <v>148678.48000000001</v>
      </c>
      <c r="F655" s="33" t="s">
        <v>1557</v>
      </c>
      <c r="G655" s="33" t="s">
        <v>835</v>
      </c>
      <c r="H655" s="33" t="s">
        <v>86</v>
      </c>
      <c r="I655" s="33" t="s">
        <v>839</v>
      </c>
      <c r="J655" s="44">
        <v>44272</v>
      </c>
      <c r="K655" s="92" t="s">
        <v>1054</v>
      </c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F655" s="27"/>
      <c r="AG655" s="27"/>
      <c r="AH655" s="27"/>
      <c r="AI655" s="27"/>
      <c r="AJ655" s="27"/>
      <c r="AK655" s="27"/>
      <c r="AL655" s="27"/>
      <c r="AM655" s="27"/>
      <c r="AN655" s="27"/>
      <c r="AO655" s="27"/>
      <c r="AP655" s="27"/>
      <c r="AQ655" s="27"/>
      <c r="AR655" s="27"/>
      <c r="AS655" s="27"/>
      <c r="AT655" s="27"/>
      <c r="AU655" s="27"/>
    </row>
    <row r="656" spans="1:47" ht="15.75" customHeight="1">
      <c r="A656" s="45">
        <v>44498</v>
      </c>
      <c r="B656" s="38" t="s">
        <v>1267</v>
      </c>
      <c r="C656" s="46" t="s">
        <v>1027</v>
      </c>
      <c r="D656" s="33" t="s">
        <v>1037</v>
      </c>
      <c r="E656" s="47">
        <v>20000</v>
      </c>
      <c r="F656" s="33" t="s">
        <v>1268</v>
      </c>
      <c r="G656" s="44" t="s">
        <v>835</v>
      </c>
      <c r="H656" s="44" t="s">
        <v>1176</v>
      </c>
      <c r="I656" s="44" t="s">
        <v>971</v>
      </c>
      <c r="J656" s="44">
        <v>44298</v>
      </c>
      <c r="K656" s="91" t="s">
        <v>1041</v>
      </c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F656" s="27"/>
      <c r="AG656" s="27"/>
      <c r="AH656" s="27"/>
      <c r="AI656" s="27"/>
      <c r="AJ656" s="27"/>
      <c r="AK656" s="27"/>
      <c r="AL656" s="27"/>
      <c r="AM656" s="27"/>
      <c r="AN656" s="27"/>
      <c r="AO656" s="27"/>
      <c r="AP656" s="27"/>
      <c r="AQ656" s="27"/>
      <c r="AR656" s="27"/>
      <c r="AS656" s="27"/>
      <c r="AT656" s="27"/>
      <c r="AU656" s="27"/>
    </row>
    <row r="657" spans="1:47" ht="15.75" customHeight="1">
      <c r="A657" s="45">
        <v>44498</v>
      </c>
      <c r="B657" s="38" t="s">
        <v>1310</v>
      </c>
      <c r="C657" s="46" t="s">
        <v>1027</v>
      </c>
      <c r="D657" s="33" t="s">
        <v>1037</v>
      </c>
      <c r="E657" s="47">
        <v>30000</v>
      </c>
      <c r="F657" s="33" t="s">
        <v>1311</v>
      </c>
      <c r="G657" s="44" t="s">
        <v>835</v>
      </c>
      <c r="H657" s="44" t="s">
        <v>1176</v>
      </c>
      <c r="I657" s="44" t="s">
        <v>973</v>
      </c>
      <c r="J657" s="44">
        <v>44280</v>
      </c>
      <c r="K657" s="91" t="s">
        <v>1122</v>
      </c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F657" s="27"/>
      <c r="AG657" s="27"/>
      <c r="AH657" s="27"/>
      <c r="AI657" s="27"/>
      <c r="AJ657" s="27"/>
      <c r="AK657" s="27"/>
      <c r="AL657" s="27"/>
      <c r="AM657" s="27"/>
      <c r="AN657" s="27"/>
      <c r="AO657" s="27"/>
      <c r="AP657" s="27"/>
      <c r="AQ657" s="27"/>
      <c r="AR657" s="27"/>
      <c r="AS657" s="27"/>
      <c r="AT657" s="27"/>
      <c r="AU657" s="27"/>
    </row>
    <row r="658" spans="1:47" ht="15.75" customHeight="1">
      <c r="A658" s="45">
        <v>44501</v>
      </c>
      <c r="B658" s="38" t="s">
        <v>1113</v>
      </c>
      <c r="C658" s="46" t="s">
        <v>1027</v>
      </c>
      <c r="D658" s="33" t="s">
        <v>1037</v>
      </c>
      <c r="E658" s="47">
        <v>200000</v>
      </c>
      <c r="F658" s="33" t="s">
        <v>1114</v>
      </c>
      <c r="G658" s="44" t="s">
        <v>830</v>
      </c>
      <c r="H658" s="44" t="s">
        <v>86</v>
      </c>
      <c r="I658" s="44" t="s">
        <v>878</v>
      </c>
      <c r="J658" s="44">
        <v>43620</v>
      </c>
      <c r="K658" s="91" t="s">
        <v>1041</v>
      </c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F658" s="27"/>
      <c r="AG658" s="27"/>
      <c r="AH658" s="27"/>
      <c r="AI658" s="27"/>
      <c r="AJ658" s="27"/>
      <c r="AK658" s="27"/>
      <c r="AL658" s="27"/>
      <c r="AM658" s="27"/>
      <c r="AN658" s="27"/>
      <c r="AO658" s="27"/>
      <c r="AP658" s="27"/>
      <c r="AQ658" s="27"/>
      <c r="AR658" s="27"/>
      <c r="AS658" s="27"/>
      <c r="AT658" s="27"/>
      <c r="AU658" s="27"/>
    </row>
    <row r="659" spans="1:47" ht="15.75" customHeight="1">
      <c r="A659" s="45">
        <v>44501</v>
      </c>
      <c r="B659" s="38" t="s">
        <v>1267</v>
      </c>
      <c r="C659" s="46" t="s">
        <v>1027</v>
      </c>
      <c r="D659" s="33" t="s">
        <v>1037</v>
      </c>
      <c r="E659" s="47">
        <v>3000</v>
      </c>
      <c r="F659" s="33" t="s">
        <v>1268</v>
      </c>
      <c r="G659" s="44" t="s">
        <v>835</v>
      </c>
      <c r="H659" s="44" t="s">
        <v>1176</v>
      </c>
      <c r="I659" s="44" t="s">
        <v>971</v>
      </c>
      <c r="J659" s="44">
        <v>44298</v>
      </c>
      <c r="K659" s="91" t="s">
        <v>1041</v>
      </c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F659" s="27"/>
      <c r="AG659" s="27"/>
      <c r="AH659" s="27"/>
      <c r="AI659" s="27"/>
      <c r="AJ659" s="27"/>
      <c r="AK659" s="27"/>
      <c r="AL659" s="27"/>
      <c r="AM659" s="27"/>
      <c r="AN659" s="27"/>
      <c r="AO659" s="27"/>
      <c r="AP659" s="27"/>
      <c r="AQ659" s="27"/>
      <c r="AR659" s="27"/>
      <c r="AS659" s="27"/>
      <c r="AT659" s="27"/>
      <c r="AU659" s="27"/>
    </row>
    <row r="660" spans="1:47" ht="15.75" customHeight="1">
      <c r="A660" s="45">
        <v>44501</v>
      </c>
      <c r="B660" s="38" t="s">
        <v>1174</v>
      </c>
      <c r="C660" s="46" t="s">
        <v>1027</v>
      </c>
      <c r="D660" s="33" t="s">
        <v>1037</v>
      </c>
      <c r="E660" s="47">
        <v>40000</v>
      </c>
      <c r="F660" s="33" t="s">
        <v>1175</v>
      </c>
      <c r="G660" s="44" t="s">
        <v>835</v>
      </c>
      <c r="H660" s="44" t="s">
        <v>1176</v>
      </c>
      <c r="I660" s="44" t="s">
        <v>973</v>
      </c>
      <c r="J660" s="44">
        <v>44321</v>
      </c>
      <c r="K660" s="91" t="s">
        <v>1041</v>
      </c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F660" s="27"/>
      <c r="AG660" s="27"/>
      <c r="AH660" s="27"/>
      <c r="AI660" s="27"/>
      <c r="AJ660" s="27"/>
      <c r="AK660" s="27"/>
      <c r="AL660" s="27"/>
      <c r="AM660" s="27"/>
      <c r="AN660" s="27"/>
      <c r="AO660" s="27"/>
      <c r="AP660" s="27"/>
      <c r="AQ660" s="27"/>
      <c r="AR660" s="27"/>
      <c r="AS660" s="27"/>
      <c r="AT660" s="27"/>
      <c r="AU660" s="27"/>
    </row>
    <row r="661" spans="1:47" ht="15.75" customHeight="1">
      <c r="A661" s="45">
        <v>44503</v>
      </c>
      <c r="B661" s="38" t="s">
        <v>1276</v>
      </c>
      <c r="C661" s="46" t="s">
        <v>1027</v>
      </c>
      <c r="D661" s="33" t="s">
        <v>1037</v>
      </c>
      <c r="E661" s="47">
        <v>30000</v>
      </c>
      <c r="F661" s="33" t="s">
        <v>1277</v>
      </c>
      <c r="G661" s="44" t="s">
        <v>835</v>
      </c>
      <c r="H661" s="44" t="s">
        <v>1176</v>
      </c>
      <c r="I661" s="44" t="s">
        <v>971</v>
      </c>
      <c r="J661" s="44">
        <v>44279</v>
      </c>
      <c r="K661" s="91" t="s">
        <v>1041</v>
      </c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F661" s="27"/>
      <c r="AG661" s="27"/>
      <c r="AH661" s="27"/>
      <c r="AI661" s="27"/>
      <c r="AJ661" s="27"/>
      <c r="AK661" s="27"/>
      <c r="AL661" s="27"/>
      <c r="AM661" s="27"/>
      <c r="AN661" s="27"/>
      <c r="AO661" s="27"/>
      <c r="AP661" s="27"/>
      <c r="AQ661" s="27"/>
      <c r="AR661" s="27"/>
      <c r="AS661" s="27"/>
      <c r="AT661" s="27"/>
      <c r="AU661" s="27"/>
    </row>
    <row r="662" spans="1:47" ht="15.75" customHeight="1">
      <c r="A662" s="45">
        <v>44503</v>
      </c>
      <c r="B662" s="53" t="s">
        <v>1183</v>
      </c>
      <c r="C662" s="46" t="s">
        <v>48</v>
      </c>
      <c r="D662" s="33" t="s">
        <v>1037</v>
      </c>
      <c r="E662" s="47">
        <v>5000</v>
      </c>
      <c r="F662" s="33" t="s">
        <v>1184</v>
      </c>
      <c r="G662" s="33" t="s">
        <v>904</v>
      </c>
      <c r="H662" s="33" t="s">
        <v>86</v>
      </c>
      <c r="I662" s="33" t="s">
        <v>912</v>
      </c>
      <c r="J662" s="44">
        <v>44263</v>
      </c>
      <c r="K662" s="92" t="s">
        <v>1041</v>
      </c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F662" s="27"/>
      <c r="AG662" s="27"/>
      <c r="AH662" s="27"/>
      <c r="AI662" s="27"/>
      <c r="AJ662" s="27"/>
      <c r="AK662" s="27"/>
      <c r="AL662" s="27"/>
      <c r="AM662" s="27"/>
      <c r="AN662" s="27"/>
      <c r="AO662" s="27"/>
      <c r="AP662" s="27"/>
      <c r="AQ662" s="27"/>
      <c r="AR662" s="27"/>
      <c r="AS662" s="27"/>
      <c r="AT662" s="27"/>
      <c r="AU662" s="27"/>
    </row>
    <row r="663" spans="1:47" ht="15.75" customHeight="1">
      <c r="A663" s="45">
        <v>44504</v>
      </c>
      <c r="B663" s="57" t="s">
        <v>1341</v>
      </c>
      <c r="C663" s="46" t="s">
        <v>48</v>
      </c>
      <c r="D663" s="33" t="s">
        <v>1037</v>
      </c>
      <c r="E663" s="47">
        <v>12284.53</v>
      </c>
      <c r="F663" s="33" t="s">
        <v>1342</v>
      </c>
      <c r="G663" s="33" t="s">
        <v>904</v>
      </c>
      <c r="H663" s="33" t="s">
        <v>86</v>
      </c>
      <c r="I663" s="33" t="s">
        <v>1559</v>
      </c>
      <c r="J663" s="44">
        <v>44180</v>
      </c>
      <c r="K663" s="92" t="s">
        <v>1054</v>
      </c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F663" s="27"/>
      <c r="AG663" s="27"/>
      <c r="AH663" s="27"/>
      <c r="AI663" s="27"/>
      <c r="AJ663" s="27"/>
      <c r="AK663" s="27"/>
      <c r="AL663" s="27"/>
      <c r="AM663" s="27"/>
      <c r="AN663" s="27"/>
      <c r="AO663" s="27"/>
      <c r="AP663" s="27"/>
      <c r="AQ663" s="27"/>
      <c r="AR663" s="27"/>
      <c r="AS663" s="27"/>
      <c r="AT663" s="27"/>
      <c r="AU663" s="27"/>
    </row>
    <row r="664" spans="1:47" ht="15.75" customHeight="1">
      <c r="A664" s="45">
        <v>44504</v>
      </c>
      <c r="B664" s="55" t="s">
        <v>1560</v>
      </c>
      <c r="C664" s="46" t="s">
        <v>48</v>
      </c>
      <c r="D664" s="33" t="s">
        <v>1028</v>
      </c>
      <c r="E664" s="47">
        <v>282779.84000000003</v>
      </c>
      <c r="F664" s="33" t="s">
        <v>1561</v>
      </c>
      <c r="G664" s="33" t="s">
        <v>904</v>
      </c>
      <c r="H664" s="33" t="s">
        <v>86</v>
      </c>
      <c r="I664" s="33" t="s">
        <v>849</v>
      </c>
      <c r="J664" s="44">
        <v>44238</v>
      </c>
      <c r="K664" s="92" t="s">
        <v>1122</v>
      </c>
      <c r="L664" s="27"/>
      <c r="M664" s="102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F664" s="27"/>
      <c r="AG664" s="27"/>
      <c r="AH664" s="27"/>
      <c r="AI664" s="27"/>
      <c r="AJ664" s="27"/>
      <c r="AK664" s="27"/>
      <c r="AL664" s="27"/>
      <c r="AM664" s="27"/>
      <c r="AN664" s="27"/>
      <c r="AO664" s="27"/>
      <c r="AP664" s="27"/>
      <c r="AQ664" s="27"/>
      <c r="AR664" s="27"/>
      <c r="AS664" s="27"/>
      <c r="AT664" s="27"/>
      <c r="AU664" s="27"/>
    </row>
    <row r="665" spans="1:47" ht="15.75" customHeight="1">
      <c r="A665" s="45">
        <v>44504</v>
      </c>
      <c r="B665" s="51" t="s">
        <v>1456</v>
      </c>
      <c r="C665" s="46" t="s">
        <v>1027</v>
      </c>
      <c r="D665" s="33" t="s">
        <v>1037</v>
      </c>
      <c r="E665" s="47">
        <v>25000</v>
      </c>
      <c r="F665" s="33" t="s">
        <v>1457</v>
      </c>
      <c r="G665" s="44" t="s">
        <v>835</v>
      </c>
      <c r="H665" s="44" t="s">
        <v>1176</v>
      </c>
      <c r="I665" s="44" t="s">
        <v>973</v>
      </c>
      <c r="J665" s="44">
        <v>44263</v>
      </c>
      <c r="K665" s="91" t="s">
        <v>1054</v>
      </c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F665" s="27"/>
      <c r="AG665" s="27"/>
      <c r="AH665" s="27"/>
      <c r="AI665" s="27"/>
      <c r="AJ665" s="27"/>
      <c r="AK665" s="27"/>
      <c r="AL665" s="27"/>
      <c r="AM665" s="27"/>
      <c r="AN665" s="27"/>
      <c r="AO665" s="27"/>
      <c r="AP665" s="27"/>
      <c r="AQ665" s="27"/>
      <c r="AR665" s="27"/>
      <c r="AS665" s="27"/>
      <c r="AT665" s="27"/>
      <c r="AU665" s="27"/>
    </row>
    <row r="666" spans="1:47" ht="15.75" customHeight="1">
      <c r="A666" s="45">
        <v>44504</v>
      </c>
      <c r="B666" s="40" t="s">
        <v>1378</v>
      </c>
      <c r="C666" s="46" t="s">
        <v>1027</v>
      </c>
      <c r="D666" s="33" t="s">
        <v>1037</v>
      </c>
      <c r="E666" s="47">
        <v>50000</v>
      </c>
      <c r="F666" s="33" t="s">
        <v>1379</v>
      </c>
      <c r="G666" s="44" t="s">
        <v>835</v>
      </c>
      <c r="H666" s="44" t="s">
        <v>1176</v>
      </c>
      <c r="I666" s="44" t="s">
        <v>973</v>
      </c>
      <c r="J666" s="44">
        <v>44263</v>
      </c>
      <c r="K666" s="91" t="s">
        <v>1122</v>
      </c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F666" s="27"/>
      <c r="AG666" s="27"/>
      <c r="AH666" s="27"/>
      <c r="AI666" s="27"/>
      <c r="AJ666" s="27"/>
      <c r="AK666" s="27"/>
      <c r="AL666" s="27"/>
      <c r="AM666" s="27"/>
      <c r="AN666" s="27"/>
      <c r="AO666" s="27"/>
      <c r="AP666" s="27"/>
      <c r="AQ666" s="27"/>
      <c r="AR666" s="27"/>
      <c r="AS666" s="27"/>
      <c r="AT666" s="27"/>
      <c r="AU666" s="27"/>
    </row>
    <row r="667" spans="1:47" ht="15.75" customHeight="1">
      <c r="A667" s="45">
        <v>44504</v>
      </c>
      <c r="B667" s="40" t="s">
        <v>1562</v>
      </c>
      <c r="C667" s="46" t="s">
        <v>1027</v>
      </c>
      <c r="D667" s="33" t="s">
        <v>1037</v>
      </c>
      <c r="E667" s="47">
        <v>10000</v>
      </c>
      <c r="F667" s="33" t="s">
        <v>1563</v>
      </c>
      <c r="G667" s="44" t="s">
        <v>835</v>
      </c>
      <c r="H667" s="44" t="s">
        <v>1176</v>
      </c>
      <c r="I667" s="44" t="s">
        <v>973</v>
      </c>
      <c r="J667" s="44">
        <v>44323</v>
      </c>
      <c r="K667" s="91" t="s">
        <v>1438</v>
      </c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F667" s="27"/>
      <c r="AG667" s="27"/>
      <c r="AH667" s="27"/>
      <c r="AI667" s="27"/>
      <c r="AJ667" s="27"/>
      <c r="AK667" s="27"/>
      <c r="AL667" s="27"/>
      <c r="AM667" s="27"/>
      <c r="AN667" s="27"/>
      <c r="AO667" s="27"/>
      <c r="AP667" s="27"/>
      <c r="AQ667" s="27"/>
      <c r="AR667" s="27"/>
      <c r="AS667" s="27"/>
      <c r="AT667" s="27"/>
      <c r="AU667" s="27"/>
    </row>
    <row r="668" spans="1:47" ht="15.75" customHeight="1">
      <c r="A668" s="45">
        <v>44505</v>
      </c>
      <c r="B668" s="53" t="s">
        <v>1564</v>
      </c>
      <c r="C668" s="46" t="s">
        <v>48</v>
      </c>
      <c r="D668" s="33" t="s">
        <v>1037</v>
      </c>
      <c r="E668" s="47">
        <v>18000</v>
      </c>
      <c r="F668" s="33" t="s">
        <v>1565</v>
      </c>
      <c r="G668" s="33" t="s">
        <v>830</v>
      </c>
      <c r="H668" s="33" t="s">
        <v>86</v>
      </c>
      <c r="I668" s="33" t="s">
        <v>830</v>
      </c>
      <c r="J668" s="44">
        <v>44151</v>
      </c>
      <c r="K668" s="92" t="s">
        <v>1041</v>
      </c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F668" s="27"/>
      <c r="AG668" s="27"/>
      <c r="AH668" s="27"/>
      <c r="AI668" s="27"/>
      <c r="AJ668" s="27"/>
      <c r="AK668" s="27"/>
      <c r="AL668" s="27"/>
      <c r="AM668" s="27"/>
      <c r="AN668" s="27"/>
      <c r="AO668" s="27"/>
      <c r="AP668" s="27"/>
      <c r="AQ668" s="27"/>
      <c r="AR668" s="27"/>
      <c r="AS668" s="27"/>
      <c r="AT668" s="27"/>
      <c r="AU668" s="27"/>
    </row>
    <row r="669" spans="1:47" ht="15.75" customHeight="1">
      <c r="A669" s="45">
        <v>44505</v>
      </c>
      <c r="B669" s="51" t="s">
        <v>1566</v>
      </c>
      <c r="C669" s="46" t="s">
        <v>1027</v>
      </c>
      <c r="D669" s="33" t="s">
        <v>1062</v>
      </c>
      <c r="E669" s="39">
        <v>52493.45</v>
      </c>
      <c r="F669" s="33" t="s">
        <v>1567</v>
      </c>
      <c r="G669" s="44" t="s">
        <v>835</v>
      </c>
      <c r="H669" s="44" t="s">
        <v>1176</v>
      </c>
      <c r="I669" s="44" t="s">
        <v>973</v>
      </c>
      <c r="J669" s="44">
        <v>44411</v>
      </c>
      <c r="K669" s="91" t="s">
        <v>1041</v>
      </c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F669" s="27"/>
      <c r="AG669" s="27"/>
      <c r="AH669" s="27"/>
      <c r="AI669" s="27"/>
      <c r="AJ669" s="27"/>
      <c r="AK669" s="27"/>
      <c r="AL669" s="27"/>
      <c r="AM669" s="27"/>
      <c r="AN669" s="27"/>
      <c r="AO669" s="27"/>
      <c r="AP669" s="27"/>
      <c r="AQ669" s="27"/>
      <c r="AR669" s="27"/>
      <c r="AS669" s="27"/>
      <c r="AT669" s="27"/>
      <c r="AU669" s="27"/>
    </row>
    <row r="670" spans="1:47" ht="15.75" customHeight="1">
      <c r="A670" s="45">
        <v>44505</v>
      </c>
      <c r="B670" s="51" t="s">
        <v>1050</v>
      </c>
      <c r="C670" s="46" t="s">
        <v>1027</v>
      </c>
      <c r="D670" s="33" t="s">
        <v>1037</v>
      </c>
      <c r="E670" s="47">
        <v>200000</v>
      </c>
      <c r="F670" s="33" t="s">
        <v>1051</v>
      </c>
      <c r="G670" s="44" t="s">
        <v>830</v>
      </c>
      <c r="H670" s="44" t="s">
        <v>86</v>
      </c>
      <c r="I670" s="44" t="s">
        <v>878</v>
      </c>
      <c r="J670" s="44">
        <v>43567</v>
      </c>
      <c r="K670" s="91" t="s">
        <v>1041</v>
      </c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F670" s="27"/>
      <c r="AG670" s="27"/>
      <c r="AH670" s="27"/>
      <c r="AI670" s="27"/>
      <c r="AJ670" s="27"/>
      <c r="AK670" s="27"/>
      <c r="AL670" s="27"/>
      <c r="AM670" s="27"/>
      <c r="AN670" s="27"/>
      <c r="AO670" s="27"/>
      <c r="AP670" s="27"/>
      <c r="AQ670" s="27"/>
      <c r="AR670" s="27"/>
      <c r="AS670" s="27"/>
      <c r="AT670" s="27"/>
      <c r="AU670" s="27"/>
    </row>
    <row r="671" spans="1:47" ht="15.75" customHeight="1">
      <c r="A671" s="45">
        <v>44505</v>
      </c>
      <c r="B671" s="55" t="s">
        <v>1568</v>
      </c>
      <c r="C671" s="46" t="s">
        <v>1027</v>
      </c>
      <c r="D671" s="33" t="s">
        <v>1028</v>
      </c>
      <c r="E671" s="47">
        <v>386234.9</v>
      </c>
      <c r="F671" s="33" t="s">
        <v>1569</v>
      </c>
      <c r="G671" s="44" t="s">
        <v>830</v>
      </c>
      <c r="H671" s="44" t="s">
        <v>86</v>
      </c>
      <c r="I671" s="44" t="s">
        <v>878</v>
      </c>
      <c r="J671" s="44">
        <v>43692</v>
      </c>
      <c r="K671" s="91" t="s">
        <v>1033</v>
      </c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F671" s="27"/>
      <c r="AG671" s="27"/>
      <c r="AH671" s="27"/>
      <c r="AI671" s="27"/>
      <c r="AJ671" s="27"/>
      <c r="AK671" s="27"/>
      <c r="AL671" s="27"/>
      <c r="AM671" s="27"/>
      <c r="AN671" s="27"/>
      <c r="AO671" s="27"/>
      <c r="AP671" s="27"/>
      <c r="AQ671" s="27"/>
      <c r="AR671" s="27"/>
      <c r="AS671" s="27"/>
      <c r="AT671" s="27"/>
      <c r="AU671" s="27"/>
    </row>
    <row r="672" spans="1:47" ht="15.75" customHeight="1">
      <c r="A672" s="45">
        <v>44509</v>
      </c>
      <c r="B672" s="51" t="s">
        <v>1489</v>
      </c>
      <c r="C672" s="46" t="s">
        <v>1027</v>
      </c>
      <c r="D672" s="33" t="s">
        <v>1062</v>
      </c>
      <c r="E672" s="47">
        <v>1035319</v>
      </c>
      <c r="F672" s="33" t="s">
        <v>1490</v>
      </c>
      <c r="G672" s="44" t="s">
        <v>835</v>
      </c>
      <c r="H672" s="44" t="s">
        <v>1176</v>
      </c>
      <c r="I672" s="44" t="s">
        <v>973</v>
      </c>
      <c r="J672" s="44">
        <v>44319</v>
      </c>
      <c r="K672" s="91" t="s">
        <v>1041</v>
      </c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F672" s="27"/>
      <c r="AG672" s="27"/>
      <c r="AH672" s="27"/>
      <c r="AI672" s="27"/>
      <c r="AJ672" s="27"/>
      <c r="AK672" s="27"/>
      <c r="AL672" s="27"/>
      <c r="AM672" s="27"/>
      <c r="AN672" s="27"/>
      <c r="AO672" s="27"/>
      <c r="AP672" s="27"/>
      <c r="AQ672" s="27"/>
      <c r="AR672" s="27"/>
      <c r="AS672" s="27"/>
      <c r="AT672" s="27"/>
      <c r="AU672" s="27"/>
    </row>
    <row r="673" spans="1:47" ht="15.75" customHeight="1">
      <c r="A673" s="45">
        <v>44509</v>
      </c>
      <c r="B673" s="51" t="s">
        <v>1570</v>
      </c>
      <c r="C673" s="46" t="s">
        <v>1027</v>
      </c>
      <c r="D673" s="33" t="s">
        <v>1037</v>
      </c>
      <c r="E673" s="47">
        <v>359568.24</v>
      </c>
      <c r="F673" s="33" t="s">
        <v>1571</v>
      </c>
      <c r="G673" s="44" t="s">
        <v>830</v>
      </c>
      <c r="H673" s="44" t="s">
        <v>86</v>
      </c>
      <c r="I673" s="44" t="s">
        <v>878</v>
      </c>
      <c r="J673" s="44">
        <v>43570</v>
      </c>
      <c r="K673" s="91" t="s">
        <v>1054</v>
      </c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F673" s="27"/>
      <c r="AG673" s="27"/>
      <c r="AH673" s="27"/>
      <c r="AI673" s="27"/>
      <c r="AJ673" s="27"/>
      <c r="AK673" s="27"/>
      <c r="AL673" s="27"/>
      <c r="AM673" s="27"/>
      <c r="AN673" s="27"/>
      <c r="AO673" s="27"/>
      <c r="AP673" s="27"/>
      <c r="AQ673" s="27"/>
      <c r="AR673" s="27"/>
      <c r="AS673" s="27"/>
      <c r="AT673" s="27"/>
      <c r="AU673" s="27"/>
    </row>
    <row r="674" spans="1:47" ht="15.75" customHeight="1">
      <c r="A674" s="45">
        <v>44509</v>
      </c>
      <c r="B674" s="38" t="s">
        <v>1048</v>
      </c>
      <c r="C674" s="46" t="s">
        <v>1027</v>
      </c>
      <c r="D674" s="33" t="s">
        <v>1037</v>
      </c>
      <c r="E674" s="98">
        <v>10000</v>
      </c>
      <c r="F674" s="33" t="s">
        <v>1049</v>
      </c>
      <c r="G674" s="44" t="s">
        <v>830</v>
      </c>
      <c r="H674" s="44" t="s">
        <v>86</v>
      </c>
      <c r="I674" s="44" t="s">
        <v>878</v>
      </c>
      <c r="J674" s="44">
        <v>43703</v>
      </c>
      <c r="K674" s="91" t="s">
        <v>1033</v>
      </c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F674" s="27"/>
      <c r="AG674" s="27"/>
      <c r="AH674" s="27"/>
      <c r="AI674" s="27"/>
      <c r="AJ674" s="27"/>
      <c r="AK674" s="27"/>
      <c r="AL674" s="27"/>
      <c r="AM674" s="27"/>
      <c r="AN674" s="27"/>
      <c r="AO674" s="27"/>
      <c r="AP674" s="27"/>
      <c r="AQ674" s="27"/>
      <c r="AR674" s="27"/>
      <c r="AS674" s="27"/>
      <c r="AT674" s="27"/>
      <c r="AU674" s="27"/>
    </row>
    <row r="675" spans="1:47" ht="15.75" customHeight="1">
      <c r="A675" s="45">
        <v>44509</v>
      </c>
      <c r="B675" s="55" t="s">
        <v>1572</v>
      </c>
      <c r="C675" s="46" t="s">
        <v>1027</v>
      </c>
      <c r="D675" s="33" t="s">
        <v>1028</v>
      </c>
      <c r="E675" s="98">
        <v>103527.44</v>
      </c>
      <c r="F675" s="33" t="s">
        <v>1573</v>
      </c>
      <c r="G675" s="44" t="s">
        <v>830</v>
      </c>
      <c r="H675" s="44" t="s">
        <v>86</v>
      </c>
      <c r="I675" s="44" t="s">
        <v>969</v>
      </c>
      <c r="J675" s="44">
        <v>43633</v>
      </c>
      <c r="K675" s="91" t="s">
        <v>1054</v>
      </c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F675" s="27"/>
      <c r="AG675" s="27"/>
      <c r="AH675" s="27"/>
      <c r="AI675" s="27"/>
      <c r="AJ675" s="27"/>
      <c r="AK675" s="27"/>
      <c r="AL675" s="27"/>
      <c r="AM675" s="27"/>
      <c r="AN675" s="27"/>
      <c r="AO675" s="27"/>
      <c r="AP675" s="27"/>
      <c r="AQ675" s="27"/>
      <c r="AR675" s="27"/>
      <c r="AS675" s="27"/>
      <c r="AT675" s="27"/>
      <c r="AU675" s="27"/>
    </row>
    <row r="676" spans="1:47" ht="15.75" customHeight="1">
      <c r="A676" s="45">
        <v>44510</v>
      </c>
      <c r="B676" s="53" t="s">
        <v>1240</v>
      </c>
      <c r="C676" s="46" t="s">
        <v>48</v>
      </c>
      <c r="D676" s="33" t="s">
        <v>1037</v>
      </c>
      <c r="E676" s="98">
        <v>20000</v>
      </c>
      <c r="F676" s="33" t="s">
        <v>1241</v>
      </c>
      <c r="G676" s="33" t="s">
        <v>904</v>
      </c>
      <c r="H676" s="33" t="s">
        <v>86</v>
      </c>
      <c r="I676" s="33" t="s">
        <v>935</v>
      </c>
      <c r="J676" s="44">
        <v>44180</v>
      </c>
      <c r="K676" s="92" t="s">
        <v>1041</v>
      </c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F676" s="27"/>
      <c r="AG676" s="27"/>
      <c r="AH676" s="27"/>
      <c r="AI676" s="27"/>
      <c r="AJ676" s="27"/>
      <c r="AK676" s="27"/>
      <c r="AL676" s="27"/>
      <c r="AM676" s="27"/>
      <c r="AN676" s="27"/>
      <c r="AO676" s="27"/>
      <c r="AP676" s="27"/>
      <c r="AQ676" s="27"/>
      <c r="AR676" s="27"/>
      <c r="AS676" s="27"/>
      <c r="AT676" s="27"/>
      <c r="AU676" s="27"/>
    </row>
    <row r="677" spans="1:47" ht="15.75" customHeight="1">
      <c r="A677" s="45">
        <v>44510</v>
      </c>
      <c r="B677" s="38" t="s">
        <v>1177</v>
      </c>
      <c r="C677" s="46" t="s">
        <v>1027</v>
      </c>
      <c r="D677" s="33" t="s">
        <v>1037</v>
      </c>
      <c r="E677" s="98">
        <v>10000</v>
      </c>
      <c r="F677" s="33" t="s">
        <v>1178</v>
      </c>
      <c r="G677" s="44" t="s">
        <v>835</v>
      </c>
      <c r="H677" s="44" t="s">
        <v>1176</v>
      </c>
      <c r="I677" s="44" t="s">
        <v>973</v>
      </c>
      <c r="J677" s="44">
        <v>44295</v>
      </c>
      <c r="K677" s="91" t="s">
        <v>1179</v>
      </c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F677" s="27"/>
      <c r="AG677" s="27"/>
      <c r="AH677" s="27"/>
      <c r="AI677" s="27"/>
      <c r="AJ677" s="27"/>
      <c r="AK677" s="27"/>
      <c r="AL677" s="27"/>
      <c r="AM677" s="27"/>
      <c r="AN677" s="27"/>
      <c r="AO677" s="27"/>
      <c r="AP677" s="27"/>
      <c r="AQ677" s="27"/>
      <c r="AR677" s="27"/>
      <c r="AS677" s="27"/>
      <c r="AT677" s="27"/>
      <c r="AU677" s="27"/>
    </row>
    <row r="678" spans="1:47" ht="15.75" customHeight="1">
      <c r="A678" s="45">
        <v>44511</v>
      </c>
      <c r="B678" s="38" t="s">
        <v>1314</v>
      </c>
      <c r="C678" s="46" t="s">
        <v>1027</v>
      </c>
      <c r="D678" s="33" t="s">
        <v>1062</v>
      </c>
      <c r="E678" s="103">
        <v>52575.43</v>
      </c>
      <c r="F678" s="33" t="s">
        <v>1315</v>
      </c>
      <c r="G678" s="44" t="s">
        <v>835</v>
      </c>
      <c r="H678" s="44" t="s">
        <v>1176</v>
      </c>
      <c r="I678" s="44" t="s">
        <v>973</v>
      </c>
      <c r="J678" s="44">
        <v>44322</v>
      </c>
      <c r="K678" s="91" t="s">
        <v>1041</v>
      </c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F678" s="27"/>
      <c r="AG678" s="27"/>
      <c r="AH678" s="27"/>
      <c r="AI678" s="27"/>
      <c r="AJ678" s="27"/>
      <c r="AK678" s="27"/>
      <c r="AL678" s="27"/>
      <c r="AM678" s="27"/>
      <c r="AN678" s="27"/>
      <c r="AO678" s="27"/>
      <c r="AP678" s="27"/>
      <c r="AQ678" s="27"/>
      <c r="AR678" s="27"/>
      <c r="AS678" s="27"/>
      <c r="AT678" s="27"/>
      <c r="AU678" s="27"/>
    </row>
    <row r="679" spans="1:47" ht="15.75" customHeight="1">
      <c r="A679" s="45">
        <v>44511</v>
      </c>
      <c r="B679" s="38" t="s">
        <v>1512</v>
      </c>
      <c r="C679" s="46" t="s">
        <v>1027</v>
      </c>
      <c r="D679" s="33" t="s">
        <v>1037</v>
      </c>
      <c r="E679" s="39">
        <v>6843.64</v>
      </c>
      <c r="F679" s="33" t="s">
        <v>1513</v>
      </c>
      <c r="G679" s="44" t="s">
        <v>835</v>
      </c>
      <c r="H679" s="44" t="s">
        <v>1176</v>
      </c>
      <c r="I679" s="44" t="s">
        <v>973</v>
      </c>
      <c r="J679" s="44">
        <v>44421</v>
      </c>
      <c r="K679" s="91" t="s">
        <v>1041</v>
      </c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F679" s="27"/>
      <c r="AG679" s="27"/>
      <c r="AH679" s="27"/>
      <c r="AI679" s="27"/>
      <c r="AJ679" s="27"/>
      <c r="AK679" s="27"/>
      <c r="AL679" s="27"/>
      <c r="AM679" s="27"/>
      <c r="AN679" s="27"/>
      <c r="AO679" s="27"/>
      <c r="AP679" s="27"/>
      <c r="AQ679" s="27"/>
      <c r="AR679" s="27"/>
      <c r="AS679" s="27"/>
      <c r="AT679" s="27"/>
      <c r="AU679" s="27"/>
    </row>
    <row r="680" spans="1:47" ht="15.75" customHeight="1">
      <c r="A680" s="45">
        <v>44512</v>
      </c>
      <c r="B680" s="55" t="s">
        <v>1574</v>
      </c>
      <c r="C680" s="46" t="s">
        <v>48</v>
      </c>
      <c r="D680" s="33" t="s">
        <v>1028</v>
      </c>
      <c r="E680" s="98">
        <v>124370.77</v>
      </c>
      <c r="F680" s="33" t="s">
        <v>1575</v>
      </c>
      <c r="G680" s="33" t="s">
        <v>904</v>
      </c>
      <c r="H680" s="33" t="s">
        <v>86</v>
      </c>
      <c r="I680" s="33" t="s">
        <v>967</v>
      </c>
      <c r="J680" s="44">
        <v>44209</v>
      </c>
      <c r="K680" s="92" t="s">
        <v>1438</v>
      </c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F680" s="27"/>
      <c r="AG680" s="27"/>
      <c r="AH680" s="27"/>
      <c r="AI680" s="27"/>
      <c r="AJ680" s="27"/>
      <c r="AK680" s="27"/>
      <c r="AL680" s="27"/>
      <c r="AM680" s="27"/>
      <c r="AN680" s="27"/>
      <c r="AO680" s="27"/>
      <c r="AP680" s="27"/>
      <c r="AQ680" s="27"/>
      <c r="AR680" s="27"/>
      <c r="AS680" s="27"/>
      <c r="AT680" s="27"/>
      <c r="AU680" s="27"/>
    </row>
    <row r="681" spans="1:47" ht="15.75" customHeight="1">
      <c r="A681" s="45">
        <v>44512</v>
      </c>
      <c r="B681" s="38" t="s">
        <v>1304</v>
      </c>
      <c r="C681" s="46" t="s">
        <v>1027</v>
      </c>
      <c r="D681" s="33" t="s">
        <v>1037</v>
      </c>
      <c r="E681" s="98">
        <v>3000</v>
      </c>
      <c r="F681" s="33" t="s">
        <v>1305</v>
      </c>
      <c r="G681" s="44" t="s">
        <v>835</v>
      </c>
      <c r="H681" s="44" t="s">
        <v>1176</v>
      </c>
      <c r="I681" s="44" t="s">
        <v>971</v>
      </c>
      <c r="J681" s="44">
        <v>44322</v>
      </c>
      <c r="K681" s="91" t="s">
        <v>1041</v>
      </c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F681" s="27"/>
      <c r="AG681" s="27"/>
      <c r="AH681" s="27"/>
      <c r="AI681" s="27"/>
      <c r="AJ681" s="27"/>
      <c r="AK681" s="27"/>
      <c r="AL681" s="27"/>
      <c r="AM681" s="27"/>
      <c r="AN681" s="27"/>
      <c r="AO681" s="27"/>
      <c r="AP681" s="27"/>
      <c r="AQ681" s="27"/>
      <c r="AR681" s="27"/>
      <c r="AS681" s="27"/>
      <c r="AT681" s="27"/>
      <c r="AU681" s="27"/>
    </row>
    <row r="682" spans="1:47" ht="15.75" customHeight="1">
      <c r="A682" s="45">
        <v>44512</v>
      </c>
      <c r="B682" s="58" t="s">
        <v>1566</v>
      </c>
      <c r="C682" s="46" t="s">
        <v>1027</v>
      </c>
      <c r="D682" s="33" t="s">
        <v>1028</v>
      </c>
      <c r="E682" s="98">
        <v>0</v>
      </c>
      <c r="F682" s="33" t="s">
        <v>1567</v>
      </c>
      <c r="G682" s="44" t="s">
        <v>835</v>
      </c>
      <c r="H682" s="44" t="s">
        <v>1176</v>
      </c>
      <c r="I682" s="44" t="s">
        <v>973</v>
      </c>
      <c r="J682" s="44">
        <v>44411</v>
      </c>
      <c r="K682" s="91" t="s">
        <v>1041</v>
      </c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F682" s="27"/>
      <c r="AG682" s="27"/>
      <c r="AH682" s="27"/>
      <c r="AI682" s="27"/>
      <c r="AJ682" s="27"/>
      <c r="AK682" s="27"/>
      <c r="AL682" s="27"/>
      <c r="AM682" s="27"/>
      <c r="AN682" s="27"/>
      <c r="AO682" s="27"/>
      <c r="AP682" s="27"/>
      <c r="AQ682" s="27"/>
      <c r="AR682" s="27"/>
      <c r="AS682" s="27"/>
      <c r="AT682" s="27"/>
      <c r="AU682" s="27"/>
    </row>
    <row r="683" spans="1:47" ht="15.75" customHeight="1">
      <c r="A683" s="45">
        <v>44512</v>
      </c>
      <c r="B683" s="58" t="s">
        <v>1314</v>
      </c>
      <c r="C683" s="46" t="s">
        <v>1027</v>
      </c>
      <c r="D683" s="33" t="s">
        <v>1028</v>
      </c>
      <c r="E683" s="103">
        <v>52575.43</v>
      </c>
      <c r="F683" s="33" t="s">
        <v>1315</v>
      </c>
      <c r="G683" s="44" t="s">
        <v>835</v>
      </c>
      <c r="H683" s="44" t="s">
        <v>1176</v>
      </c>
      <c r="I683" s="44" t="s">
        <v>973</v>
      </c>
      <c r="J683" s="44">
        <v>44322</v>
      </c>
      <c r="K683" s="91" t="s">
        <v>1041</v>
      </c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F683" s="27"/>
      <c r="AG683" s="27"/>
      <c r="AH683" s="27"/>
      <c r="AI683" s="27"/>
      <c r="AJ683" s="27"/>
      <c r="AK683" s="27"/>
      <c r="AL683" s="27"/>
      <c r="AM683" s="27"/>
      <c r="AN683" s="27"/>
      <c r="AO683" s="27"/>
      <c r="AP683" s="27"/>
      <c r="AQ683" s="27"/>
      <c r="AR683" s="27"/>
      <c r="AS683" s="27"/>
      <c r="AT683" s="27"/>
      <c r="AU683" s="27"/>
    </row>
    <row r="684" spans="1:47" ht="15.75" customHeight="1">
      <c r="A684" s="45">
        <v>44512</v>
      </c>
      <c r="B684" s="56" t="s">
        <v>1516</v>
      </c>
      <c r="C684" s="46" t="s">
        <v>1027</v>
      </c>
      <c r="D684" s="33" t="s">
        <v>1028</v>
      </c>
      <c r="E684" s="103">
        <v>3940.3</v>
      </c>
      <c r="F684" s="33" t="s">
        <v>1517</v>
      </c>
      <c r="G684" s="44" t="s">
        <v>835</v>
      </c>
      <c r="H684" s="44" t="s">
        <v>1176</v>
      </c>
      <c r="I684" s="44" t="s">
        <v>973</v>
      </c>
      <c r="J684" s="44">
        <v>44333</v>
      </c>
      <c r="K684" s="91" t="s">
        <v>1041</v>
      </c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F684" s="27"/>
      <c r="AG684" s="27"/>
      <c r="AH684" s="27"/>
      <c r="AI684" s="27"/>
      <c r="AJ684" s="27"/>
      <c r="AK684" s="27"/>
      <c r="AL684" s="27"/>
      <c r="AM684" s="27"/>
      <c r="AN684" s="27"/>
      <c r="AO684" s="27"/>
      <c r="AP684" s="27"/>
      <c r="AQ684" s="27"/>
      <c r="AR684" s="27"/>
      <c r="AS684" s="27"/>
      <c r="AT684" s="27"/>
      <c r="AU684" s="27"/>
    </row>
    <row r="685" spans="1:47" ht="15.75" customHeight="1">
      <c r="A685" s="45">
        <v>44512</v>
      </c>
      <c r="B685" s="55" t="s">
        <v>1491</v>
      </c>
      <c r="C685" s="46" t="s">
        <v>1027</v>
      </c>
      <c r="D685" s="33" t="s">
        <v>1028</v>
      </c>
      <c r="E685" s="98">
        <v>2041.36</v>
      </c>
      <c r="F685" s="33" t="s">
        <v>1492</v>
      </c>
      <c r="G685" s="44" t="s">
        <v>835</v>
      </c>
      <c r="H685" s="44" t="s">
        <v>1176</v>
      </c>
      <c r="I685" s="44" t="s">
        <v>973</v>
      </c>
      <c r="J685" s="44">
        <v>44280</v>
      </c>
      <c r="K685" s="91" t="s">
        <v>1030</v>
      </c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F685" s="27"/>
      <c r="AG685" s="27"/>
      <c r="AH685" s="27"/>
      <c r="AI685" s="27"/>
      <c r="AJ685" s="27"/>
      <c r="AK685" s="27"/>
      <c r="AL685" s="27"/>
      <c r="AM685" s="27"/>
      <c r="AN685" s="27"/>
      <c r="AO685" s="27"/>
      <c r="AP685" s="27"/>
      <c r="AQ685" s="27"/>
      <c r="AR685" s="27"/>
      <c r="AS685" s="27"/>
      <c r="AT685" s="27"/>
      <c r="AU685" s="27"/>
    </row>
    <row r="686" spans="1:47" ht="15.75" customHeight="1">
      <c r="A686" s="45">
        <v>44516</v>
      </c>
      <c r="B686" s="38" t="s">
        <v>1276</v>
      </c>
      <c r="C686" s="46" t="s">
        <v>1027</v>
      </c>
      <c r="D686" s="33" t="s">
        <v>1037</v>
      </c>
      <c r="E686" s="98">
        <v>54835.4</v>
      </c>
      <c r="F686" s="33" t="s">
        <v>1277</v>
      </c>
      <c r="G686" s="44" t="s">
        <v>835</v>
      </c>
      <c r="H686" s="44" t="s">
        <v>1176</v>
      </c>
      <c r="I686" s="44" t="s">
        <v>971</v>
      </c>
      <c r="J686" s="44">
        <v>44279</v>
      </c>
      <c r="K686" s="91" t="s">
        <v>1041</v>
      </c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F686" s="27"/>
      <c r="AG686" s="27"/>
      <c r="AH686" s="27"/>
      <c r="AI686" s="27"/>
      <c r="AJ686" s="27"/>
      <c r="AK686" s="27"/>
      <c r="AL686" s="27"/>
      <c r="AM686" s="27"/>
      <c r="AN686" s="27"/>
      <c r="AO686" s="27"/>
      <c r="AP686" s="27"/>
      <c r="AQ686" s="27"/>
      <c r="AR686" s="27"/>
      <c r="AS686" s="27"/>
      <c r="AT686" s="27"/>
      <c r="AU686" s="27"/>
    </row>
    <row r="687" spans="1:47" ht="15.75" customHeight="1">
      <c r="A687" s="45">
        <v>44516</v>
      </c>
      <c r="B687" s="38" t="s">
        <v>1368</v>
      </c>
      <c r="C687" s="46" t="s">
        <v>1027</v>
      </c>
      <c r="D687" s="33" t="s">
        <v>1037</v>
      </c>
      <c r="E687" s="98">
        <v>100000</v>
      </c>
      <c r="F687" s="33" t="s">
        <v>1369</v>
      </c>
      <c r="G687" s="44" t="s">
        <v>835</v>
      </c>
      <c r="H687" s="44" t="s">
        <v>1176</v>
      </c>
      <c r="I687" s="44" t="s">
        <v>971</v>
      </c>
      <c r="J687" s="44">
        <v>44321</v>
      </c>
      <c r="K687" s="91" t="s">
        <v>1054</v>
      </c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F687" s="27"/>
      <c r="AG687" s="27"/>
      <c r="AH687" s="27"/>
      <c r="AI687" s="27"/>
      <c r="AJ687" s="27"/>
      <c r="AK687" s="27"/>
      <c r="AL687" s="27"/>
      <c r="AM687" s="27"/>
      <c r="AN687" s="27"/>
      <c r="AO687" s="27"/>
      <c r="AP687" s="27"/>
      <c r="AQ687" s="27"/>
      <c r="AR687" s="27"/>
      <c r="AS687" s="27"/>
      <c r="AT687" s="27"/>
      <c r="AU687" s="27"/>
    </row>
    <row r="688" spans="1:47" ht="15.75" customHeight="1">
      <c r="A688" s="45">
        <v>44516</v>
      </c>
      <c r="B688" s="53" t="s">
        <v>1576</v>
      </c>
      <c r="C688" s="46" t="s">
        <v>48</v>
      </c>
      <c r="D688" s="33" t="s">
        <v>1028</v>
      </c>
      <c r="E688" s="98">
        <v>290532.13</v>
      </c>
      <c r="F688" s="33" t="s">
        <v>1577</v>
      </c>
      <c r="G688" s="33" t="s">
        <v>835</v>
      </c>
      <c r="H688" s="33" t="s">
        <v>1299</v>
      </c>
      <c r="I688" s="33" t="s">
        <v>886</v>
      </c>
      <c r="J688" s="44">
        <v>44259</v>
      </c>
      <c r="K688" s="92" t="s">
        <v>1030</v>
      </c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F688" s="27"/>
      <c r="AG688" s="27"/>
      <c r="AH688" s="27"/>
      <c r="AI688" s="27"/>
      <c r="AJ688" s="27"/>
      <c r="AK688" s="27"/>
      <c r="AL688" s="27"/>
      <c r="AM688" s="27"/>
      <c r="AN688" s="27"/>
      <c r="AO688" s="27"/>
      <c r="AP688" s="27"/>
      <c r="AQ688" s="27"/>
      <c r="AR688" s="27"/>
      <c r="AS688" s="27"/>
      <c r="AT688" s="27"/>
      <c r="AU688" s="27"/>
    </row>
    <row r="689" spans="1:47" ht="15.75" customHeight="1">
      <c r="A689" s="45">
        <v>44516</v>
      </c>
      <c r="B689" s="40" t="s">
        <v>1183</v>
      </c>
      <c r="C689" s="46" t="s">
        <v>48</v>
      </c>
      <c r="D689" s="33" t="s">
        <v>1037</v>
      </c>
      <c r="E689" s="98">
        <v>5000</v>
      </c>
      <c r="F689" s="33" t="s">
        <v>1184</v>
      </c>
      <c r="G689" s="33" t="s">
        <v>904</v>
      </c>
      <c r="H689" s="33" t="s">
        <v>86</v>
      </c>
      <c r="I689" s="33" t="s">
        <v>912</v>
      </c>
      <c r="J689" s="44">
        <v>44263</v>
      </c>
      <c r="K689" s="92" t="s">
        <v>1122</v>
      </c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F689" s="27"/>
      <c r="AG689" s="27"/>
      <c r="AH689" s="27"/>
      <c r="AI689" s="27"/>
      <c r="AJ689" s="27"/>
      <c r="AK689" s="27"/>
      <c r="AL689" s="27"/>
      <c r="AM689" s="27"/>
      <c r="AN689" s="27"/>
      <c r="AO689" s="27"/>
      <c r="AP689" s="27"/>
      <c r="AQ689" s="27"/>
      <c r="AR689" s="27"/>
      <c r="AS689" s="27"/>
      <c r="AT689" s="27"/>
      <c r="AU689" s="27"/>
    </row>
    <row r="690" spans="1:47" ht="15.75" customHeight="1">
      <c r="A690" s="45">
        <v>44516</v>
      </c>
      <c r="B690" s="56" t="s">
        <v>1578</v>
      </c>
      <c r="C690" s="46" t="s">
        <v>48</v>
      </c>
      <c r="D690" s="33" t="s">
        <v>1028</v>
      </c>
      <c r="E690" s="98">
        <v>93114.82</v>
      </c>
      <c r="F690" s="33" t="s">
        <v>1579</v>
      </c>
      <c r="G690" s="33" t="s">
        <v>904</v>
      </c>
      <c r="H690" s="33" t="s">
        <v>86</v>
      </c>
      <c r="I690" s="33" t="s">
        <v>931</v>
      </c>
      <c r="J690" s="44">
        <v>44407</v>
      </c>
      <c r="K690" s="91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F690" s="27"/>
      <c r="AG690" s="27"/>
      <c r="AH690" s="27"/>
      <c r="AI690" s="27"/>
      <c r="AJ690" s="27"/>
      <c r="AK690" s="27"/>
      <c r="AL690" s="27"/>
      <c r="AM690" s="27"/>
      <c r="AN690" s="27"/>
      <c r="AO690" s="27"/>
      <c r="AP690" s="27"/>
      <c r="AQ690" s="27"/>
      <c r="AR690" s="27"/>
      <c r="AS690" s="27"/>
      <c r="AT690" s="27"/>
      <c r="AU690" s="27"/>
    </row>
    <row r="691" spans="1:47" ht="15.75" customHeight="1">
      <c r="A691" s="45">
        <v>44516</v>
      </c>
      <c r="B691" s="38" t="s">
        <v>1580</v>
      </c>
      <c r="C691" s="46" t="s">
        <v>48</v>
      </c>
      <c r="D691" s="33" t="s">
        <v>1037</v>
      </c>
      <c r="E691" s="98">
        <v>48809.84</v>
      </c>
      <c r="F691" s="33" t="s">
        <v>1581</v>
      </c>
      <c r="G691" s="33" t="s">
        <v>835</v>
      </c>
      <c r="H691" s="33" t="s">
        <v>1299</v>
      </c>
      <c r="I691" s="33" t="s">
        <v>841</v>
      </c>
      <c r="J691" s="44">
        <v>44340</v>
      </c>
      <c r="K691" s="92" t="s">
        <v>1030</v>
      </c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F691" s="27"/>
      <c r="AG691" s="27"/>
      <c r="AH691" s="27"/>
      <c r="AI691" s="27"/>
      <c r="AJ691" s="27"/>
      <c r="AK691" s="27"/>
      <c r="AL691" s="27"/>
      <c r="AM691" s="27"/>
      <c r="AN691" s="27"/>
      <c r="AO691" s="27"/>
      <c r="AP691" s="27"/>
      <c r="AQ691" s="27"/>
      <c r="AR691" s="27"/>
      <c r="AS691" s="27"/>
      <c r="AT691" s="27"/>
      <c r="AU691" s="27"/>
    </row>
    <row r="692" spans="1:47" ht="15.75" customHeight="1">
      <c r="A692" s="45">
        <v>44517</v>
      </c>
      <c r="B692" s="57" t="s">
        <v>1582</v>
      </c>
      <c r="C692" s="46" t="s">
        <v>48</v>
      </c>
      <c r="D692" s="33" t="s">
        <v>1037</v>
      </c>
      <c r="E692" s="98">
        <v>10000</v>
      </c>
      <c r="F692" s="33" t="s">
        <v>1583</v>
      </c>
      <c r="G692" s="33" t="s">
        <v>835</v>
      </c>
      <c r="H692" s="33" t="s">
        <v>86</v>
      </c>
      <c r="I692" s="33" t="s">
        <v>920</v>
      </c>
      <c r="J692" s="44">
        <v>44399</v>
      </c>
      <c r="K692" s="92" t="s">
        <v>1041</v>
      </c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F692" s="27"/>
      <c r="AG692" s="27"/>
      <c r="AH692" s="27"/>
      <c r="AI692" s="27"/>
      <c r="AJ692" s="27"/>
      <c r="AK692" s="27"/>
      <c r="AL692" s="27"/>
      <c r="AM692" s="27"/>
      <c r="AN692" s="27"/>
      <c r="AO692" s="27"/>
      <c r="AP692" s="27"/>
      <c r="AQ692" s="27"/>
      <c r="AR692" s="27"/>
      <c r="AS692" s="27"/>
      <c r="AT692" s="27"/>
      <c r="AU692" s="27"/>
    </row>
    <row r="693" spans="1:47" ht="15.75" customHeight="1">
      <c r="A693" s="45">
        <v>44517</v>
      </c>
      <c r="B693" s="55" t="s">
        <v>1322</v>
      </c>
      <c r="C693" s="46" t="s">
        <v>1027</v>
      </c>
      <c r="D693" s="33" t="s">
        <v>1028</v>
      </c>
      <c r="E693" s="98">
        <v>370651.89</v>
      </c>
      <c r="F693" s="33" t="s">
        <v>1323</v>
      </c>
      <c r="G693" s="44" t="s">
        <v>830</v>
      </c>
      <c r="H693" s="44" t="s">
        <v>86</v>
      </c>
      <c r="I693" s="44" t="s">
        <v>969</v>
      </c>
      <c r="J693" s="44">
        <v>43752</v>
      </c>
      <c r="K693" s="91" t="s">
        <v>1041</v>
      </c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F693" s="27"/>
      <c r="AG693" s="27"/>
      <c r="AH693" s="27"/>
      <c r="AI693" s="27"/>
      <c r="AJ693" s="27"/>
      <c r="AK693" s="27"/>
      <c r="AL693" s="27"/>
      <c r="AM693" s="27"/>
      <c r="AN693" s="27"/>
      <c r="AO693" s="27"/>
      <c r="AP693" s="27"/>
      <c r="AQ693" s="27"/>
      <c r="AR693" s="27"/>
      <c r="AS693" s="27"/>
      <c r="AT693" s="27"/>
      <c r="AU693" s="27"/>
    </row>
    <row r="694" spans="1:47" ht="15.75" customHeight="1">
      <c r="A694" s="45">
        <v>44517</v>
      </c>
      <c r="B694" s="38" t="s">
        <v>1308</v>
      </c>
      <c r="C694" s="46" t="s">
        <v>1027</v>
      </c>
      <c r="D694" s="33" t="s">
        <v>1037</v>
      </c>
      <c r="E694" s="98">
        <v>10000</v>
      </c>
      <c r="F694" s="33" t="s">
        <v>1309</v>
      </c>
      <c r="G694" s="44" t="s">
        <v>835</v>
      </c>
      <c r="H694" s="44" t="s">
        <v>1176</v>
      </c>
      <c r="I694" s="44" t="s">
        <v>971</v>
      </c>
      <c r="J694" s="44">
        <v>44319</v>
      </c>
      <c r="K694" s="91" t="s">
        <v>1041</v>
      </c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F694" s="27"/>
      <c r="AG694" s="27"/>
      <c r="AH694" s="27"/>
      <c r="AI694" s="27"/>
      <c r="AJ694" s="27"/>
      <c r="AK694" s="27"/>
      <c r="AL694" s="27"/>
      <c r="AM694" s="27"/>
      <c r="AN694" s="27"/>
      <c r="AO694" s="27"/>
      <c r="AP694" s="27"/>
      <c r="AQ694" s="27"/>
      <c r="AR694" s="27"/>
      <c r="AS694" s="27"/>
      <c r="AT694" s="27"/>
      <c r="AU694" s="27"/>
    </row>
    <row r="695" spans="1:47" ht="15.75" customHeight="1">
      <c r="A695" s="45">
        <v>44518</v>
      </c>
      <c r="B695" s="38" t="s">
        <v>1584</v>
      </c>
      <c r="C695" s="46" t="s">
        <v>48</v>
      </c>
      <c r="D695" s="33" t="s">
        <v>1037</v>
      </c>
      <c r="E695" s="98">
        <v>25000</v>
      </c>
      <c r="F695" s="33" t="s">
        <v>1585</v>
      </c>
      <c r="G695" s="33" t="s">
        <v>830</v>
      </c>
      <c r="H695" s="59" t="s">
        <v>86</v>
      </c>
      <c r="I695" s="59" t="s">
        <v>830</v>
      </c>
      <c r="J695" s="60">
        <v>44452</v>
      </c>
      <c r="K695" s="92" t="s">
        <v>1041</v>
      </c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F695" s="27"/>
      <c r="AG695" s="27"/>
      <c r="AH695" s="27"/>
      <c r="AI695" s="27"/>
      <c r="AJ695" s="27"/>
      <c r="AK695" s="27"/>
      <c r="AL695" s="27"/>
      <c r="AM695" s="27"/>
      <c r="AN695" s="27"/>
      <c r="AO695" s="27"/>
      <c r="AP695" s="27"/>
      <c r="AQ695" s="27"/>
      <c r="AR695" s="27"/>
      <c r="AS695" s="27"/>
      <c r="AT695" s="27"/>
      <c r="AU695" s="27"/>
    </row>
    <row r="696" spans="1:47" ht="15.75" customHeight="1">
      <c r="A696" s="45">
        <v>44518</v>
      </c>
      <c r="B696" s="38" t="s">
        <v>1148</v>
      </c>
      <c r="C696" s="46" t="s">
        <v>1027</v>
      </c>
      <c r="D696" s="33" t="s">
        <v>1062</v>
      </c>
      <c r="E696" s="98">
        <v>282315.92</v>
      </c>
      <c r="F696" s="33" t="s">
        <v>1149</v>
      </c>
      <c r="G696" s="44" t="s">
        <v>830</v>
      </c>
      <c r="H696" s="44" t="s">
        <v>86</v>
      </c>
      <c r="I696" s="44" t="s">
        <v>878</v>
      </c>
      <c r="J696" s="44">
        <v>43707</v>
      </c>
      <c r="K696" s="91" t="s">
        <v>1030</v>
      </c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F696" s="27"/>
      <c r="AG696" s="27"/>
      <c r="AH696" s="27"/>
      <c r="AI696" s="27"/>
      <c r="AJ696" s="27"/>
      <c r="AK696" s="27"/>
      <c r="AL696" s="27"/>
      <c r="AM696" s="27"/>
      <c r="AN696" s="27"/>
      <c r="AO696" s="27"/>
      <c r="AP696" s="27"/>
      <c r="AQ696" s="27"/>
      <c r="AR696" s="27"/>
      <c r="AS696" s="27"/>
      <c r="AT696" s="27"/>
      <c r="AU696" s="27"/>
    </row>
    <row r="697" spans="1:47" ht="15.75" customHeight="1">
      <c r="A697" s="45">
        <v>44518</v>
      </c>
      <c r="B697" s="53" t="s">
        <v>1586</v>
      </c>
      <c r="C697" s="46" t="s">
        <v>1027</v>
      </c>
      <c r="D697" s="33" t="s">
        <v>1062</v>
      </c>
      <c r="E697" s="98">
        <v>33813.279999999999</v>
      </c>
      <c r="F697" s="33" t="s">
        <v>1587</v>
      </c>
      <c r="G697" s="44" t="s">
        <v>830</v>
      </c>
      <c r="H697" s="44" t="s">
        <v>86</v>
      </c>
      <c r="I697" s="44" t="s">
        <v>878</v>
      </c>
      <c r="J697" s="44">
        <v>43769</v>
      </c>
      <c r="K697" s="91" t="s">
        <v>1054</v>
      </c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F697" s="27"/>
      <c r="AG697" s="27"/>
      <c r="AH697" s="27"/>
      <c r="AI697" s="27"/>
      <c r="AJ697" s="27"/>
      <c r="AK697" s="27"/>
      <c r="AL697" s="27"/>
      <c r="AM697" s="27"/>
      <c r="AN697" s="27"/>
      <c r="AO697" s="27"/>
      <c r="AP697" s="27"/>
      <c r="AQ697" s="27"/>
      <c r="AR697" s="27"/>
      <c r="AS697" s="27"/>
      <c r="AT697" s="27"/>
      <c r="AU697" s="27"/>
    </row>
    <row r="698" spans="1:47" ht="15.75" customHeight="1">
      <c r="A698" s="45">
        <v>44518</v>
      </c>
      <c r="B698" s="38" t="s">
        <v>1328</v>
      </c>
      <c r="C698" s="46" t="s">
        <v>1027</v>
      </c>
      <c r="D698" s="33" t="s">
        <v>1062</v>
      </c>
      <c r="E698" s="98">
        <v>90662.42</v>
      </c>
      <c r="F698" s="33" t="s">
        <v>1329</v>
      </c>
      <c r="G698" s="44" t="s">
        <v>830</v>
      </c>
      <c r="H698" s="44" t="s">
        <v>86</v>
      </c>
      <c r="I698" s="44" t="s">
        <v>878</v>
      </c>
      <c r="J698" s="44">
        <v>43753</v>
      </c>
      <c r="K698" s="91" t="s">
        <v>1041</v>
      </c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F698" s="27"/>
      <c r="AG698" s="27"/>
      <c r="AH698" s="27"/>
      <c r="AI698" s="27"/>
      <c r="AJ698" s="27"/>
      <c r="AK698" s="27"/>
      <c r="AL698" s="27"/>
      <c r="AM698" s="27"/>
      <c r="AN698" s="27"/>
      <c r="AO698" s="27"/>
      <c r="AP698" s="27"/>
      <c r="AQ698" s="27"/>
      <c r="AR698" s="27"/>
      <c r="AS698" s="27"/>
      <c r="AT698" s="27"/>
      <c r="AU698" s="27"/>
    </row>
    <row r="699" spans="1:47" ht="15.75" customHeight="1">
      <c r="A699" s="45">
        <v>44518</v>
      </c>
      <c r="B699" s="57" t="s">
        <v>1052</v>
      </c>
      <c r="C699" s="46" t="s">
        <v>1027</v>
      </c>
      <c r="D699" s="33" t="s">
        <v>1037</v>
      </c>
      <c r="E699" s="98">
        <v>2000</v>
      </c>
      <c r="F699" s="33" t="s">
        <v>1053</v>
      </c>
      <c r="G699" s="44" t="s">
        <v>830</v>
      </c>
      <c r="H699" s="44" t="s">
        <v>86</v>
      </c>
      <c r="I699" s="44" t="s">
        <v>878</v>
      </c>
      <c r="J699" s="44">
        <v>43605</v>
      </c>
      <c r="K699" s="91" t="s">
        <v>1054</v>
      </c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F699" s="27"/>
      <c r="AG699" s="27"/>
      <c r="AH699" s="27"/>
      <c r="AI699" s="27"/>
      <c r="AJ699" s="27"/>
      <c r="AK699" s="27"/>
      <c r="AL699" s="27"/>
      <c r="AM699" s="27"/>
      <c r="AN699" s="27"/>
      <c r="AO699" s="27"/>
      <c r="AP699" s="27"/>
      <c r="AQ699" s="27"/>
      <c r="AR699" s="27"/>
      <c r="AS699" s="27"/>
      <c r="AT699" s="27"/>
      <c r="AU699" s="27"/>
    </row>
    <row r="700" spans="1:47" ht="15.75" customHeight="1">
      <c r="A700" s="45">
        <v>44518</v>
      </c>
      <c r="B700" s="55" t="s">
        <v>1588</v>
      </c>
      <c r="C700" s="46" t="s">
        <v>48</v>
      </c>
      <c r="D700" s="33" t="s">
        <v>1028</v>
      </c>
      <c r="E700" s="98">
        <v>121773.16</v>
      </c>
      <c r="F700" s="33" t="s">
        <v>1589</v>
      </c>
      <c r="G700" s="33" t="s">
        <v>835</v>
      </c>
      <c r="H700" s="33" t="s">
        <v>86</v>
      </c>
      <c r="I700" s="33" t="s">
        <v>839</v>
      </c>
      <c r="J700" s="44">
        <v>44231</v>
      </c>
      <c r="K700" s="92" t="s">
        <v>1054</v>
      </c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F700" s="27"/>
      <c r="AG700" s="27"/>
      <c r="AH700" s="27"/>
      <c r="AI700" s="27"/>
      <c r="AJ700" s="27"/>
      <c r="AK700" s="27"/>
      <c r="AL700" s="27"/>
      <c r="AM700" s="27"/>
      <c r="AN700" s="27"/>
      <c r="AO700" s="27"/>
      <c r="AP700" s="27"/>
      <c r="AQ700" s="27"/>
      <c r="AR700" s="27"/>
      <c r="AS700" s="27"/>
      <c r="AT700" s="27"/>
      <c r="AU700" s="27"/>
    </row>
    <row r="701" spans="1:47" ht="15.75" customHeight="1">
      <c r="A701" s="45">
        <v>44518</v>
      </c>
      <c r="B701" s="57" t="s">
        <v>1590</v>
      </c>
      <c r="C701" s="46" t="s">
        <v>48</v>
      </c>
      <c r="D701" s="33" t="s">
        <v>1037</v>
      </c>
      <c r="E701" s="98">
        <v>31579.5</v>
      </c>
      <c r="F701" s="33" t="s">
        <v>1591</v>
      </c>
      <c r="G701" s="33" t="s">
        <v>835</v>
      </c>
      <c r="H701" s="33" t="s">
        <v>1299</v>
      </c>
      <c r="I701" s="33" t="s">
        <v>886</v>
      </c>
      <c r="J701" s="44">
        <v>44413</v>
      </c>
      <c r="K701" s="92" t="s">
        <v>1030</v>
      </c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F701" s="27"/>
      <c r="AG701" s="27"/>
      <c r="AH701" s="27"/>
      <c r="AI701" s="27"/>
      <c r="AJ701" s="27"/>
      <c r="AK701" s="27"/>
      <c r="AL701" s="27"/>
      <c r="AM701" s="27"/>
      <c r="AN701" s="27"/>
      <c r="AO701" s="27"/>
      <c r="AP701" s="27"/>
      <c r="AQ701" s="27"/>
      <c r="AR701" s="27"/>
      <c r="AS701" s="27"/>
      <c r="AT701" s="27"/>
      <c r="AU701" s="27"/>
    </row>
    <row r="702" spans="1:47" ht="15.75" customHeight="1">
      <c r="A702" s="45">
        <v>44519</v>
      </c>
      <c r="B702" s="51" t="s">
        <v>1302</v>
      </c>
      <c r="C702" s="46" t="s">
        <v>1027</v>
      </c>
      <c r="D702" s="33" t="s">
        <v>1037</v>
      </c>
      <c r="E702" s="98">
        <v>313886.59000000003</v>
      </c>
      <c r="F702" s="33" t="s">
        <v>1303</v>
      </c>
      <c r="G702" s="44" t="s">
        <v>835</v>
      </c>
      <c r="H702" s="44" t="s">
        <v>1176</v>
      </c>
      <c r="I702" s="44" t="s">
        <v>971</v>
      </c>
      <c r="J702" s="44">
        <v>44295</v>
      </c>
      <c r="K702" s="91" t="s">
        <v>1122</v>
      </c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F702" s="27"/>
      <c r="AG702" s="27"/>
      <c r="AH702" s="27"/>
      <c r="AI702" s="27"/>
      <c r="AJ702" s="27"/>
      <c r="AK702" s="27"/>
      <c r="AL702" s="27"/>
      <c r="AM702" s="27"/>
      <c r="AN702" s="27"/>
      <c r="AO702" s="27"/>
      <c r="AP702" s="27"/>
      <c r="AQ702" s="27"/>
      <c r="AR702" s="27"/>
      <c r="AS702" s="27"/>
      <c r="AT702" s="27"/>
      <c r="AU702" s="27"/>
    </row>
    <row r="703" spans="1:47" ht="15.75" customHeight="1">
      <c r="A703" s="45">
        <v>44519</v>
      </c>
      <c r="B703" s="55" t="s">
        <v>1150</v>
      </c>
      <c r="C703" s="46" t="s">
        <v>48</v>
      </c>
      <c r="D703" s="33" t="s">
        <v>1028</v>
      </c>
      <c r="E703" s="98">
        <v>251499.32</v>
      </c>
      <c r="F703" s="33" t="s">
        <v>1151</v>
      </c>
      <c r="G703" s="33" t="s">
        <v>830</v>
      </c>
      <c r="H703" s="59" t="s">
        <v>86</v>
      </c>
      <c r="I703" s="59" t="s">
        <v>830</v>
      </c>
      <c r="J703" s="60">
        <v>43901</v>
      </c>
      <c r="K703" s="92" t="s">
        <v>1122</v>
      </c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F703" s="27"/>
      <c r="AG703" s="27"/>
      <c r="AH703" s="27"/>
      <c r="AI703" s="27"/>
      <c r="AJ703" s="27"/>
      <c r="AK703" s="27"/>
      <c r="AL703" s="27"/>
      <c r="AM703" s="27"/>
      <c r="AN703" s="27"/>
      <c r="AO703" s="27"/>
      <c r="AP703" s="27"/>
      <c r="AQ703" s="27"/>
      <c r="AR703" s="27"/>
      <c r="AS703" s="27"/>
      <c r="AT703" s="27"/>
      <c r="AU703" s="27"/>
    </row>
    <row r="704" spans="1:47" ht="15.75" customHeight="1">
      <c r="A704" s="45">
        <v>44522</v>
      </c>
      <c r="B704" s="51" t="s">
        <v>1456</v>
      </c>
      <c r="C704" s="46" t="s">
        <v>1027</v>
      </c>
      <c r="D704" s="33" t="s">
        <v>1037</v>
      </c>
      <c r="E704" s="98">
        <v>20000</v>
      </c>
      <c r="F704" s="33" t="s">
        <v>1457</v>
      </c>
      <c r="G704" s="44" t="s">
        <v>835</v>
      </c>
      <c r="H704" s="44" t="s">
        <v>1176</v>
      </c>
      <c r="I704" s="44" t="s">
        <v>973</v>
      </c>
      <c r="J704" s="44">
        <v>44263</v>
      </c>
      <c r="K704" s="91" t="s">
        <v>1054</v>
      </c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F704" s="27"/>
      <c r="AG704" s="27"/>
      <c r="AH704" s="27"/>
      <c r="AI704" s="27"/>
      <c r="AJ704" s="27"/>
      <c r="AK704" s="27"/>
      <c r="AL704" s="27"/>
      <c r="AM704" s="27"/>
      <c r="AN704" s="27"/>
      <c r="AO704" s="27"/>
      <c r="AP704" s="27"/>
      <c r="AQ704" s="27"/>
      <c r="AR704" s="27"/>
      <c r="AS704" s="27"/>
      <c r="AT704" s="27"/>
      <c r="AU704" s="27"/>
    </row>
    <row r="705" spans="1:47" ht="15.75" customHeight="1">
      <c r="A705" s="45">
        <v>44522</v>
      </c>
      <c r="B705" s="51" t="s">
        <v>1489</v>
      </c>
      <c r="C705" s="46" t="s">
        <v>1027</v>
      </c>
      <c r="D705" s="33" t="s">
        <v>1028</v>
      </c>
      <c r="E705" s="98">
        <v>261364.56</v>
      </c>
      <c r="F705" s="33" t="s">
        <v>1490</v>
      </c>
      <c r="G705" s="44" t="s">
        <v>835</v>
      </c>
      <c r="H705" s="44" t="s">
        <v>1176</v>
      </c>
      <c r="I705" s="44" t="s">
        <v>973</v>
      </c>
      <c r="J705" s="44">
        <v>44319</v>
      </c>
      <c r="K705" s="91" t="s">
        <v>1041</v>
      </c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F705" s="27"/>
      <c r="AG705" s="27"/>
      <c r="AH705" s="27"/>
      <c r="AI705" s="27"/>
      <c r="AJ705" s="27"/>
      <c r="AK705" s="27"/>
      <c r="AL705" s="27"/>
      <c r="AM705" s="27"/>
      <c r="AN705" s="27"/>
      <c r="AO705" s="27"/>
      <c r="AP705" s="27"/>
      <c r="AQ705" s="27"/>
      <c r="AR705" s="27"/>
      <c r="AS705" s="27"/>
      <c r="AT705" s="27"/>
      <c r="AU705" s="27"/>
    </row>
    <row r="706" spans="1:47" ht="15.75" customHeight="1">
      <c r="A706" s="45">
        <v>44522</v>
      </c>
      <c r="B706" s="38" t="s">
        <v>1267</v>
      </c>
      <c r="C706" s="46" t="s">
        <v>1027</v>
      </c>
      <c r="D706" s="33" t="s">
        <v>1037</v>
      </c>
      <c r="E706" s="98">
        <v>80000</v>
      </c>
      <c r="F706" s="33" t="s">
        <v>1268</v>
      </c>
      <c r="G706" s="44" t="s">
        <v>835</v>
      </c>
      <c r="H706" s="44" t="s">
        <v>1176</v>
      </c>
      <c r="I706" s="44" t="s">
        <v>971</v>
      </c>
      <c r="J706" s="44">
        <v>44298</v>
      </c>
      <c r="K706" s="91" t="s">
        <v>1041</v>
      </c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F706" s="27"/>
      <c r="AG706" s="27"/>
      <c r="AH706" s="27"/>
      <c r="AI706" s="27"/>
      <c r="AJ706" s="27"/>
      <c r="AK706" s="27"/>
      <c r="AL706" s="27"/>
      <c r="AM706" s="27"/>
      <c r="AN706" s="27"/>
      <c r="AO706" s="27"/>
      <c r="AP706" s="27"/>
      <c r="AQ706" s="27"/>
      <c r="AR706" s="27"/>
      <c r="AS706" s="27"/>
      <c r="AT706" s="27"/>
      <c r="AU706" s="27"/>
    </row>
    <row r="707" spans="1:47" ht="15.75" customHeight="1">
      <c r="A707" s="45">
        <v>44522</v>
      </c>
      <c r="B707" s="51" t="s">
        <v>1404</v>
      </c>
      <c r="C707" s="46" t="s">
        <v>1027</v>
      </c>
      <c r="D707" s="33" t="s">
        <v>1037</v>
      </c>
      <c r="E707" s="98">
        <v>500</v>
      </c>
      <c r="F707" s="33" t="s">
        <v>1405</v>
      </c>
      <c r="G707" s="44" t="s">
        <v>835</v>
      </c>
      <c r="H707" s="44" t="s">
        <v>1176</v>
      </c>
      <c r="I707" s="44" t="s">
        <v>973</v>
      </c>
      <c r="J707" s="44">
        <v>44263</v>
      </c>
      <c r="K707" s="91" t="s">
        <v>1041</v>
      </c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F707" s="27"/>
      <c r="AG707" s="27"/>
      <c r="AH707" s="27"/>
      <c r="AI707" s="27"/>
      <c r="AJ707" s="27"/>
      <c r="AK707" s="27"/>
      <c r="AL707" s="27"/>
      <c r="AM707" s="27"/>
      <c r="AN707" s="27"/>
      <c r="AO707" s="27"/>
      <c r="AP707" s="27"/>
      <c r="AQ707" s="27"/>
      <c r="AR707" s="27"/>
      <c r="AS707" s="27"/>
      <c r="AT707" s="27"/>
      <c r="AU707" s="27"/>
    </row>
    <row r="708" spans="1:47" ht="15.75" customHeight="1">
      <c r="A708" s="45">
        <v>44522</v>
      </c>
      <c r="B708" s="38" t="s">
        <v>1592</v>
      </c>
      <c r="C708" s="46" t="s">
        <v>1027</v>
      </c>
      <c r="D708" s="33" t="s">
        <v>1037</v>
      </c>
      <c r="E708" s="98">
        <v>650000</v>
      </c>
      <c r="F708" s="33" t="s">
        <v>1379</v>
      </c>
      <c r="G708" s="44" t="s">
        <v>835</v>
      </c>
      <c r="H708" s="44" t="s">
        <v>1176</v>
      </c>
      <c r="I708" s="44" t="s">
        <v>973</v>
      </c>
      <c r="J708" s="44">
        <v>44390</v>
      </c>
      <c r="K708" s="91" t="s">
        <v>1041</v>
      </c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F708" s="27"/>
      <c r="AG708" s="27"/>
      <c r="AH708" s="27"/>
      <c r="AI708" s="27"/>
      <c r="AJ708" s="27"/>
      <c r="AK708" s="27"/>
      <c r="AL708" s="27"/>
      <c r="AM708" s="27"/>
      <c r="AN708" s="27"/>
      <c r="AO708" s="27"/>
      <c r="AP708" s="27"/>
      <c r="AQ708" s="27"/>
      <c r="AR708" s="27"/>
      <c r="AS708" s="27"/>
      <c r="AT708" s="27"/>
      <c r="AU708" s="27"/>
    </row>
    <row r="709" spans="1:47" ht="15.75" customHeight="1">
      <c r="A709" s="45">
        <v>44522</v>
      </c>
      <c r="B709" s="51" t="s">
        <v>1458</v>
      </c>
      <c r="C709" s="46" t="s">
        <v>1027</v>
      </c>
      <c r="D709" s="33" t="s">
        <v>1037</v>
      </c>
      <c r="E709" s="98">
        <v>1250000</v>
      </c>
      <c r="F709" s="33" t="s">
        <v>1459</v>
      </c>
      <c r="G709" s="44" t="s">
        <v>835</v>
      </c>
      <c r="H709" s="44" t="s">
        <v>1176</v>
      </c>
      <c r="I709" s="44" t="s">
        <v>973</v>
      </c>
      <c r="J709" s="44">
        <v>44266</v>
      </c>
      <c r="K709" s="91" t="s">
        <v>1122</v>
      </c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F709" s="27"/>
      <c r="AG709" s="27"/>
      <c r="AH709" s="27"/>
      <c r="AI709" s="27"/>
      <c r="AJ709" s="27"/>
      <c r="AK709" s="27"/>
      <c r="AL709" s="27"/>
      <c r="AM709" s="27"/>
      <c r="AN709" s="27"/>
      <c r="AO709" s="27"/>
      <c r="AP709" s="27"/>
      <c r="AQ709" s="27"/>
      <c r="AR709" s="27"/>
      <c r="AS709" s="27"/>
      <c r="AT709" s="27"/>
      <c r="AU709" s="27"/>
    </row>
    <row r="710" spans="1:47" ht="15.75" customHeight="1">
      <c r="A710" s="45">
        <v>44523</v>
      </c>
      <c r="B710" s="38" t="s">
        <v>1593</v>
      </c>
      <c r="C710" s="46" t="s">
        <v>48</v>
      </c>
      <c r="D710" s="33" t="s">
        <v>1037</v>
      </c>
      <c r="E710" s="98">
        <v>20000</v>
      </c>
      <c r="F710" s="33" t="s">
        <v>1594</v>
      </c>
      <c r="G710" s="33" t="s">
        <v>835</v>
      </c>
      <c r="H710" s="59" t="s">
        <v>1299</v>
      </c>
      <c r="I710" s="59" t="s">
        <v>886</v>
      </c>
      <c r="J710" s="60">
        <v>44287</v>
      </c>
      <c r="K710" s="92" t="s">
        <v>1041</v>
      </c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F710" s="27"/>
      <c r="AG710" s="27"/>
      <c r="AH710" s="27"/>
      <c r="AI710" s="27"/>
      <c r="AJ710" s="27"/>
      <c r="AK710" s="27"/>
      <c r="AL710" s="27"/>
      <c r="AM710" s="27"/>
      <c r="AN710" s="27"/>
      <c r="AO710" s="27"/>
      <c r="AP710" s="27"/>
      <c r="AQ710" s="27"/>
      <c r="AR710" s="27"/>
      <c r="AS710" s="27"/>
      <c r="AT710" s="27"/>
      <c r="AU710" s="27"/>
    </row>
    <row r="711" spans="1:47" ht="15.75" customHeight="1">
      <c r="A711" s="45">
        <v>44523</v>
      </c>
      <c r="B711" s="38" t="s">
        <v>1320</v>
      </c>
      <c r="C711" s="46" t="s">
        <v>48</v>
      </c>
      <c r="D711" s="33" t="s">
        <v>1062</v>
      </c>
      <c r="E711" s="98">
        <v>114197.45</v>
      </c>
      <c r="F711" s="33" t="s">
        <v>1595</v>
      </c>
      <c r="G711" s="33" t="s">
        <v>835</v>
      </c>
      <c r="H711" s="59" t="s">
        <v>1299</v>
      </c>
      <c r="I711" s="59" t="s">
        <v>886</v>
      </c>
      <c r="J711" s="60">
        <v>44298</v>
      </c>
      <c r="K711" s="33" t="s">
        <v>1054</v>
      </c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F711" s="27"/>
      <c r="AG711" s="27"/>
      <c r="AH711" s="27"/>
      <c r="AI711" s="27"/>
      <c r="AJ711" s="27"/>
      <c r="AK711" s="27"/>
      <c r="AL711" s="27"/>
      <c r="AM711" s="27"/>
      <c r="AN711" s="27"/>
      <c r="AO711" s="27"/>
      <c r="AP711" s="27"/>
      <c r="AQ711" s="27"/>
      <c r="AR711" s="27"/>
      <c r="AS711" s="27"/>
      <c r="AT711" s="27"/>
      <c r="AU711" s="27"/>
    </row>
    <row r="712" spans="1:47" ht="15.75" customHeight="1">
      <c r="A712" s="45">
        <v>44523</v>
      </c>
      <c r="B712" s="38" t="s">
        <v>1177</v>
      </c>
      <c r="C712" s="46" t="s">
        <v>1027</v>
      </c>
      <c r="D712" s="33" t="s">
        <v>1037</v>
      </c>
      <c r="E712" s="98">
        <v>35000</v>
      </c>
      <c r="F712" s="33" t="s">
        <v>1178</v>
      </c>
      <c r="G712" s="44" t="s">
        <v>835</v>
      </c>
      <c r="H712" s="44" t="s">
        <v>1176</v>
      </c>
      <c r="I712" s="44" t="s">
        <v>973</v>
      </c>
      <c r="J712" s="44">
        <v>44295</v>
      </c>
      <c r="K712" s="44" t="s">
        <v>1179</v>
      </c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F712" s="27"/>
      <c r="AG712" s="27"/>
      <c r="AH712" s="27"/>
      <c r="AI712" s="27"/>
      <c r="AJ712" s="27"/>
      <c r="AK712" s="27"/>
      <c r="AL712" s="27"/>
      <c r="AM712" s="27"/>
      <c r="AN712" s="27"/>
      <c r="AO712" s="27"/>
      <c r="AP712" s="27"/>
      <c r="AQ712" s="27"/>
      <c r="AR712" s="27"/>
      <c r="AS712" s="27"/>
      <c r="AT712" s="27"/>
      <c r="AU712" s="27"/>
    </row>
    <row r="713" spans="1:47" ht="15.75" customHeight="1">
      <c r="A713" s="45">
        <v>44524</v>
      </c>
      <c r="B713" s="38" t="s">
        <v>1596</v>
      </c>
      <c r="C713" s="46" t="s">
        <v>48</v>
      </c>
      <c r="D713" s="33" t="s">
        <v>1028</v>
      </c>
      <c r="E713" s="98">
        <v>130920.08</v>
      </c>
      <c r="F713" s="33" t="s">
        <v>1597</v>
      </c>
      <c r="G713" s="33" t="s">
        <v>835</v>
      </c>
      <c r="H713" s="33" t="s">
        <v>1299</v>
      </c>
      <c r="I713" s="33" t="s">
        <v>886</v>
      </c>
      <c r="J713" s="44">
        <v>44252</v>
      </c>
      <c r="K713" s="33" t="s">
        <v>1030</v>
      </c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F713" s="27"/>
      <c r="AG713" s="27"/>
      <c r="AH713" s="27"/>
      <c r="AI713" s="27"/>
      <c r="AJ713" s="27"/>
      <c r="AK713" s="27"/>
      <c r="AL713" s="27"/>
      <c r="AM713" s="27"/>
      <c r="AN713" s="27"/>
      <c r="AO713" s="27"/>
      <c r="AP713" s="27"/>
      <c r="AQ713" s="27"/>
      <c r="AR713" s="27"/>
      <c r="AS713" s="27"/>
      <c r="AT713" s="27"/>
      <c r="AU713" s="27"/>
    </row>
    <row r="714" spans="1:47" ht="15.75" customHeight="1">
      <c r="A714" s="45">
        <v>44524</v>
      </c>
      <c r="B714" s="38" t="s">
        <v>1598</v>
      </c>
      <c r="C714" s="46" t="s">
        <v>48</v>
      </c>
      <c r="D714" s="33" t="s">
        <v>1028</v>
      </c>
      <c r="E714" s="98">
        <v>98719.08</v>
      </c>
      <c r="F714" s="33" t="s">
        <v>1599</v>
      </c>
      <c r="G714" s="33" t="s">
        <v>830</v>
      </c>
      <c r="H714" s="33" t="s">
        <v>86</v>
      </c>
      <c r="I714" s="33" t="s">
        <v>830</v>
      </c>
      <c r="J714" s="44">
        <v>44390</v>
      </c>
      <c r="K714" s="33" t="s">
        <v>1041</v>
      </c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F714" s="27"/>
      <c r="AG714" s="27"/>
      <c r="AH714" s="27"/>
      <c r="AI714" s="27"/>
      <c r="AJ714" s="27"/>
      <c r="AK714" s="27"/>
      <c r="AL714" s="27"/>
      <c r="AM714" s="27"/>
      <c r="AN714" s="27"/>
      <c r="AO714" s="27"/>
      <c r="AP714" s="27"/>
      <c r="AQ714" s="27"/>
      <c r="AR714" s="27"/>
      <c r="AS714" s="27"/>
      <c r="AT714" s="27"/>
      <c r="AU714" s="27"/>
    </row>
    <row r="715" spans="1:47" ht="15.75" customHeight="1">
      <c r="A715" s="45">
        <v>44524</v>
      </c>
      <c r="B715" s="51" t="s">
        <v>1288</v>
      </c>
      <c r="C715" s="46" t="s">
        <v>1027</v>
      </c>
      <c r="D715" s="33" t="s">
        <v>1037</v>
      </c>
      <c r="E715" s="98">
        <v>59000</v>
      </c>
      <c r="F715" s="33" t="s">
        <v>1289</v>
      </c>
      <c r="G715" s="44" t="s">
        <v>835</v>
      </c>
      <c r="H715" s="44" t="s">
        <v>1176</v>
      </c>
      <c r="I715" s="44" t="s">
        <v>973</v>
      </c>
      <c r="J715" s="44">
        <v>44280</v>
      </c>
      <c r="K715" s="44" t="s">
        <v>1041</v>
      </c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F715" s="27"/>
      <c r="AG715" s="27"/>
      <c r="AH715" s="27"/>
      <c r="AI715" s="27"/>
      <c r="AJ715" s="27"/>
      <c r="AK715" s="27"/>
      <c r="AL715" s="27"/>
      <c r="AM715" s="27"/>
      <c r="AN715" s="27"/>
      <c r="AO715" s="27"/>
      <c r="AP715" s="27"/>
      <c r="AQ715" s="27"/>
      <c r="AR715" s="27"/>
      <c r="AS715" s="27"/>
      <c r="AT715" s="27"/>
      <c r="AU715" s="27"/>
    </row>
    <row r="716" spans="1:47" ht="15.75" customHeight="1">
      <c r="A716" s="45">
        <v>44525</v>
      </c>
      <c r="B716" s="38" t="s">
        <v>1600</v>
      </c>
      <c r="C716" s="46" t="s">
        <v>1027</v>
      </c>
      <c r="D716" s="33" t="s">
        <v>1062</v>
      </c>
      <c r="E716" s="98">
        <v>95072.23</v>
      </c>
      <c r="F716" s="33" t="s">
        <v>1601</v>
      </c>
      <c r="G716" s="44" t="s">
        <v>830</v>
      </c>
      <c r="H716" s="44" t="s">
        <v>86</v>
      </c>
      <c r="I716" s="44" t="s">
        <v>969</v>
      </c>
      <c r="J716" s="44">
        <v>43780</v>
      </c>
      <c r="K716" s="44" t="s">
        <v>1054</v>
      </c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F716" s="27"/>
      <c r="AG716" s="27"/>
      <c r="AH716" s="27"/>
      <c r="AI716" s="27"/>
      <c r="AJ716" s="27"/>
      <c r="AK716" s="27"/>
      <c r="AL716" s="27"/>
      <c r="AM716" s="27"/>
      <c r="AN716" s="27"/>
      <c r="AO716" s="27"/>
      <c r="AP716" s="27"/>
      <c r="AQ716" s="27"/>
      <c r="AR716" s="27"/>
      <c r="AS716" s="27"/>
      <c r="AT716" s="27"/>
      <c r="AU716" s="27"/>
    </row>
    <row r="717" spans="1:47" ht="15.75" customHeight="1">
      <c r="A717" s="45">
        <v>44525</v>
      </c>
      <c r="B717" s="38" t="s">
        <v>1505</v>
      </c>
      <c r="C717" s="46" t="s">
        <v>1027</v>
      </c>
      <c r="D717" s="33" t="s">
        <v>1062</v>
      </c>
      <c r="E717" s="98">
        <v>287057.81</v>
      </c>
      <c r="F717" s="33" t="s">
        <v>1506</v>
      </c>
      <c r="G717" s="44" t="s">
        <v>835</v>
      </c>
      <c r="H717" s="44" t="s">
        <v>1176</v>
      </c>
      <c r="I717" s="44" t="s">
        <v>971</v>
      </c>
      <c r="J717" s="44">
        <v>44393</v>
      </c>
      <c r="K717" s="44" t="s">
        <v>1507</v>
      </c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F717" s="27"/>
      <c r="AG717" s="27"/>
      <c r="AH717" s="27"/>
      <c r="AI717" s="27"/>
      <c r="AJ717" s="27"/>
      <c r="AK717" s="27"/>
      <c r="AL717" s="27"/>
      <c r="AM717" s="27"/>
      <c r="AN717" s="27"/>
      <c r="AO717" s="27"/>
      <c r="AP717" s="27"/>
      <c r="AQ717" s="27"/>
      <c r="AR717" s="27"/>
      <c r="AS717" s="27"/>
      <c r="AT717" s="27"/>
      <c r="AU717" s="27"/>
    </row>
    <row r="718" spans="1:47" ht="15.75" customHeight="1">
      <c r="A718" s="45">
        <v>44525</v>
      </c>
      <c r="B718" s="38" t="s">
        <v>1602</v>
      </c>
      <c r="C718" s="46" t="s">
        <v>48</v>
      </c>
      <c r="D718" s="33" t="s">
        <v>1037</v>
      </c>
      <c r="E718" s="98">
        <v>15000</v>
      </c>
      <c r="F718" s="33" t="s">
        <v>1603</v>
      </c>
      <c r="G718" s="33" t="s">
        <v>835</v>
      </c>
      <c r="H718" s="33" t="s">
        <v>86</v>
      </c>
      <c r="I718" s="33" t="s">
        <v>920</v>
      </c>
      <c r="J718" s="44">
        <v>44293</v>
      </c>
      <c r="K718" s="33" t="s">
        <v>1122</v>
      </c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F718" s="27"/>
      <c r="AG718" s="27"/>
      <c r="AH718" s="27"/>
      <c r="AI718" s="27"/>
      <c r="AJ718" s="27"/>
      <c r="AK718" s="27"/>
      <c r="AL718" s="27"/>
      <c r="AM718" s="27"/>
      <c r="AN718" s="27"/>
      <c r="AO718" s="27"/>
      <c r="AP718" s="27"/>
      <c r="AQ718" s="27"/>
      <c r="AR718" s="27"/>
      <c r="AS718" s="27"/>
      <c r="AT718" s="27"/>
      <c r="AU718" s="27"/>
    </row>
    <row r="719" spans="1:47" ht="15.75" customHeight="1">
      <c r="A719" s="45">
        <v>44526</v>
      </c>
      <c r="B719" s="38" t="s">
        <v>1414</v>
      </c>
      <c r="C719" s="46" t="s">
        <v>1027</v>
      </c>
      <c r="D719" s="33" t="s">
        <v>1037</v>
      </c>
      <c r="E719" s="98">
        <v>200000</v>
      </c>
      <c r="F719" s="33" t="s">
        <v>1415</v>
      </c>
      <c r="G719" s="44" t="s">
        <v>835</v>
      </c>
      <c r="H719" s="44" t="s">
        <v>1176</v>
      </c>
      <c r="I719" s="44" t="s">
        <v>971</v>
      </c>
      <c r="J719" s="44">
        <v>44291</v>
      </c>
      <c r="K719" s="44" t="s">
        <v>1041</v>
      </c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F719" s="27"/>
      <c r="AG719" s="27"/>
      <c r="AH719" s="27"/>
      <c r="AI719" s="27"/>
      <c r="AJ719" s="27"/>
      <c r="AK719" s="27"/>
      <c r="AL719" s="27"/>
      <c r="AM719" s="27"/>
      <c r="AN719" s="27"/>
      <c r="AO719" s="27"/>
      <c r="AP719" s="27"/>
      <c r="AQ719" s="27"/>
      <c r="AR719" s="27"/>
      <c r="AS719" s="27"/>
      <c r="AT719" s="27"/>
      <c r="AU719" s="27"/>
    </row>
    <row r="720" spans="1:47" ht="15.75" customHeight="1">
      <c r="A720" s="45">
        <v>44529</v>
      </c>
      <c r="B720" s="38" t="s">
        <v>1368</v>
      </c>
      <c r="C720" s="46" t="s">
        <v>1027</v>
      </c>
      <c r="D720" s="33" t="s">
        <v>1037</v>
      </c>
      <c r="E720" s="98">
        <v>150000</v>
      </c>
      <c r="F720" s="33" t="s">
        <v>1369</v>
      </c>
      <c r="G720" s="44" t="s">
        <v>835</v>
      </c>
      <c r="H720" s="44" t="s">
        <v>1176</v>
      </c>
      <c r="I720" s="44" t="s">
        <v>971</v>
      </c>
      <c r="J720" s="44">
        <v>44321</v>
      </c>
      <c r="K720" s="44" t="s">
        <v>1054</v>
      </c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F720" s="27"/>
      <c r="AG720" s="27"/>
      <c r="AH720" s="27"/>
      <c r="AI720" s="27"/>
      <c r="AJ720" s="27"/>
      <c r="AK720" s="27"/>
      <c r="AL720" s="27"/>
      <c r="AM720" s="27"/>
      <c r="AN720" s="27"/>
      <c r="AO720" s="27"/>
      <c r="AP720" s="27"/>
      <c r="AQ720" s="27"/>
      <c r="AR720" s="27"/>
      <c r="AS720" s="27"/>
      <c r="AT720" s="27"/>
      <c r="AU720" s="27"/>
    </row>
    <row r="721" spans="1:47" ht="15.75" customHeight="1">
      <c r="A721" s="45">
        <v>44530</v>
      </c>
      <c r="B721" s="38" t="s">
        <v>1604</v>
      </c>
      <c r="C721" s="46" t="s">
        <v>1027</v>
      </c>
      <c r="D721" s="33" t="s">
        <v>1037</v>
      </c>
      <c r="E721" s="98">
        <v>500000</v>
      </c>
      <c r="F721" s="33" t="s">
        <v>1605</v>
      </c>
      <c r="G721" s="44" t="s">
        <v>835</v>
      </c>
      <c r="H721" s="44" t="s">
        <v>1176</v>
      </c>
      <c r="I721" s="44" t="s">
        <v>971</v>
      </c>
      <c r="J721" s="44">
        <v>44280</v>
      </c>
      <c r="K721" s="44" t="s">
        <v>1041</v>
      </c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F721" s="27"/>
      <c r="AG721" s="27"/>
      <c r="AH721" s="27"/>
      <c r="AI721" s="27"/>
      <c r="AJ721" s="27"/>
      <c r="AK721" s="27"/>
      <c r="AL721" s="27"/>
      <c r="AM721" s="27"/>
      <c r="AN721" s="27"/>
      <c r="AO721" s="27"/>
      <c r="AP721" s="27"/>
      <c r="AQ721" s="27"/>
      <c r="AR721" s="27"/>
      <c r="AS721" s="27"/>
      <c r="AT721" s="27"/>
      <c r="AU721" s="27"/>
    </row>
    <row r="722" spans="1:47" ht="15.75" customHeight="1">
      <c r="A722" s="45">
        <v>44530</v>
      </c>
      <c r="B722" s="38" t="s">
        <v>1276</v>
      </c>
      <c r="C722" s="46" t="s">
        <v>1027</v>
      </c>
      <c r="D722" s="33" t="s">
        <v>1037</v>
      </c>
      <c r="E722" s="98">
        <v>50000</v>
      </c>
      <c r="F722" s="33" t="s">
        <v>1277</v>
      </c>
      <c r="G722" s="44" t="s">
        <v>835</v>
      </c>
      <c r="H722" s="44" t="s">
        <v>1176</v>
      </c>
      <c r="I722" s="44" t="s">
        <v>971</v>
      </c>
      <c r="J722" s="44">
        <v>44279</v>
      </c>
      <c r="K722" s="44" t="s">
        <v>1041</v>
      </c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F722" s="27"/>
      <c r="AG722" s="27"/>
      <c r="AH722" s="27"/>
      <c r="AI722" s="27"/>
      <c r="AJ722" s="27"/>
      <c r="AK722" s="27"/>
      <c r="AL722" s="27"/>
      <c r="AM722" s="27"/>
      <c r="AN722" s="27"/>
      <c r="AO722" s="27"/>
      <c r="AP722" s="27"/>
      <c r="AQ722" s="27"/>
      <c r="AR722" s="27"/>
      <c r="AS722" s="27"/>
      <c r="AT722" s="27"/>
      <c r="AU722" s="27"/>
    </row>
    <row r="723" spans="1:47" ht="15.75" customHeight="1">
      <c r="A723" s="45">
        <v>44530</v>
      </c>
      <c r="B723" s="38" t="s">
        <v>1177</v>
      </c>
      <c r="C723" s="46" t="s">
        <v>1027</v>
      </c>
      <c r="D723" s="33" t="s">
        <v>1037</v>
      </c>
      <c r="E723" s="98">
        <v>10000</v>
      </c>
      <c r="F723" s="33" t="s">
        <v>1178</v>
      </c>
      <c r="G723" s="44" t="s">
        <v>835</v>
      </c>
      <c r="H723" s="44" t="s">
        <v>1176</v>
      </c>
      <c r="I723" s="44" t="s">
        <v>973</v>
      </c>
      <c r="J723" s="44">
        <v>44295</v>
      </c>
      <c r="K723" s="44" t="s">
        <v>1179</v>
      </c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F723" s="27"/>
      <c r="AG723" s="27"/>
      <c r="AH723" s="27"/>
      <c r="AI723" s="27"/>
      <c r="AJ723" s="27"/>
      <c r="AK723" s="27"/>
      <c r="AL723" s="27"/>
      <c r="AM723" s="27"/>
      <c r="AN723" s="27"/>
      <c r="AO723" s="27"/>
      <c r="AP723" s="27"/>
      <c r="AQ723" s="27"/>
      <c r="AR723" s="27"/>
      <c r="AS723" s="27"/>
      <c r="AT723" s="27"/>
      <c r="AU723" s="27"/>
    </row>
    <row r="724" spans="1:47" ht="15.75" customHeight="1">
      <c r="A724" s="45">
        <v>44530</v>
      </c>
      <c r="B724" s="38" t="s">
        <v>1456</v>
      </c>
      <c r="C724" s="46" t="s">
        <v>1027</v>
      </c>
      <c r="D724" s="33" t="s">
        <v>1037</v>
      </c>
      <c r="E724" s="98">
        <v>20000</v>
      </c>
      <c r="F724" s="33" t="s">
        <v>1457</v>
      </c>
      <c r="G724" s="44" t="s">
        <v>835</v>
      </c>
      <c r="H724" s="44" t="s">
        <v>1176</v>
      </c>
      <c r="I724" s="44" t="s">
        <v>973</v>
      </c>
      <c r="J724" s="44">
        <v>44263</v>
      </c>
      <c r="K724" s="44" t="s">
        <v>1054</v>
      </c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F724" s="27"/>
      <c r="AG724" s="27"/>
      <c r="AH724" s="27"/>
      <c r="AI724" s="27"/>
      <c r="AJ724" s="27"/>
      <c r="AK724" s="27"/>
      <c r="AL724" s="27"/>
      <c r="AM724" s="27"/>
      <c r="AN724" s="27"/>
      <c r="AO724" s="27"/>
      <c r="AP724" s="27"/>
      <c r="AQ724" s="27"/>
      <c r="AR724" s="27"/>
      <c r="AS724" s="27"/>
      <c r="AT724" s="27"/>
      <c r="AU724" s="27"/>
    </row>
    <row r="725" spans="1:47" ht="15.75" customHeight="1">
      <c r="A725" s="45">
        <v>44531</v>
      </c>
      <c r="B725" s="38" t="s">
        <v>1308</v>
      </c>
      <c r="C725" s="46" t="s">
        <v>1027</v>
      </c>
      <c r="D725" s="33" t="s">
        <v>1037</v>
      </c>
      <c r="E725" s="98">
        <v>12000</v>
      </c>
      <c r="F725" s="33" t="s">
        <v>1309</v>
      </c>
      <c r="G725" s="44" t="s">
        <v>835</v>
      </c>
      <c r="H725" s="44" t="s">
        <v>1176</v>
      </c>
      <c r="I725" s="44" t="s">
        <v>971</v>
      </c>
      <c r="J725" s="44">
        <v>44319</v>
      </c>
      <c r="K725" s="44" t="s">
        <v>1041</v>
      </c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F725" s="27"/>
      <c r="AG725" s="27"/>
      <c r="AH725" s="27"/>
      <c r="AI725" s="27"/>
      <c r="AJ725" s="27"/>
      <c r="AK725" s="27"/>
      <c r="AL725" s="27"/>
      <c r="AM725" s="27"/>
      <c r="AN725" s="27"/>
      <c r="AO725" s="27"/>
      <c r="AP725" s="27"/>
      <c r="AQ725" s="27"/>
      <c r="AR725" s="27"/>
      <c r="AS725" s="27"/>
      <c r="AT725" s="27"/>
      <c r="AU725" s="27"/>
    </row>
    <row r="726" spans="1:47" ht="15.75" customHeight="1">
      <c r="A726" s="45">
        <v>44531</v>
      </c>
      <c r="B726" s="38" t="s">
        <v>1174</v>
      </c>
      <c r="C726" s="46" t="s">
        <v>1027</v>
      </c>
      <c r="D726" s="33" t="s">
        <v>1037</v>
      </c>
      <c r="E726" s="98">
        <v>40000</v>
      </c>
      <c r="F726" s="33" t="s">
        <v>1175</v>
      </c>
      <c r="G726" s="44" t="s">
        <v>835</v>
      </c>
      <c r="H726" s="44" t="s">
        <v>1176</v>
      </c>
      <c r="I726" s="44" t="s">
        <v>973</v>
      </c>
      <c r="J726" s="44">
        <v>44321</v>
      </c>
      <c r="K726" s="44" t="s">
        <v>1041</v>
      </c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F726" s="27"/>
      <c r="AG726" s="27"/>
      <c r="AH726" s="27"/>
      <c r="AI726" s="27"/>
      <c r="AJ726" s="27"/>
      <c r="AK726" s="27"/>
      <c r="AL726" s="27"/>
      <c r="AM726" s="27"/>
      <c r="AN726" s="27"/>
      <c r="AO726" s="27"/>
      <c r="AP726" s="27"/>
      <c r="AQ726" s="27"/>
      <c r="AR726" s="27"/>
      <c r="AS726" s="27"/>
      <c r="AT726" s="27"/>
      <c r="AU726" s="27"/>
    </row>
    <row r="727" spans="1:47" ht="15.75" customHeight="1">
      <c r="A727" s="45">
        <v>44531</v>
      </c>
      <c r="B727" s="53" t="s">
        <v>1240</v>
      </c>
      <c r="C727" s="46" t="s">
        <v>48</v>
      </c>
      <c r="D727" s="33" t="s">
        <v>1037</v>
      </c>
      <c r="E727" s="98">
        <v>5800</v>
      </c>
      <c r="F727" s="33" t="s">
        <v>1241</v>
      </c>
      <c r="G727" s="33" t="s">
        <v>904</v>
      </c>
      <c r="H727" s="33" t="s">
        <v>86</v>
      </c>
      <c r="I727" s="33" t="s">
        <v>935</v>
      </c>
      <c r="J727" s="44">
        <v>44180</v>
      </c>
      <c r="K727" s="33" t="s">
        <v>1041</v>
      </c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F727" s="27"/>
      <c r="AG727" s="27"/>
      <c r="AH727" s="27"/>
      <c r="AI727" s="27"/>
      <c r="AJ727" s="27"/>
      <c r="AK727" s="27"/>
      <c r="AL727" s="27"/>
      <c r="AM727" s="27"/>
      <c r="AN727" s="27"/>
      <c r="AO727" s="27"/>
      <c r="AP727" s="27"/>
      <c r="AQ727" s="27"/>
      <c r="AR727" s="27"/>
      <c r="AS727" s="27"/>
      <c r="AT727" s="27"/>
      <c r="AU727" s="27"/>
    </row>
    <row r="728" spans="1:47" ht="15.75" customHeight="1">
      <c r="A728" s="45">
        <v>44531</v>
      </c>
      <c r="B728" s="57" t="s">
        <v>1394</v>
      </c>
      <c r="C728" s="46" t="s">
        <v>48</v>
      </c>
      <c r="D728" s="33" t="s">
        <v>1037</v>
      </c>
      <c r="E728" s="98">
        <v>200000</v>
      </c>
      <c r="F728" s="35" t="s">
        <v>1395</v>
      </c>
      <c r="G728" s="33" t="s">
        <v>830</v>
      </c>
      <c r="H728" s="59" t="s">
        <v>86</v>
      </c>
      <c r="I728" s="59" t="s">
        <v>830</v>
      </c>
      <c r="J728" s="60">
        <v>44235</v>
      </c>
      <c r="K728" s="35" t="s">
        <v>1041</v>
      </c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F728" s="27"/>
      <c r="AG728" s="27"/>
      <c r="AH728" s="27"/>
      <c r="AI728" s="27"/>
      <c r="AJ728" s="27"/>
      <c r="AK728" s="27"/>
      <c r="AL728" s="27"/>
      <c r="AM728" s="27"/>
      <c r="AN728" s="27"/>
      <c r="AO728" s="27"/>
      <c r="AP728" s="27"/>
      <c r="AQ728" s="27"/>
      <c r="AR728" s="27"/>
      <c r="AS728" s="27"/>
      <c r="AT728" s="27"/>
      <c r="AU728" s="27"/>
    </row>
    <row r="729" spans="1:47" ht="15.75" customHeight="1">
      <c r="A729" s="45">
        <v>44532</v>
      </c>
      <c r="B729" s="38" t="s">
        <v>1404</v>
      </c>
      <c r="C729" s="46" t="s">
        <v>1027</v>
      </c>
      <c r="D729" s="33" t="s">
        <v>1037</v>
      </c>
      <c r="E729" s="98">
        <v>500</v>
      </c>
      <c r="F729" s="33" t="s">
        <v>1405</v>
      </c>
      <c r="G729" s="44" t="s">
        <v>835</v>
      </c>
      <c r="H729" s="44" t="s">
        <v>1176</v>
      </c>
      <c r="I729" s="44" t="s">
        <v>973</v>
      </c>
      <c r="J729" s="44">
        <v>44263</v>
      </c>
      <c r="K729" s="44" t="s">
        <v>1041</v>
      </c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F729" s="27"/>
      <c r="AG729" s="27"/>
      <c r="AH729" s="27"/>
      <c r="AI729" s="27"/>
      <c r="AJ729" s="27"/>
      <c r="AK729" s="27"/>
      <c r="AL729" s="27"/>
      <c r="AM729" s="27"/>
      <c r="AN729" s="27"/>
      <c r="AO729" s="27"/>
      <c r="AP729" s="27"/>
      <c r="AQ729" s="27"/>
      <c r="AR729" s="27"/>
      <c r="AS729" s="27"/>
      <c r="AT729" s="27"/>
      <c r="AU729" s="27"/>
    </row>
    <row r="730" spans="1:47" ht="15.75" customHeight="1">
      <c r="A730" s="45">
        <v>44532</v>
      </c>
      <c r="B730" s="38" t="s">
        <v>1304</v>
      </c>
      <c r="C730" s="46" t="s">
        <v>1027</v>
      </c>
      <c r="D730" s="33" t="s">
        <v>1037</v>
      </c>
      <c r="E730" s="98">
        <v>10000</v>
      </c>
      <c r="F730" s="33" t="s">
        <v>1305</v>
      </c>
      <c r="G730" s="44" t="s">
        <v>835</v>
      </c>
      <c r="H730" s="44" t="s">
        <v>1176</v>
      </c>
      <c r="I730" s="44" t="s">
        <v>971</v>
      </c>
      <c r="J730" s="44">
        <v>44322</v>
      </c>
      <c r="K730" s="44" t="s">
        <v>1041</v>
      </c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F730" s="27"/>
      <c r="AG730" s="27"/>
      <c r="AH730" s="27"/>
      <c r="AI730" s="27"/>
      <c r="AJ730" s="27"/>
      <c r="AK730" s="27"/>
      <c r="AL730" s="27"/>
      <c r="AM730" s="27"/>
      <c r="AN730" s="27"/>
      <c r="AO730" s="27"/>
      <c r="AP730" s="27"/>
      <c r="AQ730" s="27"/>
      <c r="AR730" s="27"/>
      <c r="AS730" s="27"/>
      <c r="AT730" s="27"/>
      <c r="AU730" s="27"/>
    </row>
    <row r="731" spans="1:47" ht="15.75" customHeight="1">
      <c r="A731" s="45">
        <v>44532</v>
      </c>
      <c r="B731" s="38" t="s">
        <v>1048</v>
      </c>
      <c r="C731" s="46" t="s">
        <v>1027</v>
      </c>
      <c r="D731" s="33" t="s">
        <v>1037</v>
      </c>
      <c r="E731" s="98">
        <v>25000</v>
      </c>
      <c r="F731" s="33" t="s">
        <v>1049</v>
      </c>
      <c r="G731" s="44" t="s">
        <v>830</v>
      </c>
      <c r="H731" s="44" t="s">
        <v>86</v>
      </c>
      <c r="I731" s="44" t="s">
        <v>878</v>
      </c>
      <c r="J731" s="44">
        <v>43703</v>
      </c>
      <c r="K731" s="44" t="s">
        <v>1033</v>
      </c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F731" s="27"/>
      <c r="AG731" s="27"/>
      <c r="AH731" s="27"/>
      <c r="AI731" s="27"/>
      <c r="AJ731" s="27"/>
      <c r="AK731" s="27"/>
      <c r="AL731" s="27"/>
      <c r="AM731" s="27"/>
      <c r="AN731" s="27"/>
      <c r="AO731" s="27"/>
      <c r="AP731" s="27"/>
      <c r="AQ731" s="27"/>
      <c r="AR731" s="27"/>
      <c r="AS731" s="27"/>
      <c r="AT731" s="27"/>
      <c r="AU731" s="27"/>
    </row>
    <row r="732" spans="1:47" ht="15.75" customHeight="1">
      <c r="A732" s="45">
        <v>44536</v>
      </c>
      <c r="B732" s="38" t="s">
        <v>1082</v>
      </c>
      <c r="C732" s="46" t="s">
        <v>1027</v>
      </c>
      <c r="D732" s="33" t="s">
        <v>1037</v>
      </c>
      <c r="E732" s="98">
        <v>6000</v>
      </c>
      <c r="F732" s="33" t="s">
        <v>1083</v>
      </c>
      <c r="G732" s="44" t="s">
        <v>830</v>
      </c>
      <c r="H732" s="44" t="s">
        <v>86</v>
      </c>
      <c r="I732" s="44" t="s">
        <v>878</v>
      </c>
      <c r="J732" s="44">
        <v>43717</v>
      </c>
      <c r="K732" s="44" t="s">
        <v>1033</v>
      </c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F732" s="27"/>
      <c r="AG732" s="27"/>
      <c r="AH732" s="27"/>
      <c r="AI732" s="27"/>
      <c r="AJ732" s="27"/>
      <c r="AK732" s="27"/>
      <c r="AL732" s="27"/>
      <c r="AM732" s="27"/>
      <c r="AN732" s="27"/>
      <c r="AO732" s="27"/>
      <c r="AP732" s="27"/>
      <c r="AQ732" s="27"/>
      <c r="AR732" s="27"/>
      <c r="AS732" s="27"/>
      <c r="AT732" s="27"/>
      <c r="AU732" s="27"/>
    </row>
    <row r="733" spans="1:47" ht="15.75" customHeight="1">
      <c r="A733" s="45">
        <v>44536</v>
      </c>
      <c r="B733" s="57" t="s">
        <v>1052</v>
      </c>
      <c r="C733" s="46" t="s">
        <v>1027</v>
      </c>
      <c r="D733" s="33" t="s">
        <v>1037</v>
      </c>
      <c r="E733" s="98">
        <v>12000</v>
      </c>
      <c r="F733" s="33" t="s">
        <v>1053</v>
      </c>
      <c r="G733" s="44" t="s">
        <v>830</v>
      </c>
      <c r="H733" s="44" t="s">
        <v>86</v>
      </c>
      <c r="I733" s="44" t="s">
        <v>878</v>
      </c>
      <c r="J733" s="44">
        <v>43605</v>
      </c>
      <c r="K733" s="44" t="s">
        <v>1054</v>
      </c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F733" s="27"/>
      <c r="AG733" s="27"/>
      <c r="AH733" s="27"/>
      <c r="AI733" s="27"/>
      <c r="AJ733" s="27"/>
      <c r="AK733" s="27"/>
      <c r="AL733" s="27"/>
      <c r="AM733" s="27"/>
      <c r="AN733" s="27"/>
      <c r="AO733" s="27"/>
      <c r="AP733" s="27"/>
      <c r="AQ733" s="27"/>
      <c r="AR733" s="27"/>
      <c r="AS733" s="27"/>
      <c r="AT733" s="27"/>
      <c r="AU733" s="27"/>
    </row>
    <row r="734" spans="1:47" ht="15.75" customHeight="1">
      <c r="A734" s="45">
        <v>44537</v>
      </c>
      <c r="B734" s="38" t="s">
        <v>1088</v>
      </c>
      <c r="C734" s="46" t="s">
        <v>1027</v>
      </c>
      <c r="D734" s="33" t="s">
        <v>1037</v>
      </c>
      <c r="E734" s="98">
        <v>100000</v>
      </c>
      <c r="F734" s="33" t="s">
        <v>1089</v>
      </c>
      <c r="G734" s="44" t="s">
        <v>830</v>
      </c>
      <c r="H734" s="44" t="s">
        <v>86</v>
      </c>
      <c r="I734" s="44" t="s">
        <v>878</v>
      </c>
      <c r="J734" s="44">
        <v>43867</v>
      </c>
      <c r="K734" s="44" t="s">
        <v>1041</v>
      </c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F734" s="27"/>
      <c r="AG734" s="27"/>
      <c r="AH734" s="27"/>
      <c r="AI734" s="27"/>
      <c r="AJ734" s="27"/>
      <c r="AK734" s="27"/>
      <c r="AL734" s="27"/>
      <c r="AM734" s="27"/>
      <c r="AN734" s="27"/>
      <c r="AO734" s="27"/>
      <c r="AP734" s="27"/>
      <c r="AQ734" s="27"/>
      <c r="AR734" s="27"/>
      <c r="AS734" s="27"/>
      <c r="AT734" s="27"/>
      <c r="AU734" s="27"/>
    </row>
    <row r="735" spans="1:47" ht="15.75" customHeight="1">
      <c r="A735" s="45">
        <v>44537</v>
      </c>
      <c r="B735" s="38" t="s">
        <v>1456</v>
      </c>
      <c r="C735" s="46" t="s">
        <v>1027</v>
      </c>
      <c r="D735" s="33" t="s">
        <v>1037</v>
      </c>
      <c r="E735" s="98">
        <v>20000</v>
      </c>
      <c r="F735" s="33" t="s">
        <v>1457</v>
      </c>
      <c r="G735" s="44" t="s">
        <v>835</v>
      </c>
      <c r="H735" s="44" t="s">
        <v>1176</v>
      </c>
      <c r="I735" s="44" t="s">
        <v>973</v>
      </c>
      <c r="J735" s="44">
        <v>44263</v>
      </c>
      <c r="K735" s="44" t="s">
        <v>1054</v>
      </c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F735" s="27"/>
      <c r="AG735" s="27"/>
      <c r="AH735" s="27"/>
      <c r="AI735" s="27"/>
      <c r="AJ735" s="27"/>
      <c r="AK735" s="27"/>
      <c r="AL735" s="27"/>
      <c r="AM735" s="27"/>
      <c r="AN735" s="27"/>
      <c r="AO735" s="27"/>
      <c r="AP735" s="27"/>
      <c r="AQ735" s="27"/>
      <c r="AR735" s="27"/>
      <c r="AS735" s="27"/>
      <c r="AT735" s="27"/>
      <c r="AU735" s="27"/>
    </row>
    <row r="736" spans="1:47" ht="15.75" customHeight="1">
      <c r="A736" s="45">
        <v>44537</v>
      </c>
      <c r="B736" s="38" t="s">
        <v>1084</v>
      </c>
      <c r="C736" s="46" t="s">
        <v>1027</v>
      </c>
      <c r="D736" s="33" t="s">
        <v>1037</v>
      </c>
      <c r="E736" s="98">
        <v>4000</v>
      </c>
      <c r="F736" s="33" t="s">
        <v>1085</v>
      </c>
      <c r="G736" s="44" t="s">
        <v>830</v>
      </c>
      <c r="H736" s="44" t="s">
        <v>86</v>
      </c>
      <c r="I736" s="44" t="s">
        <v>878</v>
      </c>
      <c r="J736" s="44">
        <v>43894</v>
      </c>
      <c r="K736" s="44" t="s">
        <v>1054</v>
      </c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F736" s="27"/>
      <c r="AG736" s="27"/>
      <c r="AH736" s="27"/>
      <c r="AI736" s="27"/>
      <c r="AJ736" s="27"/>
      <c r="AK736" s="27"/>
      <c r="AL736" s="27"/>
      <c r="AM736" s="27"/>
      <c r="AN736" s="27"/>
      <c r="AO736" s="27"/>
      <c r="AP736" s="27"/>
      <c r="AQ736" s="27"/>
      <c r="AR736" s="27"/>
      <c r="AS736" s="27"/>
      <c r="AT736" s="27"/>
      <c r="AU736" s="27"/>
    </row>
    <row r="737" spans="1:47" ht="15.75" customHeight="1">
      <c r="A737" s="45">
        <v>44537</v>
      </c>
      <c r="B737" s="55" t="s">
        <v>1402</v>
      </c>
      <c r="C737" s="46" t="s">
        <v>48</v>
      </c>
      <c r="D737" s="33" t="s">
        <v>1028</v>
      </c>
      <c r="E737" s="98">
        <v>165996.78</v>
      </c>
      <c r="F737" s="33" t="s">
        <v>1403</v>
      </c>
      <c r="G737" s="33" t="s">
        <v>904</v>
      </c>
      <c r="H737" s="33" t="s">
        <v>86</v>
      </c>
      <c r="I737" s="49" t="s">
        <v>943</v>
      </c>
      <c r="J737" s="44">
        <v>44130</v>
      </c>
      <c r="K737" s="92" t="s">
        <v>1041</v>
      </c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F737" s="27"/>
      <c r="AG737" s="27"/>
      <c r="AH737" s="27"/>
      <c r="AI737" s="27"/>
      <c r="AJ737" s="27"/>
      <c r="AK737" s="27"/>
      <c r="AL737" s="27"/>
      <c r="AM737" s="27"/>
      <c r="AN737" s="27"/>
      <c r="AO737" s="27"/>
      <c r="AP737" s="27"/>
      <c r="AQ737" s="27"/>
      <c r="AR737" s="27"/>
      <c r="AS737" s="27"/>
      <c r="AT737" s="27"/>
      <c r="AU737" s="27"/>
    </row>
    <row r="738" spans="1:47" ht="15.75" customHeight="1">
      <c r="A738" s="45">
        <v>44537</v>
      </c>
      <c r="B738" s="55" t="s">
        <v>1541</v>
      </c>
      <c r="C738" s="46" t="s">
        <v>48</v>
      </c>
      <c r="D738" s="33" t="s">
        <v>1028</v>
      </c>
      <c r="E738" s="98">
        <v>2049.5500000000002</v>
      </c>
      <c r="F738" s="33" t="s">
        <v>1542</v>
      </c>
      <c r="G738" s="33" t="s">
        <v>904</v>
      </c>
      <c r="H738" s="33" t="s">
        <v>86</v>
      </c>
      <c r="I738" s="33" t="s">
        <v>855</v>
      </c>
      <c r="J738" s="44">
        <v>44075</v>
      </c>
      <c r="K738" s="33" t="s">
        <v>1122</v>
      </c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F738" s="27"/>
      <c r="AG738" s="27"/>
      <c r="AH738" s="27"/>
      <c r="AI738" s="27"/>
      <c r="AJ738" s="27"/>
      <c r="AK738" s="27"/>
      <c r="AL738" s="27"/>
      <c r="AM738" s="27"/>
      <c r="AN738" s="27"/>
      <c r="AO738" s="27"/>
      <c r="AP738" s="27"/>
      <c r="AQ738" s="27"/>
      <c r="AR738" s="27"/>
      <c r="AS738" s="27"/>
      <c r="AT738" s="27"/>
      <c r="AU738" s="27"/>
    </row>
    <row r="739" spans="1:47" ht="15.75" customHeight="1">
      <c r="A739" s="45">
        <v>44538</v>
      </c>
      <c r="B739" s="46">
        <v>6549214</v>
      </c>
      <c r="C739" s="46" t="s">
        <v>48</v>
      </c>
      <c r="D739" s="33" t="s">
        <v>1037</v>
      </c>
      <c r="E739" s="98">
        <v>24469.7</v>
      </c>
      <c r="F739" s="33" t="s">
        <v>1606</v>
      </c>
      <c r="G739" s="44" t="s">
        <v>835</v>
      </c>
      <c r="H739" s="44" t="s">
        <v>1299</v>
      </c>
      <c r="I739" s="44" t="s">
        <v>906</v>
      </c>
      <c r="J739" s="44">
        <v>44487</v>
      </c>
      <c r="K739" s="44" t="s">
        <v>1041</v>
      </c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F739" s="27"/>
      <c r="AG739" s="27"/>
      <c r="AH739" s="27"/>
      <c r="AI739" s="27"/>
      <c r="AJ739" s="27"/>
      <c r="AK739" s="27"/>
      <c r="AL739" s="27"/>
      <c r="AM739" s="27"/>
      <c r="AN739" s="27"/>
      <c r="AO739" s="27"/>
      <c r="AP739" s="27"/>
      <c r="AQ739" s="27"/>
      <c r="AR739" s="27"/>
      <c r="AS739" s="27"/>
      <c r="AT739" s="27"/>
      <c r="AU739" s="27"/>
    </row>
    <row r="740" spans="1:47" ht="15.75" customHeight="1">
      <c r="A740" s="45">
        <v>44540</v>
      </c>
      <c r="B740" s="38" t="s">
        <v>1306</v>
      </c>
      <c r="C740" s="46" t="s">
        <v>1027</v>
      </c>
      <c r="D740" s="33" t="s">
        <v>1037</v>
      </c>
      <c r="E740" s="98">
        <v>10000</v>
      </c>
      <c r="F740" s="33" t="s">
        <v>1307</v>
      </c>
      <c r="G740" s="44" t="s">
        <v>835</v>
      </c>
      <c r="H740" s="44" t="s">
        <v>1176</v>
      </c>
      <c r="I740" s="44" t="s">
        <v>975</v>
      </c>
      <c r="J740" s="44">
        <v>44266</v>
      </c>
      <c r="K740" s="44" t="s">
        <v>1054</v>
      </c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F740" s="27"/>
      <c r="AG740" s="27"/>
      <c r="AH740" s="27"/>
      <c r="AI740" s="27"/>
      <c r="AJ740" s="27"/>
      <c r="AK740" s="27"/>
      <c r="AL740" s="27"/>
      <c r="AM740" s="27"/>
      <c r="AN740" s="27"/>
      <c r="AO740" s="27"/>
      <c r="AP740" s="27"/>
      <c r="AQ740" s="27"/>
      <c r="AR740" s="27"/>
      <c r="AS740" s="27"/>
      <c r="AT740" s="27"/>
      <c r="AU740" s="27"/>
    </row>
    <row r="741" spans="1:47" ht="15.75" customHeight="1">
      <c r="A741" s="45">
        <v>44543</v>
      </c>
      <c r="B741" s="55" t="s">
        <v>1564</v>
      </c>
      <c r="C741" s="46" t="s">
        <v>48</v>
      </c>
      <c r="D741" s="33" t="s">
        <v>1028</v>
      </c>
      <c r="E741" s="98">
        <v>79069.899999999994</v>
      </c>
      <c r="F741" s="33" t="s">
        <v>1565</v>
      </c>
      <c r="G741" s="33" t="s">
        <v>830</v>
      </c>
      <c r="H741" s="33" t="s">
        <v>86</v>
      </c>
      <c r="I741" s="33" t="s">
        <v>830</v>
      </c>
      <c r="J741" s="44">
        <v>44151</v>
      </c>
      <c r="K741" s="33" t="s">
        <v>1041</v>
      </c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F741" s="27"/>
      <c r="AG741" s="27"/>
      <c r="AH741" s="27"/>
      <c r="AI741" s="27"/>
      <c r="AJ741" s="27"/>
      <c r="AK741" s="27"/>
      <c r="AL741" s="27"/>
      <c r="AM741" s="27"/>
      <c r="AN741" s="27"/>
      <c r="AO741" s="27"/>
      <c r="AP741" s="27"/>
      <c r="AQ741" s="27"/>
      <c r="AR741" s="27"/>
      <c r="AS741" s="27"/>
      <c r="AT741" s="27"/>
      <c r="AU741" s="27"/>
    </row>
    <row r="742" spans="1:47" ht="15.75" customHeight="1">
      <c r="A742" s="45">
        <v>44543</v>
      </c>
      <c r="B742" s="38" t="s">
        <v>1607</v>
      </c>
      <c r="C742" s="46" t="s">
        <v>1027</v>
      </c>
      <c r="D742" s="33" t="s">
        <v>1037</v>
      </c>
      <c r="E742" s="98">
        <v>104000</v>
      </c>
      <c r="F742" s="33" t="s">
        <v>1608</v>
      </c>
      <c r="G742" s="44" t="s">
        <v>835</v>
      </c>
      <c r="H742" s="44" t="s">
        <v>1176</v>
      </c>
      <c r="I742" s="44" t="s">
        <v>973</v>
      </c>
      <c r="J742" s="44">
        <v>44263</v>
      </c>
      <c r="K742" s="44" t="s">
        <v>1041</v>
      </c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F742" s="27"/>
      <c r="AG742" s="27"/>
      <c r="AH742" s="27"/>
      <c r="AI742" s="27"/>
      <c r="AJ742" s="27"/>
      <c r="AK742" s="27"/>
      <c r="AL742" s="27"/>
      <c r="AM742" s="27"/>
      <c r="AN742" s="27"/>
      <c r="AO742" s="27"/>
      <c r="AP742" s="27"/>
      <c r="AQ742" s="27"/>
      <c r="AR742" s="27"/>
      <c r="AS742" s="27"/>
      <c r="AT742" s="27"/>
      <c r="AU742" s="27"/>
    </row>
    <row r="743" spans="1:47" ht="15.75" customHeight="1">
      <c r="A743" s="45">
        <v>44544</v>
      </c>
      <c r="B743" s="38" t="s">
        <v>1609</v>
      </c>
      <c r="C743" s="46" t="s">
        <v>48</v>
      </c>
      <c r="D743" s="33" t="s">
        <v>1062</v>
      </c>
      <c r="E743" s="98">
        <v>47268.23</v>
      </c>
      <c r="F743" s="33" t="s">
        <v>1610</v>
      </c>
      <c r="G743" s="33" t="s">
        <v>830</v>
      </c>
      <c r="H743" s="33" t="s">
        <v>86</v>
      </c>
      <c r="I743" s="33" t="s">
        <v>830</v>
      </c>
      <c r="J743" s="44">
        <v>44734</v>
      </c>
      <c r="K743" s="33" t="s">
        <v>1041</v>
      </c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F743" s="27"/>
      <c r="AG743" s="27"/>
      <c r="AH743" s="27"/>
      <c r="AI743" s="27"/>
      <c r="AJ743" s="27"/>
      <c r="AK743" s="27"/>
      <c r="AL743" s="27"/>
      <c r="AM743" s="27"/>
      <c r="AN743" s="27"/>
      <c r="AO743" s="27"/>
      <c r="AP743" s="27"/>
      <c r="AQ743" s="27"/>
      <c r="AR743" s="27"/>
      <c r="AS743" s="27"/>
      <c r="AT743" s="27"/>
      <c r="AU743" s="27"/>
    </row>
    <row r="744" spans="1:47" ht="15.75" customHeight="1">
      <c r="A744" s="45">
        <v>44544</v>
      </c>
      <c r="B744" s="57" t="s">
        <v>1201</v>
      </c>
      <c r="C744" s="46" t="s">
        <v>48</v>
      </c>
      <c r="D744" s="33" t="s">
        <v>1037</v>
      </c>
      <c r="E744" s="98">
        <v>5000</v>
      </c>
      <c r="F744" s="33" t="s">
        <v>1202</v>
      </c>
      <c r="G744" s="33" t="s">
        <v>830</v>
      </c>
      <c r="H744" s="33" t="s">
        <v>86</v>
      </c>
      <c r="I744" s="33" t="s">
        <v>830</v>
      </c>
      <c r="J744" s="44">
        <v>44180</v>
      </c>
      <c r="K744" s="33" t="s">
        <v>1041</v>
      </c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F744" s="27"/>
      <c r="AG744" s="27"/>
      <c r="AH744" s="27"/>
      <c r="AI744" s="27"/>
      <c r="AJ744" s="27"/>
      <c r="AK744" s="27"/>
      <c r="AL744" s="27"/>
      <c r="AM744" s="27"/>
      <c r="AN744" s="27"/>
      <c r="AO744" s="27"/>
      <c r="AP744" s="27"/>
      <c r="AQ744" s="27"/>
      <c r="AR744" s="27"/>
      <c r="AS744" s="27"/>
      <c r="AT744" s="27"/>
      <c r="AU744" s="27"/>
    </row>
    <row r="745" spans="1:47" ht="15.75" customHeight="1">
      <c r="A745" s="45">
        <v>44544</v>
      </c>
      <c r="B745" s="38" t="s">
        <v>1177</v>
      </c>
      <c r="C745" s="46" t="s">
        <v>1027</v>
      </c>
      <c r="D745" s="33" t="s">
        <v>1037</v>
      </c>
      <c r="E745" s="98">
        <v>5000</v>
      </c>
      <c r="F745" s="33" t="s">
        <v>1178</v>
      </c>
      <c r="G745" s="44" t="s">
        <v>835</v>
      </c>
      <c r="H745" s="44" t="s">
        <v>1176</v>
      </c>
      <c r="I745" s="44" t="s">
        <v>973</v>
      </c>
      <c r="J745" s="44">
        <v>44295</v>
      </c>
      <c r="K745" s="44" t="s">
        <v>1179</v>
      </c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F745" s="27"/>
      <c r="AG745" s="27"/>
      <c r="AH745" s="27"/>
      <c r="AI745" s="27"/>
      <c r="AJ745" s="27"/>
      <c r="AK745" s="27"/>
      <c r="AL745" s="27"/>
      <c r="AM745" s="27"/>
      <c r="AN745" s="27"/>
      <c r="AO745" s="27"/>
      <c r="AP745" s="27"/>
      <c r="AQ745" s="27"/>
      <c r="AR745" s="27"/>
      <c r="AS745" s="27"/>
      <c r="AT745" s="27"/>
      <c r="AU745" s="27"/>
    </row>
    <row r="746" spans="1:47" ht="15.75" customHeight="1">
      <c r="A746" s="45">
        <v>44545</v>
      </c>
      <c r="B746" s="40" t="s">
        <v>1183</v>
      </c>
      <c r="C746" s="46" t="s">
        <v>48</v>
      </c>
      <c r="D746" s="33" t="s">
        <v>1037</v>
      </c>
      <c r="E746" s="98">
        <v>5000</v>
      </c>
      <c r="F746" s="33" t="s">
        <v>1611</v>
      </c>
      <c r="G746" s="33" t="s">
        <v>904</v>
      </c>
      <c r="H746" s="59" t="s">
        <v>86</v>
      </c>
      <c r="I746" s="59" t="s">
        <v>912</v>
      </c>
      <c r="J746" s="60">
        <v>44263</v>
      </c>
      <c r="K746" s="33" t="s">
        <v>1041</v>
      </c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F746" s="27"/>
      <c r="AG746" s="27"/>
      <c r="AH746" s="27"/>
      <c r="AI746" s="27"/>
      <c r="AJ746" s="27"/>
      <c r="AK746" s="27"/>
      <c r="AL746" s="27"/>
      <c r="AM746" s="27"/>
      <c r="AN746" s="27"/>
      <c r="AO746" s="27"/>
      <c r="AP746" s="27"/>
      <c r="AQ746" s="27"/>
      <c r="AR746" s="27"/>
      <c r="AS746" s="27"/>
      <c r="AT746" s="27"/>
      <c r="AU746" s="27"/>
    </row>
    <row r="747" spans="1:47" ht="15.75" customHeight="1">
      <c r="A747" s="45">
        <v>44545</v>
      </c>
      <c r="B747" s="56" t="s">
        <v>1612</v>
      </c>
      <c r="C747" s="46" t="s">
        <v>48</v>
      </c>
      <c r="D747" s="33" t="s">
        <v>1028</v>
      </c>
      <c r="E747" s="98">
        <v>110068.61</v>
      </c>
      <c r="F747" s="33" t="s">
        <v>1613</v>
      </c>
      <c r="G747" s="33" t="s">
        <v>835</v>
      </c>
      <c r="H747" s="33" t="s">
        <v>1299</v>
      </c>
      <c r="I747" s="33" t="s">
        <v>886</v>
      </c>
      <c r="J747" s="44">
        <v>44369</v>
      </c>
      <c r="K747" s="33" t="s">
        <v>1030</v>
      </c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F747" s="27"/>
      <c r="AG747" s="27"/>
      <c r="AH747" s="27"/>
      <c r="AI747" s="27"/>
      <c r="AJ747" s="27"/>
      <c r="AK747" s="27"/>
      <c r="AL747" s="27"/>
      <c r="AM747" s="27"/>
      <c r="AN747" s="27"/>
      <c r="AO747" s="27"/>
      <c r="AP747" s="27"/>
      <c r="AQ747" s="27"/>
      <c r="AR747" s="27"/>
      <c r="AS747" s="27"/>
      <c r="AT747" s="27"/>
      <c r="AU747" s="27"/>
    </row>
    <row r="748" spans="1:47" ht="15.75" customHeight="1">
      <c r="A748" s="45">
        <v>44545</v>
      </c>
      <c r="B748" s="38" t="s">
        <v>1614</v>
      </c>
      <c r="C748" s="46" t="s">
        <v>1027</v>
      </c>
      <c r="D748" s="33" t="s">
        <v>1037</v>
      </c>
      <c r="E748" s="98">
        <v>114749.72</v>
      </c>
      <c r="F748" s="33" t="s">
        <v>1615</v>
      </c>
      <c r="G748" s="44" t="s">
        <v>835</v>
      </c>
      <c r="H748" s="44" t="s">
        <v>1176</v>
      </c>
      <c r="I748" s="44" t="s">
        <v>971</v>
      </c>
      <c r="J748" s="44">
        <v>44321</v>
      </c>
      <c r="K748" s="44" t="s">
        <v>1122</v>
      </c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F748" s="27"/>
      <c r="AG748" s="27"/>
      <c r="AH748" s="27"/>
      <c r="AI748" s="27"/>
      <c r="AJ748" s="27"/>
      <c r="AK748" s="27"/>
      <c r="AL748" s="27"/>
      <c r="AM748" s="27"/>
      <c r="AN748" s="27"/>
      <c r="AO748" s="27"/>
      <c r="AP748" s="27"/>
      <c r="AQ748" s="27"/>
      <c r="AR748" s="27"/>
      <c r="AS748" s="27"/>
      <c r="AT748" s="27"/>
      <c r="AU748" s="27"/>
    </row>
    <row r="749" spans="1:47" ht="15.75" customHeight="1">
      <c r="A749" s="45">
        <v>44545</v>
      </c>
      <c r="B749" s="38" t="s">
        <v>1276</v>
      </c>
      <c r="C749" s="46" t="s">
        <v>1027</v>
      </c>
      <c r="D749" s="33" t="s">
        <v>1037</v>
      </c>
      <c r="E749" s="98">
        <v>30000</v>
      </c>
      <c r="F749" s="33" t="s">
        <v>1277</v>
      </c>
      <c r="G749" s="44" t="s">
        <v>835</v>
      </c>
      <c r="H749" s="44" t="s">
        <v>1176</v>
      </c>
      <c r="I749" s="44" t="s">
        <v>971</v>
      </c>
      <c r="J749" s="44">
        <v>44279</v>
      </c>
      <c r="K749" s="44" t="s">
        <v>1041</v>
      </c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F749" s="27"/>
      <c r="AG749" s="27"/>
      <c r="AH749" s="27"/>
      <c r="AI749" s="27"/>
      <c r="AJ749" s="27"/>
      <c r="AK749" s="27"/>
      <c r="AL749" s="27"/>
      <c r="AM749" s="27"/>
      <c r="AN749" s="27"/>
      <c r="AO749" s="27"/>
      <c r="AP749" s="27"/>
      <c r="AQ749" s="27"/>
      <c r="AR749" s="27"/>
      <c r="AS749" s="27"/>
      <c r="AT749" s="27"/>
      <c r="AU749" s="27"/>
    </row>
    <row r="750" spans="1:47" ht="15.75" customHeight="1">
      <c r="A750" s="45">
        <v>44545</v>
      </c>
      <c r="B750" s="55" t="s">
        <v>1056</v>
      </c>
      <c r="C750" s="46" t="s">
        <v>1027</v>
      </c>
      <c r="D750" s="33" t="s">
        <v>1028</v>
      </c>
      <c r="E750" s="98">
        <v>240263.39</v>
      </c>
      <c r="F750" s="33" t="s">
        <v>1057</v>
      </c>
      <c r="G750" s="44" t="s">
        <v>830</v>
      </c>
      <c r="H750" s="44" t="s">
        <v>86</v>
      </c>
      <c r="I750" s="44" t="s">
        <v>878</v>
      </c>
      <c r="J750" s="44">
        <v>43822</v>
      </c>
      <c r="K750" s="44" t="s">
        <v>1054</v>
      </c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F750" s="27"/>
      <c r="AG750" s="27"/>
      <c r="AH750" s="27"/>
      <c r="AI750" s="27"/>
      <c r="AJ750" s="27"/>
      <c r="AK750" s="27"/>
      <c r="AL750" s="27"/>
      <c r="AM750" s="27"/>
      <c r="AN750" s="27"/>
      <c r="AO750" s="27"/>
      <c r="AP750" s="27"/>
      <c r="AQ750" s="27"/>
      <c r="AR750" s="27"/>
      <c r="AS750" s="27"/>
      <c r="AT750" s="27"/>
      <c r="AU750" s="27"/>
    </row>
    <row r="751" spans="1:47" ht="15.75" customHeight="1">
      <c r="A751" s="45">
        <v>44546</v>
      </c>
      <c r="B751" s="57" t="s">
        <v>1052</v>
      </c>
      <c r="C751" s="46" t="s">
        <v>1027</v>
      </c>
      <c r="D751" s="33" t="s">
        <v>1037</v>
      </c>
      <c r="E751" s="98">
        <v>5000</v>
      </c>
      <c r="F751" s="33" t="s">
        <v>1053</v>
      </c>
      <c r="G751" s="44" t="s">
        <v>830</v>
      </c>
      <c r="H751" s="44" t="s">
        <v>86</v>
      </c>
      <c r="I751" s="44" t="s">
        <v>878</v>
      </c>
      <c r="J751" s="44">
        <v>43605</v>
      </c>
      <c r="K751" s="44" t="s">
        <v>1054</v>
      </c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F751" s="27"/>
      <c r="AG751" s="27"/>
      <c r="AH751" s="27"/>
      <c r="AI751" s="27"/>
      <c r="AJ751" s="27"/>
      <c r="AK751" s="27"/>
      <c r="AL751" s="27"/>
      <c r="AM751" s="27"/>
      <c r="AN751" s="27"/>
      <c r="AO751" s="27"/>
      <c r="AP751" s="27"/>
      <c r="AQ751" s="27"/>
      <c r="AR751" s="27"/>
      <c r="AS751" s="27"/>
      <c r="AT751" s="27"/>
      <c r="AU751" s="27"/>
    </row>
    <row r="752" spans="1:47" ht="15.75" customHeight="1">
      <c r="A752" s="45">
        <v>44547</v>
      </c>
      <c r="B752" s="38" t="s">
        <v>1347</v>
      </c>
      <c r="C752" s="46" t="s">
        <v>1027</v>
      </c>
      <c r="D752" s="33" t="s">
        <v>1037</v>
      </c>
      <c r="E752" s="98">
        <v>5000</v>
      </c>
      <c r="F752" s="33" t="s">
        <v>1348</v>
      </c>
      <c r="G752" s="44" t="s">
        <v>835</v>
      </c>
      <c r="H752" s="44" t="s">
        <v>1176</v>
      </c>
      <c r="I752" s="44" t="s">
        <v>973</v>
      </c>
      <c r="J752" s="44">
        <v>44280</v>
      </c>
      <c r="K752" s="44" t="s">
        <v>1179</v>
      </c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F752" s="27"/>
      <c r="AG752" s="27"/>
      <c r="AH752" s="27"/>
      <c r="AI752" s="27"/>
      <c r="AJ752" s="27"/>
      <c r="AK752" s="27"/>
      <c r="AL752" s="27"/>
      <c r="AM752" s="27"/>
      <c r="AN752" s="27"/>
      <c r="AO752" s="27"/>
      <c r="AP752" s="27"/>
      <c r="AQ752" s="27"/>
      <c r="AR752" s="27"/>
      <c r="AS752" s="27"/>
      <c r="AT752" s="27"/>
      <c r="AU752" s="27"/>
    </row>
    <row r="753" spans="1:47" ht="15.75" customHeight="1">
      <c r="A753" s="45">
        <v>44551</v>
      </c>
      <c r="B753" s="55" t="s">
        <v>1088</v>
      </c>
      <c r="C753" s="46" t="s">
        <v>1027</v>
      </c>
      <c r="D753" s="33" t="s">
        <v>1028</v>
      </c>
      <c r="E753" s="98">
        <v>840387.52</v>
      </c>
      <c r="F753" s="33" t="s">
        <v>1089</v>
      </c>
      <c r="G753" s="44" t="s">
        <v>830</v>
      </c>
      <c r="H753" s="44" t="s">
        <v>86</v>
      </c>
      <c r="I753" s="44" t="s">
        <v>878</v>
      </c>
      <c r="J753" s="44">
        <v>43867</v>
      </c>
      <c r="K753" s="44" t="s">
        <v>1041</v>
      </c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F753" s="27"/>
      <c r="AG753" s="27"/>
      <c r="AH753" s="27"/>
      <c r="AI753" s="27"/>
      <c r="AJ753" s="27"/>
      <c r="AK753" s="27"/>
      <c r="AL753" s="27"/>
      <c r="AM753" s="27"/>
      <c r="AN753" s="27"/>
      <c r="AO753" s="27"/>
      <c r="AP753" s="27"/>
      <c r="AQ753" s="27"/>
      <c r="AR753" s="27"/>
      <c r="AS753" s="27"/>
      <c r="AT753" s="27"/>
      <c r="AU753" s="27"/>
    </row>
    <row r="754" spans="1:47" ht="15.75" customHeight="1">
      <c r="A754" s="45">
        <v>44552</v>
      </c>
      <c r="B754" s="38" t="s">
        <v>1398</v>
      </c>
      <c r="C754" s="46" t="s">
        <v>1027</v>
      </c>
      <c r="D754" s="33" t="s">
        <v>1037</v>
      </c>
      <c r="E754" s="98">
        <v>40000</v>
      </c>
      <c r="F754" s="33" t="s">
        <v>1399</v>
      </c>
      <c r="G754" s="44" t="s">
        <v>835</v>
      </c>
      <c r="H754" s="44" t="s">
        <v>1176</v>
      </c>
      <c r="I754" s="44" t="s">
        <v>973</v>
      </c>
      <c r="J754" s="44">
        <v>44280</v>
      </c>
      <c r="K754" s="44" t="s">
        <v>1041</v>
      </c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F754" s="27"/>
      <c r="AG754" s="27"/>
      <c r="AH754" s="27"/>
      <c r="AI754" s="27"/>
      <c r="AJ754" s="27"/>
      <c r="AK754" s="27"/>
      <c r="AL754" s="27"/>
      <c r="AM754" s="27"/>
      <c r="AN754" s="27"/>
      <c r="AO754" s="27"/>
      <c r="AP754" s="27"/>
      <c r="AQ754" s="27"/>
      <c r="AR754" s="27"/>
      <c r="AS754" s="27"/>
      <c r="AT754" s="27"/>
      <c r="AU754" s="27"/>
    </row>
    <row r="755" spans="1:47" ht="15.75" customHeight="1">
      <c r="A755" s="45">
        <v>44553</v>
      </c>
      <c r="B755" s="53" t="s">
        <v>1616</v>
      </c>
      <c r="C755" s="46" t="s">
        <v>48</v>
      </c>
      <c r="D755" s="33" t="s">
        <v>1062</v>
      </c>
      <c r="E755" s="98">
        <v>368899.52</v>
      </c>
      <c r="F755" s="33" t="s">
        <v>1617</v>
      </c>
      <c r="G755" s="33" t="s">
        <v>835</v>
      </c>
      <c r="H755" s="33" t="s">
        <v>1299</v>
      </c>
      <c r="I755" s="33" t="s">
        <v>886</v>
      </c>
      <c r="J755" s="44">
        <v>44251</v>
      </c>
      <c r="K755" s="33" t="s">
        <v>1041</v>
      </c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F755" s="27"/>
      <c r="AG755" s="27"/>
      <c r="AH755" s="27"/>
      <c r="AI755" s="27"/>
      <c r="AJ755" s="27"/>
      <c r="AK755" s="27"/>
      <c r="AL755" s="27"/>
      <c r="AM755" s="27"/>
      <c r="AN755" s="27"/>
      <c r="AO755" s="27"/>
      <c r="AP755" s="27"/>
      <c r="AQ755" s="27"/>
      <c r="AR755" s="27"/>
      <c r="AS755" s="27"/>
      <c r="AT755" s="27"/>
      <c r="AU755" s="27"/>
    </row>
    <row r="756" spans="1:47" ht="15.75" customHeight="1">
      <c r="A756" s="45">
        <v>44553</v>
      </c>
      <c r="B756" s="38" t="s">
        <v>1456</v>
      </c>
      <c r="C756" s="46" t="s">
        <v>1027</v>
      </c>
      <c r="D756" s="33" t="s">
        <v>1037</v>
      </c>
      <c r="E756" s="98">
        <v>30000</v>
      </c>
      <c r="F756" s="33" t="s">
        <v>1457</v>
      </c>
      <c r="G756" s="44" t="s">
        <v>835</v>
      </c>
      <c r="H756" s="44" t="s">
        <v>1176</v>
      </c>
      <c r="I756" s="44" t="s">
        <v>973</v>
      </c>
      <c r="J756" s="44">
        <v>44263</v>
      </c>
      <c r="K756" s="44" t="s">
        <v>1054</v>
      </c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F756" s="27"/>
      <c r="AG756" s="27"/>
      <c r="AH756" s="27"/>
      <c r="AI756" s="27"/>
      <c r="AJ756" s="27"/>
      <c r="AK756" s="27"/>
      <c r="AL756" s="27"/>
      <c r="AM756" s="27"/>
      <c r="AN756" s="27"/>
      <c r="AO756" s="27"/>
      <c r="AP756" s="27"/>
      <c r="AQ756" s="27"/>
      <c r="AR756" s="27"/>
      <c r="AS756" s="27"/>
      <c r="AT756" s="27"/>
      <c r="AU756" s="27"/>
    </row>
    <row r="757" spans="1:47" ht="15.75" customHeight="1">
      <c r="A757" s="45">
        <v>44553</v>
      </c>
      <c r="B757" s="38" t="s">
        <v>1562</v>
      </c>
      <c r="C757" s="46" t="s">
        <v>1027</v>
      </c>
      <c r="D757" s="33" t="s">
        <v>1037</v>
      </c>
      <c r="E757" s="98">
        <v>40000</v>
      </c>
      <c r="F757" s="33" t="s">
        <v>1563</v>
      </c>
      <c r="G757" s="44" t="s">
        <v>835</v>
      </c>
      <c r="H757" s="44" t="s">
        <v>1176</v>
      </c>
      <c r="I757" s="44" t="s">
        <v>973</v>
      </c>
      <c r="J757" s="44">
        <v>44323</v>
      </c>
      <c r="K757" s="44" t="s">
        <v>1438</v>
      </c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F757" s="27"/>
      <c r="AG757" s="27"/>
      <c r="AH757" s="27"/>
      <c r="AI757" s="27"/>
      <c r="AJ757" s="27"/>
      <c r="AK757" s="27"/>
      <c r="AL757" s="27"/>
      <c r="AM757" s="27"/>
      <c r="AN757" s="27"/>
      <c r="AO757" s="27"/>
      <c r="AP757" s="27"/>
      <c r="AQ757" s="27"/>
      <c r="AR757" s="27"/>
      <c r="AS757" s="27"/>
      <c r="AT757" s="27"/>
      <c r="AU757" s="27"/>
    </row>
    <row r="758" spans="1:47" ht="15.75" customHeight="1">
      <c r="A758" s="45">
        <v>44553</v>
      </c>
      <c r="B758" s="38" t="s">
        <v>1458</v>
      </c>
      <c r="C758" s="46" t="s">
        <v>1027</v>
      </c>
      <c r="D758" s="33" t="s">
        <v>1037</v>
      </c>
      <c r="E758" s="98">
        <v>100000</v>
      </c>
      <c r="F758" s="33" t="s">
        <v>1459</v>
      </c>
      <c r="G758" s="44" t="s">
        <v>835</v>
      </c>
      <c r="H758" s="44" t="s">
        <v>1176</v>
      </c>
      <c r="I758" s="44" t="s">
        <v>973</v>
      </c>
      <c r="J758" s="44">
        <v>44266</v>
      </c>
      <c r="K758" s="44" t="s">
        <v>1122</v>
      </c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F758" s="27"/>
      <c r="AG758" s="27"/>
      <c r="AH758" s="27"/>
      <c r="AI758" s="27"/>
      <c r="AJ758" s="27"/>
      <c r="AK758" s="27"/>
      <c r="AL758" s="27"/>
      <c r="AM758" s="27"/>
      <c r="AN758" s="27"/>
      <c r="AO758" s="27"/>
      <c r="AP758" s="27"/>
      <c r="AQ758" s="27"/>
      <c r="AR758" s="27"/>
      <c r="AS758" s="27"/>
      <c r="AT758" s="27"/>
      <c r="AU758" s="27"/>
    </row>
    <row r="759" spans="1:47" ht="15.75" customHeight="1">
      <c r="A759" s="45">
        <v>44557</v>
      </c>
      <c r="B759" s="57" t="s">
        <v>1052</v>
      </c>
      <c r="C759" s="46" t="s">
        <v>1027</v>
      </c>
      <c r="D759" s="33" t="s">
        <v>1037</v>
      </c>
      <c r="E759" s="98">
        <v>14000</v>
      </c>
      <c r="F759" s="33" t="s">
        <v>1053</v>
      </c>
      <c r="G759" s="44" t="s">
        <v>830</v>
      </c>
      <c r="H759" s="44" t="s">
        <v>86</v>
      </c>
      <c r="I759" s="44" t="s">
        <v>878</v>
      </c>
      <c r="J759" s="44">
        <v>43605</v>
      </c>
      <c r="K759" s="44" t="s">
        <v>1054</v>
      </c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F759" s="27"/>
      <c r="AG759" s="27"/>
      <c r="AH759" s="27"/>
      <c r="AI759" s="27"/>
      <c r="AJ759" s="27"/>
      <c r="AK759" s="27"/>
      <c r="AL759" s="27"/>
      <c r="AM759" s="27"/>
      <c r="AN759" s="27"/>
      <c r="AO759" s="27"/>
      <c r="AP759" s="27"/>
      <c r="AQ759" s="27"/>
      <c r="AR759" s="27"/>
      <c r="AS759" s="27"/>
      <c r="AT759" s="27"/>
      <c r="AU759" s="27"/>
    </row>
    <row r="760" spans="1:47" ht="15.75" customHeight="1">
      <c r="A760" s="45">
        <v>44559</v>
      </c>
      <c r="B760" s="38" t="s">
        <v>1082</v>
      </c>
      <c r="C760" s="46" t="s">
        <v>1027</v>
      </c>
      <c r="D760" s="33" t="s">
        <v>1037</v>
      </c>
      <c r="E760" s="98">
        <v>5000</v>
      </c>
      <c r="F760" s="33" t="s">
        <v>1083</v>
      </c>
      <c r="G760" s="44" t="s">
        <v>830</v>
      </c>
      <c r="H760" s="44" t="s">
        <v>86</v>
      </c>
      <c r="I760" s="44" t="s">
        <v>878</v>
      </c>
      <c r="J760" s="44">
        <v>43717</v>
      </c>
      <c r="K760" s="44" t="s">
        <v>1033</v>
      </c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F760" s="27"/>
      <c r="AG760" s="27"/>
      <c r="AH760" s="27"/>
      <c r="AI760" s="27"/>
      <c r="AJ760" s="27"/>
      <c r="AK760" s="27"/>
      <c r="AL760" s="27"/>
      <c r="AM760" s="27"/>
      <c r="AN760" s="27"/>
      <c r="AO760" s="27"/>
      <c r="AP760" s="27"/>
      <c r="AQ760" s="27"/>
      <c r="AR760" s="27"/>
      <c r="AS760" s="27"/>
      <c r="AT760" s="27"/>
      <c r="AU760" s="27"/>
    </row>
    <row r="761" spans="1:47" ht="15.75" customHeight="1">
      <c r="A761" s="45">
        <v>44559</v>
      </c>
      <c r="B761" s="56" t="s">
        <v>1618</v>
      </c>
      <c r="C761" s="46" t="s">
        <v>48</v>
      </c>
      <c r="D761" s="33" t="s">
        <v>1028</v>
      </c>
      <c r="E761" s="98">
        <v>97410.240000000005</v>
      </c>
      <c r="F761" s="33" t="s">
        <v>1619</v>
      </c>
      <c r="G761" s="33" t="s">
        <v>835</v>
      </c>
      <c r="H761" s="33" t="s">
        <v>86</v>
      </c>
      <c r="I761" s="33" t="s">
        <v>847</v>
      </c>
      <c r="J761" s="44">
        <v>44354</v>
      </c>
      <c r="K761" s="33" t="s">
        <v>1030</v>
      </c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F761" s="27"/>
      <c r="AG761" s="27"/>
      <c r="AH761" s="27"/>
      <c r="AI761" s="27"/>
      <c r="AJ761" s="27"/>
      <c r="AK761" s="27"/>
      <c r="AL761" s="27"/>
      <c r="AM761" s="27"/>
      <c r="AN761" s="27"/>
      <c r="AO761" s="27"/>
      <c r="AP761" s="27"/>
      <c r="AQ761" s="27"/>
      <c r="AR761" s="27"/>
      <c r="AS761" s="27"/>
      <c r="AT761" s="27"/>
      <c r="AU761" s="27"/>
    </row>
    <row r="762" spans="1:47" ht="15.75" customHeight="1">
      <c r="A762" s="34">
        <v>44566.405864444445</v>
      </c>
      <c r="B762" s="38" t="s">
        <v>1456</v>
      </c>
      <c r="C762" s="46" t="s">
        <v>1027</v>
      </c>
      <c r="D762" s="33" t="s">
        <v>1037</v>
      </c>
      <c r="E762" s="98" t="s">
        <v>1620</v>
      </c>
      <c r="F762" s="33" t="s">
        <v>1457</v>
      </c>
      <c r="G762" s="44" t="s">
        <v>835</v>
      </c>
      <c r="H762" s="44" t="s">
        <v>1176</v>
      </c>
      <c r="I762" s="44" t="s">
        <v>973</v>
      </c>
      <c r="J762" s="44">
        <v>44263</v>
      </c>
      <c r="K762" s="44" t="s">
        <v>1054</v>
      </c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F762" s="27"/>
      <c r="AG762" s="27"/>
      <c r="AH762" s="27"/>
      <c r="AI762" s="27"/>
      <c r="AJ762" s="27"/>
      <c r="AK762" s="27"/>
      <c r="AL762" s="27"/>
      <c r="AM762" s="27"/>
      <c r="AN762" s="27"/>
      <c r="AO762" s="27"/>
      <c r="AP762" s="27"/>
      <c r="AQ762" s="27"/>
      <c r="AR762" s="27"/>
      <c r="AS762" s="27"/>
      <c r="AT762" s="27"/>
      <c r="AU762" s="27"/>
    </row>
    <row r="763" spans="1:47" ht="15.75" customHeight="1">
      <c r="A763" s="34">
        <v>44567.470252824074</v>
      </c>
      <c r="B763" s="38" t="s">
        <v>1621</v>
      </c>
      <c r="C763" s="46" t="s">
        <v>1027</v>
      </c>
      <c r="D763" s="33" t="s">
        <v>1062</v>
      </c>
      <c r="E763" s="39">
        <v>648751.76</v>
      </c>
      <c r="F763" s="33" t="s">
        <v>1622</v>
      </c>
      <c r="G763" s="44" t="s">
        <v>835</v>
      </c>
      <c r="H763" s="44" t="s">
        <v>1176</v>
      </c>
      <c r="I763" s="44" t="s">
        <v>973</v>
      </c>
      <c r="J763" s="44">
        <v>44280</v>
      </c>
      <c r="K763" s="44" t="s">
        <v>1122</v>
      </c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F763" s="27"/>
      <c r="AG763" s="27"/>
      <c r="AH763" s="27"/>
      <c r="AI763" s="27"/>
      <c r="AJ763" s="27"/>
      <c r="AK763" s="27"/>
      <c r="AL763" s="27"/>
      <c r="AM763" s="27"/>
      <c r="AN763" s="27"/>
      <c r="AO763" s="27"/>
      <c r="AP763" s="27"/>
      <c r="AQ763" s="27"/>
      <c r="AR763" s="27"/>
      <c r="AS763" s="27"/>
      <c r="AT763" s="27"/>
      <c r="AU763" s="27"/>
    </row>
    <row r="764" spans="1:47" ht="15.75" customHeight="1">
      <c r="A764" s="34">
        <v>44567.6009122338</v>
      </c>
      <c r="B764" s="38" t="s">
        <v>1623</v>
      </c>
      <c r="C764" s="46" t="s">
        <v>1027</v>
      </c>
      <c r="D764" s="33" t="s">
        <v>1062</v>
      </c>
      <c r="E764" s="52">
        <v>146875.19</v>
      </c>
      <c r="F764" s="33" t="s">
        <v>1624</v>
      </c>
      <c r="G764" s="44" t="s">
        <v>835</v>
      </c>
      <c r="H764" s="44" t="s">
        <v>1176</v>
      </c>
      <c r="I764" s="44" t="s">
        <v>971</v>
      </c>
      <c r="J764" s="44">
        <v>44340</v>
      </c>
      <c r="K764" s="44" t="s">
        <v>1054</v>
      </c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F764" s="27"/>
      <c r="AG764" s="27"/>
      <c r="AH764" s="27"/>
      <c r="AI764" s="27"/>
      <c r="AJ764" s="27"/>
      <c r="AK764" s="27"/>
      <c r="AL764" s="27"/>
      <c r="AM764" s="27"/>
      <c r="AN764" s="27"/>
      <c r="AO764" s="27"/>
      <c r="AP764" s="27"/>
      <c r="AQ764" s="27"/>
      <c r="AR764" s="27"/>
      <c r="AS764" s="27"/>
      <c r="AT764" s="27"/>
      <c r="AU764" s="27"/>
    </row>
    <row r="765" spans="1:47" ht="15.75" customHeight="1">
      <c r="A765" s="34">
        <v>44567.606299722218</v>
      </c>
      <c r="B765" s="38" t="s">
        <v>1414</v>
      </c>
      <c r="C765" s="46" t="s">
        <v>1027</v>
      </c>
      <c r="D765" s="33" t="s">
        <v>1037</v>
      </c>
      <c r="E765" s="98" t="s">
        <v>1625</v>
      </c>
      <c r="F765" s="33" t="s">
        <v>1415</v>
      </c>
      <c r="G765" s="44" t="s">
        <v>835</v>
      </c>
      <c r="H765" s="44" t="s">
        <v>1176</v>
      </c>
      <c r="I765" s="44" t="s">
        <v>971</v>
      </c>
      <c r="J765" s="44">
        <v>44291</v>
      </c>
      <c r="K765" s="44" t="s">
        <v>1041</v>
      </c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F765" s="27"/>
      <c r="AG765" s="27"/>
      <c r="AH765" s="27"/>
      <c r="AI765" s="27"/>
      <c r="AJ765" s="27"/>
      <c r="AK765" s="27"/>
      <c r="AL765" s="27"/>
      <c r="AM765" s="27"/>
      <c r="AN765" s="27"/>
      <c r="AO765" s="27"/>
      <c r="AP765" s="27"/>
      <c r="AQ765" s="27"/>
      <c r="AR765" s="27"/>
      <c r="AS765" s="27"/>
      <c r="AT765" s="27"/>
      <c r="AU765" s="27"/>
    </row>
    <row r="766" spans="1:47" ht="15.75" customHeight="1">
      <c r="A766" s="34">
        <v>44568.43395849537</v>
      </c>
      <c r="B766" s="38" t="s">
        <v>1368</v>
      </c>
      <c r="C766" s="46" t="s">
        <v>1027</v>
      </c>
      <c r="D766" s="33" t="s">
        <v>1037</v>
      </c>
      <c r="E766" s="98" t="s">
        <v>1626</v>
      </c>
      <c r="F766" s="33" t="s">
        <v>1369</v>
      </c>
      <c r="G766" s="44" t="s">
        <v>835</v>
      </c>
      <c r="H766" s="44" t="s">
        <v>1176</v>
      </c>
      <c r="I766" s="44" t="s">
        <v>971</v>
      </c>
      <c r="J766" s="44">
        <v>44321</v>
      </c>
      <c r="K766" s="44" t="s">
        <v>1054</v>
      </c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F766" s="27"/>
      <c r="AG766" s="27"/>
      <c r="AH766" s="27"/>
      <c r="AI766" s="27"/>
      <c r="AJ766" s="27"/>
      <c r="AK766" s="27"/>
      <c r="AL766" s="27"/>
      <c r="AM766" s="27"/>
      <c r="AN766" s="27"/>
      <c r="AO766" s="27"/>
      <c r="AP766" s="27"/>
      <c r="AQ766" s="27"/>
      <c r="AR766" s="27"/>
      <c r="AS766" s="27"/>
      <c r="AT766" s="27"/>
      <c r="AU766" s="27"/>
    </row>
    <row r="767" spans="1:47" ht="15.75" customHeight="1">
      <c r="A767" s="34">
        <v>44568.568650995367</v>
      </c>
      <c r="B767" s="38" t="s">
        <v>1627</v>
      </c>
      <c r="C767" s="46" t="s">
        <v>1027</v>
      </c>
      <c r="D767" s="33" t="s">
        <v>1037</v>
      </c>
      <c r="E767" s="98" t="s">
        <v>1628</v>
      </c>
      <c r="F767" s="33" t="s">
        <v>1629</v>
      </c>
      <c r="G767" s="44" t="s">
        <v>835</v>
      </c>
      <c r="H767" s="44" t="s">
        <v>1176</v>
      </c>
      <c r="I767" s="44" t="s">
        <v>971</v>
      </c>
      <c r="J767" s="44">
        <v>44280</v>
      </c>
      <c r="K767" s="44" t="s">
        <v>1122</v>
      </c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F767" s="27"/>
      <c r="AG767" s="27"/>
      <c r="AH767" s="27"/>
      <c r="AI767" s="27"/>
      <c r="AJ767" s="27"/>
      <c r="AK767" s="27"/>
      <c r="AL767" s="27"/>
      <c r="AM767" s="27"/>
      <c r="AN767" s="27"/>
      <c r="AO767" s="27"/>
      <c r="AP767" s="27"/>
      <c r="AQ767" s="27"/>
      <c r="AR767" s="27"/>
      <c r="AS767" s="27"/>
      <c r="AT767" s="27"/>
      <c r="AU767" s="27"/>
    </row>
    <row r="768" spans="1:47" ht="15.75" customHeight="1">
      <c r="A768" s="34">
        <v>44569</v>
      </c>
      <c r="B768" s="38" t="s">
        <v>1630</v>
      </c>
      <c r="C768" s="46" t="s">
        <v>1076</v>
      </c>
      <c r="D768" s="33" t="s">
        <v>1028</v>
      </c>
      <c r="E768" s="98">
        <v>151280.20000000001</v>
      </c>
      <c r="F768" s="33" t="s">
        <v>1631</v>
      </c>
      <c r="G768" s="44" t="s">
        <v>835</v>
      </c>
      <c r="H768" s="44" t="s">
        <v>86</v>
      </c>
      <c r="I768" s="44" t="s">
        <v>983</v>
      </c>
      <c r="J768" s="44">
        <v>43731</v>
      </c>
      <c r="K768" s="44" t="s">
        <v>1122</v>
      </c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F768" s="27"/>
      <c r="AG768" s="27"/>
      <c r="AH768" s="27"/>
      <c r="AI768" s="27"/>
      <c r="AJ768" s="27"/>
      <c r="AK768" s="27"/>
      <c r="AL768" s="27"/>
      <c r="AM768" s="27"/>
      <c r="AN768" s="27"/>
      <c r="AO768" s="27"/>
      <c r="AP768" s="27"/>
      <c r="AQ768" s="27"/>
      <c r="AR768" s="27"/>
      <c r="AS768" s="27"/>
      <c r="AT768" s="27"/>
      <c r="AU768" s="27"/>
    </row>
    <row r="769" spans="1:47" ht="15.75" customHeight="1">
      <c r="A769" s="34">
        <v>44571.46989226852</v>
      </c>
      <c r="B769" s="38" t="s">
        <v>1456</v>
      </c>
      <c r="C769" s="46" t="s">
        <v>1027</v>
      </c>
      <c r="D769" s="33" t="s">
        <v>1037</v>
      </c>
      <c r="E769" s="98" t="s">
        <v>1632</v>
      </c>
      <c r="F769" s="33" t="s">
        <v>1457</v>
      </c>
      <c r="G769" s="44" t="s">
        <v>835</v>
      </c>
      <c r="H769" s="44" t="s">
        <v>1176</v>
      </c>
      <c r="I769" s="44" t="s">
        <v>973</v>
      </c>
      <c r="J769" s="44">
        <v>44263</v>
      </c>
      <c r="K769" s="44" t="s">
        <v>1054</v>
      </c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F769" s="27"/>
      <c r="AG769" s="27"/>
      <c r="AH769" s="27"/>
      <c r="AI769" s="27"/>
      <c r="AJ769" s="27"/>
      <c r="AK769" s="27"/>
      <c r="AL769" s="27"/>
      <c r="AM769" s="27"/>
      <c r="AN769" s="27"/>
      <c r="AO769" s="27"/>
      <c r="AP769" s="27"/>
      <c r="AQ769" s="27"/>
      <c r="AR769" s="27"/>
      <c r="AS769" s="27"/>
      <c r="AT769" s="27"/>
      <c r="AU769" s="27"/>
    </row>
    <row r="770" spans="1:47" ht="15.75" customHeight="1">
      <c r="A770" s="34">
        <v>44571.517733935187</v>
      </c>
      <c r="B770" s="57" t="s">
        <v>1164</v>
      </c>
      <c r="C770" s="46" t="s">
        <v>1076</v>
      </c>
      <c r="D770" s="33" t="s">
        <v>1037</v>
      </c>
      <c r="E770" s="98">
        <v>8500</v>
      </c>
      <c r="F770" s="33" t="s">
        <v>1165</v>
      </c>
      <c r="G770" s="44" t="s">
        <v>835</v>
      </c>
      <c r="H770" s="44" t="s">
        <v>86</v>
      </c>
      <c r="I770" s="44" t="s">
        <v>835</v>
      </c>
      <c r="J770" s="44">
        <v>44062</v>
      </c>
      <c r="K770" s="44" t="s">
        <v>1041</v>
      </c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F770" s="27"/>
      <c r="AG770" s="27"/>
      <c r="AH770" s="27"/>
      <c r="AI770" s="27"/>
      <c r="AJ770" s="27"/>
      <c r="AK770" s="27"/>
      <c r="AL770" s="27"/>
      <c r="AM770" s="27"/>
      <c r="AN770" s="27"/>
      <c r="AO770" s="27"/>
      <c r="AP770" s="27"/>
      <c r="AQ770" s="27"/>
      <c r="AR770" s="27"/>
      <c r="AS770" s="27"/>
      <c r="AT770" s="27"/>
      <c r="AU770" s="27"/>
    </row>
    <row r="771" spans="1:47" ht="15.75" customHeight="1">
      <c r="A771" s="34">
        <v>44571.517733935187</v>
      </c>
      <c r="B771" s="38" t="s">
        <v>1177</v>
      </c>
      <c r="C771" s="46" t="s">
        <v>1027</v>
      </c>
      <c r="D771" s="33" t="s">
        <v>1037</v>
      </c>
      <c r="E771" s="98" t="s">
        <v>1633</v>
      </c>
      <c r="F771" s="33" t="s">
        <v>1178</v>
      </c>
      <c r="G771" s="44" t="s">
        <v>835</v>
      </c>
      <c r="H771" s="44" t="s">
        <v>1176</v>
      </c>
      <c r="I771" s="44" t="s">
        <v>973</v>
      </c>
      <c r="J771" s="44">
        <v>44295</v>
      </c>
      <c r="K771" s="44" t="s">
        <v>1179</v>
      </c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F771" s="27"/>
      <c r="AG771" s="27"/>
      <c r="AH771" s="27"/>
      <c r="AI771" s="27"/>
      <c r="AJ771" s="27"/>
      <c r="AK771" s="27"/>
      <c r="AL771" s="27"/>
      <c r="AM771" s="27"/>
      <c r="AN771" s="27"/>
      <c r="AO771" s="27"/>
      <c r="AP771" s="27"/>
      <c r="AQ771" s="27"/>
      <c r="AR771" s="27"/>
      <c r="AS771" s="27"/>
      <c r="AT771" s="27"/>
      <c r="AU771" s="27"/>
    </row>
    <row r="772" spans="1:47" ht="15.75" customHeight="1">
      <c r="A772" s="34">
        <v>44572.448788240741</v>
      </c>
      <c r="B772" s="38" t="s">
        <v>1308</v>
      </c>
      <c r="C772" s="46" t="s">
        <v>1027</v>
      </c>
      <c r="D772" s="33" t="s">
        <v>1037</v>
      </c>
      <c r="E772" s="98" t="s">
        <v>1633</v>
      </c>
      <c r="F772" s="33" t="s">
        <v>1309</v>
      </c>
      <c r="G772" s="44" t="s">
        <v>835</v>
      </c>
      <c r="H772" s="44" t="s">
        <v>1176</v>
      </c>
      <c r="I772" s="44" t="s">
        <v>971</v>
      </c>
      <c r="J772" s="44">
        <v>44319</v>
      </c>
      <c r="K772" s="44" t="s">
        <v>1041</v>
      </c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F772" s="27"/>
      <c r="AG772" s="27"/>
      <c r="AH772" s="27"/>
      <c r="AI772" s="27"/>
      <c r="AJ772" s="27"/>
      <c r="AK772" s="27"/>
      <c r="AL772" s="27"/>
      <c r="AM772" s="27"/>
      <c r="AN772" s="27"/>
      <c r="AO772" s="27"/>
      <c r="AP772" s="27"/>
      <c r="AQ772" s="27"/>
      <c r="AR772" s="27"/>
      <c r="AS772" s="27"/>
      <c r="AT772" s="27"/>
      <c r="AU772" s="27"/>
    </row>
    <row r="773" spans="1:47" ht="15.75" customHeight="1">
      <c r="A773" s="34">
        <v>44573</v>
      </c>
      <c r="B773" s="38" t="s">
        <v>1634</v>
      </c>
      <c r="C773" s="46" t="s">
        <v>1076</v>
      </c>
      <c r="D773" s="33" t="s">
        <v>1062</v>
      </c>
      <c r="E773" s="98">
        <v>9354.08</v>
      </c>
      <c r="F773" s="33" t="s">
        <v>1635</v>
      </c>
      <c r="G773" s="44" t="s">
        <v>835</v>
      </c>
      <c r="H773" s="44" t="s">
        <v>86</v>
      </c>
      <c r="I773" s="44" t="s">
        <v>985</v>
      </c>
      <c r="J773" s="44">
        <v>43718</v>
      </c>
      <c r="K773" s="44" t="s">
        <v>1054</v>
      </c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F773" s="27"/>
      <c r="AG773" s="27"/>
      <c r="AH773" s="27"/>
      <c r="AI773" s="27"/>
      <c r="AJ773" s="27"/>
      <c r="AK773" s="27"/>
      <c r="AL773" s="27"/>
      <c r="AM773" s="27"/>
      <c r="AN773" s="27"/>
      <c r="AO773" s="27"/>
      <c r="AP773" s="27"/>
      <c r="AQ773" s="27"/>
      <c r="AR773" s="27"/>
      <c r="AS773" s="27"/>
      <c r="AT773" s="27"/>
      <c r="AU773" s="27"/>
    </row>
    <row r="774" spans="1:47" ht="15.75" customHeight="1">
      <c r="A774" s="34">
        <v>44573</v>
      </c>
      <c r="B774" s="38" t="s">
        <v>1304</v>
      </c>
      <c r="C774" s="46" t="s">
        <v>1027</v>
      </c>
      <c r="D774" s="33" t="s">
        <v>1037</v>
      </c>
      <c r="E774" s="98">
        <v>3000</v>
      </c>
      <c r="F774" s="33" t="s">
        <v>1305</v>
      </c>
      <c r="G774" s="44" t="s">
        <v>835</v>
      </c>
      <c r="H774" s="44" t="s">
        <v>1176</v>
      </c>
      <c r="I774" s="44" t="s">
        <v>971</v>
      </c>
      <c r="J774" s="44">
        <v>44322</v>
      </c>
      <c r="K774" s="44" t="s">
        <v>1041</v>
      </c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F774" s="27"/>
      <c r="AG774" s="27"/>
      <c r="AH774" s="27"/>
      <c r="AI774" s="27"/>
      <c r="AJ774" s="27"/>
      <c r="AK774" s="27"/>
      <c r="AL774" s="27"/>
      <c r="AM774" s="27"/>
      <c r="AN774" s="27"/>
      <c r="AO774" s="27"/>
      <c r="AP774" s="27"/>
      <c r="AQ774" s="27"/>
      <c r="AR774" s="27"/>
      <c r="AS774" s="27"/>
      <c r="AT774" s="27"/>
      <c r="AU774" s="27"/>
    </row>
    <row r="775" spans="1:47" ht="15.75" customHeight="1">
      <c r="A775" s="34">
        <v>44575</v>
      </c>
      <c r="B775" s="55" t="s">
        <v>1636</v>
      </c>
      <c r="C775" s="46" t="s">
        <v>48</v>
      </c>
      <c r="D775" s="33" t="s">
        <v>1028</v>
      </c>
      <c r="E775" s="98">
        <v>659874.72</v>
      </c>
      <c r="F775" s="33" t="s">
        <v>1637</v>
      </c>
      <c r="G775" s="33" t="s">
        <v>904</v>
      </c>
      <c r="H775" s="33" t="s">
        <v>86</v>
      </c>
      <c r="I775" s="33" t="s">
        <v>880</v>
      </c>
      <c r="J775" s="44">
        <v>44005</v>
      </c>
      <c r="K775" s="33" t="s">
        <v>1122</v>
      </c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F775" s="27"/>
      <c r="AG775" s="27"/>
      <c r="AH775" s="27"/>
      <c r="AI775" s="27"/>
      <c r="AJ775" s="27"/>
      <c r="AK775" s="27"/>
      <c r="AL775" s="27"/>
      <c r="AM775" s="27"/>
      <c r="AN775" s="27"/>
      <c r="AO775" s="27"/>
      <c r="AP775" s="27"/>
      <c r="AQ775" s="27"/>
      <c r="AR775" s="27"/>
      <c r="AS775" s="27"/>
      <c r="AT775" s="27"/>
      <c r="AU775" s="27"/>
    </row>
    <row r="776" spans="1:47" ht="15.75" customHeight="1">
      <c r="A776" s="34">
        <v>44575</v>
      </c>
      <c r="B776" s="53" t="s">
        <v>1638</v>
      </c>
      <c r="C776" s="46" t="s">
        <v>1076</v>
      </c>
      <c r="D776" s="33" t="s">
        <v>1028</v>
      </c>
      <c r="E776" s="98">
        <v>147515.9</v>
      </c>
      <c r="F776" s="33" t="s">
        <v>1639</v>
      </c>
      <c r="G776" s="44" t="s">
        <v>835</v>
      </c>
      <c r="H776" s="44" t="s">
        <v>86</v>
      </c>
      <c r="I776" s="44" t="s">
        <v>920</v>
      </c>
      <c r="J776" s="44">
        <v>43873</v>
      </c>
      <c r="K776" s="44" t="s">
        <v>1122</v>
      </c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F776" s="27"/>
      <c r="AG776" s="27"/>
      <c r="AH776" s="27"/>
      <c r="AI776" s="27"/>
      <c r="AJ776" s="27"/>
      <c r="AK776" s="27"/>
      <c r="AL776" s="27"/>
      <c r="AM776" s="27"/>
      <c r="AN776" s="27"/>
      <c r="AO776" s="27"/>
      <c r="AP776" s="27"/>
      <c r="AQ776" s="27"/>
      <c r="AR776" s="27"/>
      <c r="AS776" s="27"/>
      <c r="AT776" s="27"/>
      <c r="AU776" s="27"/>
    </row>
    <row r="777" spans="1:47" ht="15.75" customHeight="1">
      <c r="A777" s="34">
        <v>44575</v>
      </c>
      <c r="B777" s="38" t="s">
        <v>1267</v>
      </c>
      <c r="C777" s="46" t="s">
        <v>1027</v>
      </c>
      <c r="D777" s="33" t="s">
        <v>1037</v>
      </c>
      <c r="E777" s="98">
        <v>80000</v>
      </c>
      <c r="F777" s="33" t="s">
        <v>1268</v>
      </c>
      <c r="G777" s="44" t="s">
        <v>835</v>
      </c>
      <c r="H777" s="44" t="s">
        <v>1176</v>
      </c>
      <c r="I777" s="44" t="s">
        <v>971</v>
      </c>
      <c r="J777" s="44">
        <v>44298</v>
      </c>
      <c r="K777" s="44" t="s">
        <v>1041</v>
      </c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F777" s="27"/>
      <c r="AG777" s="27"/>
      <c r="AH777" s="27"/>
      <c r="AI777" s="27"/>
      <c r="AJ777" s="27"/>
      <c r="AK777" s="27"/>
      <c r="AL777" s="27"/>
      <c r="AM777" s="27"/>
      <c r="AN777" s="27"/>
      <c r="AO777" s="27"/>
      <c r="AP777" s="27"/>
      <c r="AQ777" s="27"/>
      <c r="AR777" s="27"/>
      <c r="AS777" s="27"/>
      <c r="AT777" s="27"/>
      <c r="AU777" s="27"/>
    </row>
    <row r="778" spans="1:47" ht="15.75" customHeight="1">
      <c r="A778" s="34">
        <v>44575</v>
      </c>
      <c r="B778" s="38" t="s">
        <v>1084</v>
      </c>
      <c r="C778" s="46" t="s">
        <v>1027</v>
      </c>
      <c r="D778" s="33" t="s">
        <v>1037</v>
      </c>
      <c r="E778" s="98">
        <v>5000</v>
      </c>
      <c r="F778" s="33" t="s">
        <v>1085</v>
      </c>
      <c r="G778" s="44" t="s">
        <v>830</v>
      </c>
      <c r="H778" s="44" t="s">
        <v>86</v>
      </c>
      <c r="I778" s="44" t="s">
        <v>878</v>
      </c>
      <c r="J778" s="44">
        <v>43894</v>
      </c>
      <c r="K778" s="44" t="s">
        <v>1054</v>
      </c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F778" s="27"/>
      <c r="AG778" s="27"/>
      <c r="AH778" s="27"/>
      <c r="AI778" s="27"/>
      <c r="AJ778" s="27"/>
      <c r="AK778" s="27"/>
      <c r="AL778" s="27"/>
      <c r="AM778" s="27"/>
      <c r="AN778" s="27"/>
      <c r="AO778" s="27"/>
      <c r="AP778" s="27"/>
      <c r="AQ778" s="27"/>
      <c r="AR778" s="27"/>
      <c r="AS778" s="27"/>
      <c r="AT778" s="27"/>
      <c r="AU778" s="27"/>
    </row>
    <row r="779" spans="1:47" ht="15.75" customHeight="1">
      <c r="A779" s="34">
        <v>44578</v>
      </c>
      <c r="B779" s="38" t="s">
        <v>1267</v>
      </c>
      <c r="C779" s="46" t="s">
        <v>1027</v>
      </c>
      <c r="D779" s="33" t="s">
        <v>1028</v>
      </c>
      <c r="E779" s="98">
        <v>181959.12</v>
      </c>
      <c r="F779" s="33" t="s">
        <v>1268</v>
      </c>
      <c r="G779" s="44" t="s">
        <v>835</v>
      </c>
      <c r="H779" s="44" t="s">
        <v>1176</v>
      </c>
      <c r="I779" s="44" t="s">
        <v>971</v>
      </c>
      <c r="J779" s="44">
        <v>44298</v>
      </c>
      <c r="K779" s="44" t="s">
        <v>1041</v>
      </c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F779" s="27"/>
      <c r="AG779" s="27"/>
      <c r="AH779" s="27"/>
      <c r="AI779" s="27"/>
      <c r="AJ779" s="27"/>
      <c r="AK779" s="27"/>
      <c r="AL779" s="27"/>
      <c r="AM779" s="27"/>
      <c r="AN779" s="27"/>
      <c r="AO779" s="27"/>
      <c r="AP779" s="27"/>
      <c r="AQ779" s="27"/>
      <c r="AR779" s="27"/>
      <c r="AS779" s="27"/>
      <c r="AT779" s="27"/>
      <c r="AU779" s="27"/>
    </row>
    <row r="780" spans="1:47" ht="15.75" customHeight="1">
      <c r="A780" s="34">
        <v>44578</v>
      </c>
      <c r="B780" s="53" t="s">
        <v>1640</v>
      </c>
      <c r="C780" s="46" t="s">
        <v>48</v>
      </c>
      <c r="D780" s="33" t="s">
        <v>1037</v>
      </c>
      <c r="E780" s="98">
        <v>50000</v>
      </c>
      <c r="F780" s="33" t="s">
        <v>1641</v>
      </c>
      <c r="G780" s="33" t="s">
        <v>835</v>
      </c>
      <c r="H780" s="33" t="s">
        <v>86</v>
      </c>
      <c r="I780" s="33" t="s">
        <v>876</v>
      </c>
      <c r="J780" s="44">
        <v>44061</v>
      </c>
      <c r="K780" s="33" t="s">
        <v>1041</v>
      </c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F780" s="27"/>
      <c r="AG780" s="27"/>
      <c r="AH780" s="27"/>
      <c r="AI780" s="27"/>
      <c r="AJ780" s="27"/>
      <c r="AK780" s="27"/>
      <c r="AL780" s="27"/>
      <c r="AM780" s="27"/>
      <c r="AN780" s="27"/>
      <c r="AO780" s="27"/>
      <c r="AP780" s="27"/>
      <c r="AQ780" s="27"/>
      <c r="AR780" s="27"/>
      <c r="AS780" s="27"/>
      <c r="AT780" s="27"/>
      <c r="AU780" s="27"/>
    </row>
    <row r="781" spans="1:47" ht="15.75" customHeight="1">
      <c r="A781" s="34">
        <v>44578</v>
      </c>
      <c r="B781" s="38" t="s">
        <v>1177</v>
      </c>
      <c r="C781" s="46" t="s">
        <v>1027</v>
      </c>
      <c r="D781" s="33" t="s">
        <v>1037</v>
      </c>
      <c r="E781" s="98">
        <v>10000</v>
      </c>
      <c r="F781" s="33" t="s">
        <v>1178</v>
      </c>
      <c r="G781" s="44" t="s">
        <v>835</v>
      </c>
      <c r="H781" s="44" t="s">
        <v>1176</v>
      </c>
      <c r="I781" s="44" t="s">
        <v>973</v>
      </c>
      <c r="J781" s="44">
        <v>44295</v>
      </c>
      <c r="K781" s="44" t="s">
        <v>1179</v>
      </c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F781" s="27"/>
      <c r="AG781" s="27"/>
      <c r="AH781" s="27"/>
      <c r="AI781" s="27"/>
      <c r="AJ781" s="27"/>
      <c r="AK781" s="27"/>
      <c r="AL781" s="27"/>
      <c r="AM781" s="27"/>
      <c r="AN781" s="27"/>
      <c r="AO781" s="27"/>
      <c r="AP781" s="27"/>
      <c r="AQ781" s="27"/>
      <c r="AR781" s="27"/>
      <c r="AS781" s="27"/>
      <c r="AT781" s="27"/>
      <c r="AU781" s="27"/>
    </row>
    <row r="782" spans="1:47" ht="15.75" customHeight="1">
      <c r="A782" s="34">
        <v>44578</v>
      </c>
      <c r="B782" s="38" t="s">
        <v>1642</v>
      </c>
      <c r="C782" s="46" t="s">
        <v>1027</v>
      </c>
      <c r="D782" s="33" t="s">
        <v>1037</v>
      </c>
      <c r="E782" s="98">
        <v>15000</v>
      </c>
      <c r="F782" s="33" t="s">
        <v>1643</v>
      </c>
      <c r="G782" s="44" t="s">
        <v>835</v>
      </c>
      <c r="H782" s="44" t="s">
        <v>1176</v>
      </c>
      <c r="I782" s="44" t="s">
        <v>971</v>
      </c>
      <c r="J782" s="44">
        <v>44333</v>
      </c>
      <c r="K782" s="44" t="s">
        <v>1054</v>
      </c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F782" s="27"/>
      <c r="AG782" s="27"/>
      <c r="AH782" s="27"/>
      <c r="AI782" s="27"/>
      <c r="AJ782" s="27"/>
      <c r="AK782" s="27"/>
      <c r="AL782" s="27"/>
      <c r="AM782" s="27"/>
      <c r="AN782" s="27"/>
      <c r="AO782" s="27"/>
      <c r="AP782" s="27"/>
      <c r="AQ782" s="27"/>
      <c r="AR782" s="27"/>
      <c r="AS782" s="27"/>
      <c r="AT782" s="27"/>
      <c r="AU782" s="27"/>
    </row>
    <row r="783" spans="1:47" ht="15.75" customHeight="1">
      <c r="A783" s="34">
        <v>44578</v>
      </c>
      <c r="B783" s="55" t="s">
        <v>1644</v>
      </c>
      <c r="C783" s="46" t="s">
        <v>48</v>
      </c>
      <c r="D783" s="33" t="s">
        <v>1028</v>
      </c>
      <c r="E783" s="98">
        <v>109449.2</v>
      </c>
      <c r="F783" s="33" t="s">
        <v>1645</v>
      </c>
      <c r="G783" s="33" t="s">
        <v>904</v>
      </c>
      <c r="H783" s="33" t="s">
        <v>86</v>
      </c>
      <c r="I783" s="33" t="s">
        <v>868</v>
      </c>
      <c r="J783" s="44">
        <v>44202</v>
      </c>
      <c r="K783" s="33" t="s">
        <v>1122</v>
      </c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F783" s="27"/>
      <c r="AG783" s="27"/>
      <c r="AH783" s="27"/>
      <c r="AI783" s="27"/>
      <c r="AJ783" s="27"/>
      <c r="AK783" s="27"/>
      <c r="AL783" s="27"/>
      <c r="AM783" s="27"/>
      <c r="AN783" s="27"/>
      <c r="AO783" s="27"/>
      <c r="AP783" s="27"/>
      <c r="AQ783" s="27"/>
      <c r="AR783" s="27"/>
      <c r="AS783" s="27"/>
      <c r="AT783" s="27"/>
      <c r="AU783" s="27"/>
    </row>
    <row r="784" spans="1:47" ht="15.75" customHeight="1">
      <c r="A784" s="34">
        <v>44579</v>
      </c>
      <c r="B784" s="53" t="s">
        <v>1473</v>
      </c>
      <c r="C784" s="46" t="s">
        <v>48</v>
      </c>
      <c r="D784" s="33" t="s">
        <v>1062</v>
      </c>
      <c r="E784" s="98">
        <v>139991.04000000001</v>
      </c>
      <c r="F784" s="33" t="s">
        <v>1646</v>
      </c>
      <c r="G784" s="33" t="s">
        <v>835</v>
      </c>
      <c r="H784" s="33" t="s">
        <v>1299</v>
      </c>
      <c r="I784" s="33" t="s">
        <v>886</v>
      </c>
      <c r="J784" s="44">
        <v>44204</v>
      </c>
      <c r="K784" s="33" t="s">
        <v>1340</v>
      </c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F784" s="27"/>
      <c r="AG784" s="27"/>
      <c r="AH784" s="27"/>
      <c r="AI784" s="27"/>
      <c r="AJ784" s="27"/>
      <c r="AK784" s="27"/>
      <c r="AL784" s="27"/>
      <c r="AM784" s="27"/>
      <c r="AN784" s="27"/>
      <c r="AO784" s="27"/>
      <c r="AP784" s="27"/>
      <c r="AQ784" s="27"/>
      <c r="AR784" s="27"/>
      <c r="AS784" s="27"/>
      <c r="AT784" s="27"/>
      <c r="AU784" s="27"/>
    </row>
    <row r="785" spans="1:47" ht="15.75" customHeight="1">
      <c r="A785" s="34">
        <v>44579</v>
      </c>
      <c r="B785" s="46">
        <v>7048589</v>
      </c>
      <c r="C785" s="46" t="s">
        <v>48</v>
      </c>
      <c r="D785" s="33" t="s">
        <v>1062</v>
      </c>
      <c r="E785" s="98">
        <v>193747.43</v>
      </c>
      <c r="F785" s="33" t="s">
        <v>1647</v>
      </c>
      <c r="G785" s="44" t="s">
        <v>835</v>
      </c>
      <c r="H785" s="44" t="s">
        <v>1299</v>
      </c>
      <c r="I785" s="44" t="s">
        <v>870</v>
      </c>
      <c r="J785" s="44">
        <v>44508</v>
      </c>
      <c r="K785" s="44" t="s">
        <v>1054</v>
      </c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F785" s="27"/>
      <c r="AG785" s="27"/>
      <c r="AH785" s="27"/>
      <c r="AI785" s="27"/>
      <c r="AJ785" s="27"/>
      <c r="AK785" s="27"/>
      <c r="AL785" s="27"/>
      <c r="AM785" s="27"/>
      <c r="AN785" s="27"/>
      <c r="AO785" s="27"/>
      <c r="AP785" s="27"/>
      <c r="AQ785" s="27"/>
      <c r="AR785" s="27"/>
      <c r="AS785" s="27"/>
      <c r="AT785" s="27"/>
      <c r="AU785" s="27"/>
    </row>
    <row r="786" spans="1:47" ht="15.75" customHeight="1">
      <c r="A786" s="34">
        <v>44579</v>
      </c>
      <c r="B786" s="53" t="s">
        <v>1240</v>
      </c>
      <c r="C786" s="46" t="s">
        <v>48</v>
      </c>
      <c r="D786" s="33" t="s">
        <v>1037</v>
      </c>
      <c r="E786" s="98">
        <v>12000</v>
      </c>
      <c r="F786" s="33" t="s">
        <v>1241</v>
      </c>
      <c r="G786" s="33" t="s">
        <v>904</v>
      </c>
      <c r="H786" s="33" t="s">
        <v>86</v>
      </c>
      <c r="I786" s="33" t="s">
        <v>935</v>
      </c>
      <c r="J786" s="44">
        <v>44180</v>
      </c>
      <c r="K786" s="33" t="s">
        <v>1041</v>
      </c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F786" s="27"/>
      <c r="AG786" s="27"/>
      <c r="AH786" s="27"/>
      <c r="AI786" s="27"/>
      <c r="AJ786" s="27"/>
      <c r="AK786" s="27"/>
      <c r="AL786" s="27"/>
      <c r="AM786" s="27"/>
      <c r="AN786" s="27"/>
      <c r="AO786" s="27"/>
      <c r="AP786" s="27"/>
      <c r="AQ786" s="27"/>
      <c r="AR786" s="27"/>
      <c r="AS786" s="27"/>
      <c r="AT786" s="27"/>
      <c r="AU786" s="27"/>
    </row>
    <row r="787" spans="1:47" ht="15.75" customHeight="1">
      <c r="A787" s="34">
        <v>44580</v>
      </c>
      <c r="B787" s="38" t="s">
        <v>1621</v>
      </c>
      <c r="C787" s="46" t="s">
        <v>1027</v>
      </c>
      <c r="D787" s="33" t="s">
        <v>1028</v>
      </c>
      <c r="E787" s="98">
        <v>0</v>
      </c>
      <c r="F787" s="33" t="s">
        <v>1622</v>
      </c>
      <c r="G787" s="44" t="s">
        <v>835</v>
      </c>
      <c r="H787" s="44" t="s">
        <v>1176</v>
      </c>
      <c r="I787" s="44" t="s">
        <v>973</v>
      </c>
      <c r="J787" s="44">
        <v>44280</v>
      </c>
      <c r="K787" s="44" t="s">
        <v>1122</v>
      </c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F787" s="27"/>
      <c r="AG787" s="27"/>
      <c r="AH787" s="27"/>
      <c r="AI787" s="27"/>
      <c r="AJ787" s="27"/>
      <c r="AK787" s="27"/>
      <c r="AL787" s="27"/>
      <c r="AM787" s="27"/>
      <c r="AN787" s="27"/>
      <c r="AO787" s="27"/>
      <c r="AP787" s="27"/>
      <c r="AQ787" s="27"/>
      <c r="AR787" s="27"/>
      <c r="AS787" s="27"/>
      <c r="AT787" s="27"/>
      <c r="AU787" s="27"/>
    </row>
    <row r="788" spans="1:47" ht="15.75" customHeight="1">
      <c r="A788" s="34">
        <v>44580</v>
      </c>
      <c r="B788" s="38" t="s">
        <v>1648</v>
      </c>
      <c r="C788" s="46" t="s">
        <v>1027</v>
      </c>
      <c r="D788" s="33" t="s">
        <v>1037</v>
      </c>
      <c r="E788" s="98">
        <v>25000</v>
      </c>
      <c r="F788" s="33" t="s">
        <v>1094</v>
      </c>
      <c r="G788" s="44" t="s">
        <v>830</v>
      </c>
      <c r="H788" s="44" t="s">
        <v>86</v>
      </c>
      <c r="I788" s="44" t="s">
        <v>878</v>
      </c>
      <c r="J788" s="44">
        <v>43811</v>
      </c>
      <c r="K788" s="44" t="s">
        <v>1054</v>
      </c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F788" s="27"/>
      <c r="AG788" s="27"/>
      <c r="AH788" s="27"/>
      <c r="AI788" s="27"/>
      <c r="AJ788" s="27"/>
      <c r="AK788" s="27"/>
      <c r="AL788" s="27"/>
      <c r="AM788" s="27"/>
      <c r="AN788" s="27"/>
      <c r="AO788" s="27"/>
      <c r="AP788" s="27"/>
      <c r="AQ788" s="27"/>
      <c r="AR788" s="27"/>
      <c r="AS788" s="27"/>
      <c r="AT788" s="27"/>
      <c r="AU788" s="27"/>
    </row>
    <row r="789" spans="1:47" ht="15.75" customHeight="1">
      <c r="A789" s="34">
        <v>44581</v>
      </c>
      <c r="B789" s="38" t="s">
        <v>1649</v>
      </c>
      <c r="C789" s="46" t="s">
        <v>48</v>
      </c>
      <c r="D789" s="33" t="s">
        <v>1062</v>
      </c>
      <c r="E789" s="98">
        <v>13213.29</v>
      </c>
      <c r="F789" s="33" t="s">
        <v>1650</v>
      </c>
      <c r="G789" s="33" t="s">
        <v>835</v>
      </c>
      <c r="H789" s="59" t="s">
        <v>1299</v>
      </c>
      <c r="I789" s="59" t="s">
        <v>886</v>
      </c>
      <c r="J789" s="60">
        <v>44405</v>
      </c>
      <c r="K789" s="35" t="s">
        <v>1041</v>
      </c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F789" s="27"/>
      <c r="AG789" s="27"/>
      <c r="AH789" s="27"/>
      <c r="AI789" s="27"/>
      <c r="AJ789" s="27"/>
      <c r="AK789" s="27"/>
      <c r="AL789" s="27"/>
      <c r="AM789" s="27"/>
      <c r="AN789" s="27"/>
      <c r="AO789" s="27"/>
      <c r="AP789" s="27"/>
      <c r="AQ789" s="27"/>
      <c r="AR789" s="27"/>
      <c r="AS789" s="27"/>
      <c r="AT789" s="27"/>
      <c r="AU789" s="27"/>
    </row>
    <row r="790" spans="1:47" ht="15.75" customHeight="1">
      <c r="A790" s="34">
        <v>44581</v>
      </c>
      <c r="B790" s="38" t="s">
        <v>1193</v>
      </c>
      <c r="C790" s="46" t="s">
        <v>1027</v>
      </c>
      <c r="D790" s="33" t="s">
        <v>1037</v>
      </c>
      <c r="E790" s="39">
        <v>13800</v>
      </c>
      <c r="F790" s="33" t="s">
        <v>1194</v>
      </c>
      <c r="G790" s="44" t="s">
        <v>830</v>
      </c>
      <c r="H790" s="44" t="s">
        <v>86</v>
      </c>
      <c r="I790" s="44" t="s">
        <v>969</v>
      </c>
      <c r="J790" s="44">
        <v>43822</v>
      </c>
      <c r="K790" s="44" t="s">
        <v>1054</v>
      </c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F790" s="27"/>
      <c r="AG790" s="27"/>
      <c r="AH790" s="27"/>
      <c r="AI790" s="27"/>
      <c r="AJ790" s="27"/>
      <c r="AK790" s="27"/>
      <c r="AL790" s="27"/>
      <c r="AM790" s="27"/>
      <c r="AN790" s="27"/>
      <c r="AO790" s="27"/>
      <c r="AP790" s="27"/>
      <c r="AQ790" s="27"/>
      <c r="AR790" s="27"/>
      <c r="AS790" s="27"/>
      <c r="AT790" s="27"/>
      <c r="AU790" s="27"/>
    </row>
    <row r="791" spans="1:47" ht="15.75" customHeight="1">
      <c r="A791" s="34">
        <v>44581</v>
      </c>
      <c r="B791" s="38" t="s">
        <v>1082</v>
      </c>
      <c r="C791" s="46" t="s">
        <v>1027</v>
      </c>
      <c r="D791" s="33" t="s">
        <v>1028</v>
      </c>
      <c r="E791" s="39">
        <v>3800</v>
      </c>
      <c r="F791" s="33" t="s">
        <v>1083</v>
      </c>
      <c r="G791" s="44" t="s">
        <v>830</v>
      </c>
      <c r="H791" s="44" t="s">
        <v>86</v>
      </c>
      <c r="I791" s="44" t="s">
        <v>878</v>
      </c>
      <c r="J791" s="44">
        <v>43717</v>
      </c>
      <c r="K791" s="44" t="s">
        <v>1033</v>
      </c>
      <c r="L791" s="100"/>
      <c r="M791" s="100"/>
      <c r="N791" s="100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F791" s="27"/>
      <c r="AG791" s="27"/>
      <c r="AH791" s="27"/>
      <c r="AI791" s="27"/>
      <c r="AJ791" s="27"/>
      <c r="AK791" s="27"/>
      <c r="AL791" s="27"/>
      <c r="AM791" s="27"/>
      <c r="AN791" s="27"/>
      <c r="AO791" s="27"/>
      <c r="AP791" s="27"/>
      <c r="AQ791" s="27"/>
      <c r="AR791" s="27"/>
      <c r="AS791" s="27"/>
      <c r="AT791" s="27"/>
      <c r="AU791" s="27"/>
    </row>
    <row r="792" spans="1:47" ht="15.75" customHeight="1">
      <c r="A792" s="34">
        <v>44581</v>
      </c>
      <c r="B792" s="38" t="s">
        <v>1586</v>
      </c>
      <c r="C792" s="46" t="s">
        <v>1027</v>
      </c>
      <c r="D792" s="33" t="s">
        <v>1062</v>
      </c>
      <c r="E792" s="98">
        <v>11926.38</v>
      </c>
      <c r="F792" s="33" t="s">
        <v>1587</v>
      </c>
      <c r="G792" s="44" t="s">
        <v>830</v>
      </c>
      <c r="H792" s="44" t="s">
        <v>86</v>
      </c>
      <c r="I792" s="44" t="s">
        <v>878</v>
      </c>
      <c r="J792" s="44">
        <v>43769</v>
      </c>
      <c r="K792" s="44" t="s">
        <v>1054</v>
      </c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F792" s="27"/>
      <c r="AG792" s="27"/>
      <c r="AH792" s="27"/>
      <c r="AI792" s="27"/>
      <c r="AJ792" s="27"/>
      <c r="AK792" s="27"/>
      <c r="AL792" s="27"/>
      <c r="AM792" s="27"/>
      <c r="AN792" s="27"/>
      <c r="AO792" s="27"/>
      <c r="AP792" s="27"/>
      <c r="AQ792" s="27"/>
      <c r="AR792" s="27"/>
      <c r="AS792" s="27"/>
      <c r="AT792" s="27"/>
      <c r="AU792" s="27"/>
    </row>
    <row r="793" spans="1:47" ht="15.75" customHeight="1">
      <c r="A793" s="34">
        <v>44582</v>
      </c>
      <c r="B793" s="38" t="s">
        <v>1185</v>
      </c>
      <c r="C793" s="46" t="s">
        <v>1027</v>
      </c>
      <c r="D793" s="33" t="s">
        <v>1062</v>
      </c>
      <c r="E793" s="98">
        <v>219739.11</v>
      </c>
      <c r="F793" s="33" t="s">
        <v>1186</v>
      </c>
      <c r="G793" s="44" t="s">
        <v>835</v>
      </c>
      <c r="H793" s="44" t="s">
        <v>1176</v>
      </c>
      <c r="I793" s="44" t="s">
        <v>973</v>
      </c>
      <c r="J793" s="44">
        <v>44319</v>
      </c>
      <c r="K793" s="44" t="s">
        <v>1041</v>
      </c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F793" s="27"/>
      <c r="AG793" s="27"/>
      <c r="AH793" s="27"/>
      <c r="AI793" s="27"/>
      <c r="AJ793" s="27"/>
      <c r="AK793" s="27"/>
      <c r="AL793" s="27"/>
      <c r="AM793" s="27"/>
      <c r="AN793" s="27"/>
      <c r="AO793" s="27"/>
      <c r="AP793" s="27"/>
      <c r="AQ793" s="27"/>
      <c r="AR793" s="27"/>
      <c r="AS793" s="27"/>
      <c r="AT793" s="27"/>
      <c r="AU793" s="27"/>
    </row>
    <row r="794" spans="1:47" ht="15.75" customHeight="1">
      <c r="A794" s="34">
        <v>44582</v>
      </c>
      <c r="B794" s="64" t="s">
        <v>1052</v>
      </c>
      <c r="C794" s="46" t="s">
        <v>1027</v>
      </c>
      <c r="D794" s="33" t="s">
        <v>1037</v>
      </c>
      <c r="E794" s="98">
        <v>3000</v>
      </c>
      <c r="F794" s="33" t="s">
        <v>1053</v>
      </c>
      <c r="G794" s="44" t="s">
        <v>830</v>
      </c>
      <c r="H794" s="44" t="s">
        <v>86</v>
      </c>
      <c r="I794" s="44" t="s">
        <v>878</v>
      </c>
      <c r="J794" s="44">
        <v>43605</v>
      </c>
      <c r="K794" s="44" t="s">
        <v>1054</v>
      </c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F794" s="27"/>
      <c r="AG794" s="27"/>
      <c r="AH794" s="27"/>
      <c r="AI794" s="27"/>
      <c r="AJ794" s="27"/>
      <c r="AK794" s="27"/>
      <c r="AL794" s="27"/>
      <c r="AM794" s="27"/>
      <c r="AN794" s="27"/>
      <c r="AO794" s="27"/>
      <c r="AP794" s="27"/>
      <c r="AQ794" s="27"/>
      <c r="AR794" s="27"/>
      <c r="AS794" s="27"/>
      <c r="AT794" s="27"/>
      <c r="AU794" s="27"/>
    </row>
    <row r="795" spans="1:47" ht="15.75" customHeight="1">
      <c r="A795" s="34">
        <v>44582</v>
      </c>
      <c r="B795" s="38" t="s">
        <v>1300</v>
      </c>
      <c r="C795" s="46" t="s">
        <v>1027</v>
      </c>
      <c r="D795" s="33" t="s">
        <v>1037</v>
      </c>
      <c r="E795" s="98">
        <v>30000</v>
      </c>
      <c r="F795" s="33" t="s">
        <v>1301</v>
      </c>
      <c r="G795" s="44" t="s">
        <v>835</v>
      </c>
      <c r="H795" s="44" t="s">
        <v>1176</v>
      </c>
      <c r="I795" s="44" t="s">
        <v>971</v>
      </c>
      <c r="J795" s="44">
        <v>44280</v>
      </c>
      <c r="K795" s="44" t="s">
        <v>1041</v>
      </c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F795" s="27"/>
      <c r="AG795" s="27"/>
      <c r="AH795" s="27"/>
      <c r="AI795" s="27"/>
      <c r="AJ795" s="27"/>
      <c r="AK795" s="27"/>
      <c r="AL795" s="27"/>
      <c r="AM795" s="27"/>
      <c r="AN795" s="27"/>
      <c r="AO795" s="27"/>
      <c r="AP795" s="27"/>
      <c r="AQ795" s="27"/>
      <c r="AR795" s="27"/>
      <c r="AS795" s="27"/>
      <c r="AT795" s="27"/>
      <c r="AU795" s="27"/>
    </row>
    <row r="796" spans="1:47" ht="15.75" customHeight="1">
      <c r="A796" s="34">
        <v>44582</v>
      </c>
      <c r="B796" s="38" t="s">
        <v>1429</v>
      </c>
      <c r="C796" s="46" t="s">
        <v>1027</v>
      </c>
      <c r="D796" s="33" t="s">
        <v>1037</v>
      </c>
      <c r="E796" s="98">
        <v>10000</v>
      </c>
      <c r="F796" s="33" t="s">
        <v>1430</v>
      </c>
      <c r="G796" s="44" t="s">
        <v>835</v>
      </c>
      <c r="H796" s="44" t="s">
        <v>1176</v>
      </c>
      <c r="I796" s="44" t="s">
        <v>975</v>
      </c>
      <c r="J796" s="44">
        <v>44267</v>
      </c>
      <c r="K796" s="44" t="s">
        <v>1041</v>
      </c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F796" s="27"/>
      <c r="AG796" s="27"/>
      <c r="AH796" s="27"/>
      <c r="AI796" s="27"/>
      <c r="AJ796" s="27"/>
      <c r="AK796" s="27"/>
      <c r="AL796" s="27"/>
      <c r="AM796" s="27"/>
      <c r="AN796" s="27"/>
      <c r="AO796" s="27"/>
      <c r="AP796" s="27"/>
      <c r="AQ796" s="27"/>
      <c r="AR796" s="27"/>
      <c r="AS796" s="27"/>
      <c r="AT796" s="27"/>
      <c r="AU796" s="27"/>
    </row>
    <row r="797" spans="1:47" ht="15.75" customHeight="1">
      <c r="A797" s="34">
        <v>44582</v>
      </c>
      <c r="B797" s="10">
        <v>7082227</v>
      </c>
      <c r="C797" s="46" t="s">
        <v>48</v>
      </c>
      <c r="D797" s="33" t="s">
        <v>1037</v>
      </c>
      <c r="E797" s="98">
        <v>25000</v>
      </c>
      <c r="F797" s="33" t="s">
        <v>1651</v>
      </c>
      <c r="G797" s="44" t="s">
        <v>835</v>
      </c>
      <c r="H797" s="44" t="s">
        <v>1299</v>
      </c>
      <c r="I797" s="44" t="s">
        <v>900</v>
      </c>
      <c r="J797" s="44">
        <v>44511</v>
      </c>
      <c r="K797" s="44" t="s">
        <v>1041</v>
      </c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F797" s="27"/>
      <c r="AG797" s="27"/>
      <c r="AH797" s="27"/>
      <c r="AI797" s="27"/>
      <c r="AJ797" s="27"/>
      <c r="AK797" s="27"/>
      <c r="AL797" s="27"/>
      <c r="AM797" s="27"/>
      <c r="AN797" s="27"/>
      <c r="AO797" s="27"/>
      <c r="AP797" s="27"/>
      <c r="AQ797" s="27"/>
      <c r="AR797" s="27"/>
      <c r="AS797" s="27"/>
      <c r="AT797" s="27"/>
      <c r="AU797" s="27"/>
    </row>
    <row r="798" spans="1:47" ht="15.75" customHeight="1">
      <c r="A798" s="34">
        <v>44582</v>
      </c>
      <c r="B798" s="57" t="s">
        <v>1582</v>
      </c>
      <c r="C798" s="46" t="s">
        <v>48</v>
      </c>
      <c r="D798" s="33" t="s">
        <v>1037</v>
      </c>
      <c r="E798" s="98">
        <v>10000</v>
      </c>
      <c r="F798" s="33" t="s">
        <v>1652</v>
      </c>
      <c r="G798" s="33" t="s">
        <v>835</v>
      </c>
      <c r="H798" s="33" t="s">
        <v>86</v>
      </c>
      <c r="I798" s="33" t="s">
        <v>920</v>
      </c>
      <c r="J798" s="44">
        <v>44399</v>
      </c>
      <c r="K798" s="33" t="s">
        <v>1653</v>
      </c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F798" s="27"/>
      <c r="AG798" s="27"/>
      <c r="AH798" s="27"/>
      <c r="AI798" s="27"/>
      <c r="AJ798" s="27"/>
      <c r="AK798" s="27"/>
      <c r="AL798" s="27"/>
      <c r="AM798" s="27"/>
      <c r="AN798" s="27"/>
      <c r="AO798" s="27"/>
      <c r="AP798" s="27"/>
      <c r="AQ798" s="27"/>
      <c r="AR798" s="27"/>
      <c r="AS798" s="27"/>
      <c r="AT798" s="27"/>
      <c r="AU798" s="27"/>
    </row>
    <row r="799" spans="1:47" ht="15.75" customHeight="1">
      <c r="A799" s="44">
        <v>44586</v>
      </c>
      <c r="B799" s="57" t="s">
        <v>1654</v>
      </c>
      <c r="C799" s="33" t="s">
        <v>48</v>
      </c>
      <c r="D799" s="33" t="s">
        <v>1062</v>
      </c>
      <c r="E799" s="90">
        <v>142585.32</v>
      </c>
      <c r="F799" s="33" t="s">
        <v>1647</v>
      </c>
      <c r="G799" s="33" t="s">
        <v>835</v>
      </c>
      <c r="H799" s="33" t="s">
        <v>1299</v>
      </c>
      <c r="I799" s="46" t="s">
        <v>870</v>
      </c>
      <c r="J799" s="42">
        <v>44508</v>
      </c>
      <c r="K799" s="33" t="s">
        <v>1054</v>
      </c>
      <c r="L799" s="104"/>
      <c r="M799" s="104"/>
      <c r="N799" s="104"/>
      <c r="O799" s="104"/>
      <c r="P799" s="104"/>
      <c r="Q799" s="104"/>
      <c r="R799" s="104"/>
      <c r="S799" s="104"/>
      <c r="T799" s="104"/>
      <c r="U799" s="104"/>
      <c r="V799" s="104"/>
      <c r="W799" s="104"/>
      <c r="X799" s="104"/>
      <c r="Y799" s="104"/>
      <c r="Z799" s="104"/>
      <c r="AA799" s="104"/>
      <c r="AF799" s="27"/>
      <c r="AG799" s="27"/>
      <c r="AH799" s="27"/>
      <c r="AI799" s="27"/>
      <c r="AJ799" s="27"/>
      <c r="AK799" s="27"/>
      <c r="AL799" s="27"/>
      <c r="AM799" s="27"/>
      <c r="AN799" s="27"/>
      <c r="AO799" s="27"/>
      <c r="AP799" s="27"/>
      <c r="AQ799" s="27"/>
      <c r="AR799" s="27"/>
      <c r="AS799" s="27"/>
      <c r="AT799" s="27"/>
      <c r="AU799" s="27"/>
    </row>
    <row r="800" spans="1:47" ht="15.75" customHeight="1">
      <c r="A800" s="44">
        <v>44592</v>
      </c>
      <c r="B800" s="57" t="s">
        <v>1655</v>
      </c>
      <c r="C800" s="33" t="s">
        <v>48</v>
      </c>
      <c r="D800" s="33" t="s">
        <v>1037</v>
      </c>
      <c r="E800" s="90">
        <v>3500</v>
      </c>
      <c r="F800" s="33" t="s">
        <v>1656</v>
      </c>
      <c r="G800" s="33" t="s">
        <v>835</v>
      </c>
      <c r="H800" s="33" t="s">
        <v>1299</v>
      </c>
      <c r="I800" s="46" t="s">
        <v>963</v>
      </c>
      <c r="J800" s="42">
        <v>44523</v>
      </c>
      <c r="K800" s="33" t="s">
        <v>1179</v>
      </c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F800" s="27"/>
      <c r="AG800" s="27"/>
      <c r="AH800" s="27"/>
      <c r="AI800" s="27"/>
      <c r="AJ800" s="27"/>
      <c r="AK800" s="27"/>
      <c r="AL800" s="27"/>
      <c r="AM800" s="27"/>
      <c r="AN800" s="27"/>
      <c r="AO800" s="27"/>
      <c r="AP800" s="27"/>
      <c r="AQ800" s="27"/>
      <c r="AR800" s="27"/>
      <c r="AS800" s="27"/>
      <c r="AT800" s="27"/>
      <c r="AU800" s="27"/>
    </row>
    <row r="801" spans="1:47" ht="15.75" customHeight="1">
      <c r="A801" s="45">
        <v>44592</v>
      </c>
      <c r="B801" s="51" t="s">
        <v>1302</v>
      </c>
      <c r="C801" s="46" t="s">
        <v>1027</v>
      </c>
      <c r="D801" s="33" t="s">
        <v>1028</v>
      </c>
      <c r="E801" s="98" t="s">
        <v>1657</v>
      </c>
      <c r="F801" s="33" t="s">
        <v>1303</v>
      </c>
      <c r="G801" s="44" t="s">
        <v>835</v>
      </c>
      <c r="H801" s="44" t="s">
        <v>1176</v>
      </c>
      <c r="I801" s="44" t="s">
        <v>971</v>
      </c>
      <c r="J801" s="44">
        <v>44295</v>
      </c>
      <c r="K801" s="44" t="s">
        <v>1122</v>
      </c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F801" s="27"/>
      <c r="AG801" s="27"/>
      <c r="AH801" s="27"/>
      <c r="AI801" s="27"/>
      <c r="AJ801" s="27"/>
      <c r="AK801" s="27"/>
      <c r="AL801" s="27"/>
      <c r="AM801" s="27"/>
      <c r="AN801" s="27"/>
      <c r="AO801" s="27"/>
      <c r="AP801" s="27"/>
      <c r="AQ801" s="27"/>
      <c r="AR801" s="27"/>
      <c r="AS801" s="27"/>
      <c r="AT801" s="27"/>
      <c r="AU801" s="27"/>
    </row>
    <row r="802" spans="1:47" ht="15.75" customHeight="1">
      <c r="A802" s="44">
        <v>44593</v>
      </c>
      <c r="B802" s="57" t="s">
        <v>1240</v>
      </c>
      <c r="C802" s="33" t="s">
        <v>48</v>
      </c>
      <c r="D802" s="33" t="s">
        <v>1037</v>
      </c>
      <c r="E802" s="90">
        <v>11000</v>
      </c>
      <c r="F802" s="33" t="s">
        <v>1241</v>
      </c>
      <c r="G802" s="33" t="s">
        <v>904</v>
      </c>
      <c r="H802" s="33" t="s">
        <v>86</v>
      </c>
      <c r="I802" s="46" t="s">
        <v>935</v>
      </c>
      <c r="J802" s="42">
        <v>44180</v>
      </c>
      <c r="K802" s="33" t="s">
        <v>1041</v>
      </c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F802" s="27"/>
      <c r="AG802" s="27"/>
      <c r="AH802" s="27"/>
      <c r="AI802" s="27"/>
      <c r="AJ802" s="27"/>
      <c r="AK802" s="27"/>
      <c r="AL802" s="27"/>
      <c r="AM802" s="27"/>
      <c r="AN802" s="27"/>
      <c r="AO802" s="27"/>
      <c r="AP802" s="27"/>
      <c r="AQ802" s="27"/>
      <c r="AR802" s="27"/>
      <c r="AS802" s="27"/>
      <c r="AT802" s="27"/>
      <c r="AU802" s="27"/>
    </row>
    <row r="803" spans="1:47" ht="15.75" customHeight="1">
      <c r="A803" s="44">
        <v>44601</v>
      </c>
      <c r="B803" s="46" t="s">
        <v>1658</v>
      </c>
      <c r="C803" s="33" t="s">
        <v>48</v>
      </c>
      <c r="D803" s="33" t="s">
        <v>1037</v>
      </c>
      <c r="E803" s="90">
        <v>25000</v>
      </c>
      <c r="F803" s="33" t="s">
        <v>1659</v>
      </c>
      <c r="G803" s="33" t="s">
        <v>835</v>
      </c>
      <c r="H803" s="33" t="s">
        <v>86</v>
      </c>
      <c r="I803" s="33" t="s">
        <v>1660</v>
      </c>
      <c r="J803" s="44">
        <v>44594</v>
      </c>
      <c r="K803" s="33" t="s">
        <v>1179</v>
      </c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F803" s="27"/>
      <c r="AG803" s="27"/>
      <c r="AH803" s="27"/>
      <c r="AI803" s="27"/>
      <c r="AJ803" s="27"/>
      <c r="AK803" s="27"/>
      <c r="AL803" s="27"/>
      <c r="AM803" s="27"/>
      <c r="AN803" s="27"/>
      <c r="AO803" s="27"/>
      <c r="AP803" s="27"/>
      <c r="AQ803" s="27"/>
      <c r="AR803" s="27"/>
      <c r="AS803" s="27"/>
      <c r="AT803" s="27"/>
      <c r="AU803" s="27"/>
    </row>
    <row r="804" spans="1:47" ht="15.75" customHeight="1">
      <c r="A804" s="44">
        <v>44606</v>
      </c>
      <c r="B804" s="57" t="s">
        <v>1661</v>
      </c>
      <c r="C804" s="33" t="s">
        <v>48</v>
      </c>
      <c r="D804" s="33" t="s">
        <v>1037</v>
      </c>
      <c r="E804" s="90">
        <v>45000</v>
      </c>
      <c r="F804" s="33" t="s">
        <v>1662</v>
      </c>
      <c r="G804" s="33" t="s">
        <v>835</v>
      </c>
      <c r="H804" s="33" t="s">
        <v>86</v>
      </c>
      <c r="I804" s="46" t="s">
        <v>836</v>
      </c>
      <c r="J804" s="42">
        <v>44482</v>
      </c>
      <c r="K804" s="33" t="s">
        <v>1122</v>
      </c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F804" s="27"/>
      <c r="AG804" s="27"/>
      <c r="AH804" s="27"/>
      <c r="AI804" s="27"/>
      <c r="AJ804" s="27"/>
      <c r="AK804" s="27"/>
      <c r="AL804" s="27"/>
      <c r="AM804" s="27"/>
      <c r="AN804" s="27"/>
      <c r="AO804" s="27"/>
      <c r="AP804" s="27"/>
      <c r="AQ804" s="27"/>
      <c r="AR804" s="27"/>
      <c r="AS804" s="27"/>
      <c r="AT804" s="27"/>
      <c r="AU804" s="27"/>
    </row>
    <row r="805" spans="1:47" ht="15.75" customHeight="1">
      <c r="A805" s="44">
        <v>44609</v>
      </c>
      <c r="B805" s="57" t="s">
        <v>1240</v>
      </c>
      <c r="C805" s="33" t="s">
        <v>48</v>
      </c>
      <c r="D805" s="33" t="s">
        <v>1037</v>
      </c>
      <c r="E805" s="90">
        <v>10000</v>
      </c>
      <c r="F805" s="33" t="s">
        <v>1241</v>
      </c>
      <c r="G805" s="33" t="s">
        <v>904</v>
      </c>
      <c r="H805" s="33" t="s">
        <v>86</v>
      </c>
      <c r="I805" s="46" t="s">
        <v>935</v>
      </c>
      <c r="J805" s="42">
        <v>44180</v>
      </c>
      <c r="K805" s="33" t="s">
        <v>1041</v>
      </c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F805" s="27"/>
      <c r="AG805" s="27"/>
      <c r="AH805" s="27"/>
      <c r="AI805" s="27"/>
      <c r="AJ805" s="27"/>
      <c r="AK805" s="27"/>
      <c r="AL805" s="27"/>
      <c r="AM805" s="27"/>
      <c r="AN805" s="27"/>
      <c r="AO805" s="27"/>
      <c r="AP805" s="27"/>
      <c r="AQ805" s="27"/>
      <c r="AR805" s="27"/>
      <c r="AS805" s="27"/>
      <c r="AT805" s="27"/>
      <c r="AU805" s="27"/>
    </row>
    <row r="806" spans="1:47" ht="15.75" customHeight="1">
      <c r="A806" s="44">
        <v>44622</v>
      </c>
      <c r="B806" s="10">
        <v>858723</v>
      </c>
      <c r="C806" s="10" t="s">
        <v>1027</v>
      </c>
      <c r="D806" s="33" t="s">
        <v>1037</v>
      </c>
      <c r="E806" s="39">
        <v>25000</v>
      </c>
      <c r="F806" s="10" t="s">
        <v>1457</v>
      </c>
      <c r="G806" s="33" t="s">
        <v>835</v>
      </c>
      <c r="H806" s="33" t="s">
        <v>1176</v>
      </c>
      <c r="I806" s="33" t="s">
        <v>973</v>
      </c>
      <c r="J806" s="42">
        <v>44585</v>
      </c>
      <c r="K806" s="46" t="s">
        <v>1179</v>
      </c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F806" s="27"/>
      <c r="AG806" s="27"/>
      <c r="AH806" s="27"/>
      <c r="AI806" s="27"/>
      <c r="AJ806" s="27"/>
      <c r="AK806" s="27"/>
      <c r="AL806" s="27"/>
      <c r="AM806" s="27"/>
      <c r="AN806" s="27"/>
      <c r="AO806" s="27"/>
      <c r="AP806" s="27"/>
      <c r="AQ806" s="27"/>
      <c r="AR806" s="27"/>
      <c r="AS806" s="27"/>
      <c r="AT806" s="27"/>
      <c r="AU806" s="27"/>
    </row>
    <row r="807" spans="1:47" ht="15.75" customHeight="1">
      <c r="A807" s="44">
        <v>44622</v>
      </c>
      <c r="B807" s="10">
        <v>328970</v>
      </c>
      <c r="C807" s="10" t="s">
        <v>1027</v>
      </c>
      <c r="D807" s="33" t="s">
        <v>1037</v>
      </c>
      <c r="E807" s="39">
        <v>106000</v>
      </c>
      <c r="F807" s="35" t="s">
        <v>1283</v>
      </c>
      <c r="G807" s="33" t="s">
        <v>835</v>
      </c>
      <c r="H807" s="33" t="s">
        <v>1176</v>
      </c>
      <c r="I807" s="33" t="s">
        <v>971</v>
      </c>
      <c r="J807" s="42">
        <v>44277</v>
      </c>
      <c r="K807" s="46" t="s">
        <v>1122</v>
      </c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F807" s="27"/>
      <c r="AG807" s="27"/>
      <c r="AH807" s="27"/>
      <c r="AI807" s="27"/>
      <c r="AJ807" s="27"/>
      <c r="AK807" s="27"/>
      <c r="AL807" s="27"/>
      <c r="AM807" s="27"/>
      <c r="AN807" s="27"/>
      <c r="AO807" s="27"/>
      <c r="AP807" s="27"/>
      <c r="AQ807" s="27"/>
      <c r="AR807" s="27"/>
      <c r="AS807" s="27"/>
      <c r="AT807" s="27"/>
      <c r="AU807" s="27"/>
    </row>
    <row r="808" spans="1:47" ht="15.75" customHeight="1">
      <c r="A808" s="44">
        <v>44622</v>
      </c>
      <c r="B808" s="57" t="s">
        <v>1663</v>
      </c>
      <c r="C808" s="10" t="s">
        <v>1027</v>
      </c>
      <c r="D808" s="33" t="s">
        <v>1037</v>
      </c>
      <c r="E808" s="39">
        <v>100000</v>
      </c>
      <c r="F808" s="33" t="s">
        <v>1664</v>
      </c>
      <c r="G808" s="33" t="s">
        <v>835</v>
      </c>
      <c r="H808" s="33" t="s">
        <v>1176</v>
      </c>
      <c r="I808" s="33" t="s">
        <v>971</v>
      </c>
      <c r="J808" s="44">
        <v>44448</v>
      </c>
      <c r="K808" s="33" t="s">
        <v>1122</v>
      </c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F808" s="27"/>
      <c r="AG808" s="27"/>
      <c r="AH808" s="27"/>
      <c r="AI808" s="27"/>
      <c r="AJ808" s="27"/>
      <c r="AK808" s="27"/>
      <c r="AL808" s="27"/>
      <c r="AM808" s="27"/>
      <c r="AN808" s="27"/>
      <c r="AO808" s="27"/>
      <c r="AP808" s="27"/>
      <c r="AQ808" s="27"/>
      <c r="AR808" s="27"/>
      <c r="AS808" s="27"/>
      <c r="AT808" s="27"/>
      <c r="AU808" s="27"/>
    </row>
    <row r="809" spans="1:47" ht="15.75" customHeight="1">
      <c r="A809" s="44">
        <v>44622</v>
      </c>
      <c r="B809" s="10">
        <v>330028</v>
      </c>
      <c r="C809" s="10" t="s">
        <v>1027</v>
      </c>
      <c r="D809" s="33" t="s">
        <v>1037</v>
      </c>
      <c r="E809" s="90">
        <v>500</v>
      </c>
      <c r="F809" s="33" t="s">
        <v>1405</v>
      </c>
      <c r="G809" s="33" t="s">
        <v>835</v>
      </c>
      <c r="H809" s="33" t="s">
        <v>1176</v>
      </c>
      <c r="I809" s="33" t="s">
        <v>973</v>
      </c>
      <c r="J809" s="44">
        <v>44263</v>
      </c>
      <c r="K809" s="33" t="s">
        <v>1041</v>
      </c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F809" s="27"/>
      <c r="AG809" s="27"/>
      <c r="AH809" s="27"/>
      <c r="AI809" s="27"/>
      <c r="AJ809" s="27"/>
      <c r="AK809" s="27"/>
      <c r="AL809" s="27"/>
      <c r="AM809" s="27"/>
      <c r="AN809" s="27"/>
      <c r="AO809" s="27"/>
      <c r="AP809" s="27"/>
      <c r="AQ809" s="27"/>
      <c r="AR809" s="27"/>
      <c r="AS809" s="27"/>
      <c r="AT809" s="27"/>
      <c r="AU809" s="27"/>
    </row>
    <row r="810" spans="1:47" ht="15.75" customHeight="1">
      <c r="A810" s="44">
        <v>44627</v>
      </c>
      <c r="B810" s="57" t="s">
        <v>1201</v>
      </c>
      <c r="C810" s="33" t="s">
        <v>48</v>
      </c>
      <c r="D810" s="33" t="s">
        <v>1037</v>
      </c>
      <c r="E810" s="39">
        <v>8000</v>
      </c>
      <c r="F810" s="33" t="s">
        <v>1202</v>
      </c>
      <c r="G810" s="33" t="s">
        <v>830</v>
      </c>
      <c r="H810" s="33" t="s">
        <v>648</v>
      </c>
      <c r="I810" s="33" t="s">
        <v>830</v>
      </c>
      <c r="J810" s="44">
        <v>44180</v>
      </c>
      <c r="K810" s="33" t="s">
        <v>1041</v>
      </c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F810" s="27"/>
      <c r="AG810" s="27"/>
      <c r="AH810" s="27"/>
      <c r="AI810" s="27"/>
      <c r="AJ810" s="27"/>
      <c r="AK810" s="27"/>
      <c r="AL810" s="27"/>
      <c r="AM810" s="27"/>
      <c r="AN810" s="27"/>
      <c r="AO810" s="27"/>
      <c r="AP810" s="27"/>
      <c r="AQ810" s="27"/>
      <c r="AR810" s="27"/>
      <c r="AS810" s="27"/>
      <c r="AT810" s="27"/>
      <c r="AU810" s="27"/>
    </row>
    <row r="811" spans="1:47" ht="15.75" customHeight="1">
      <c r="A811" s="44">
        <v>44627</v>
      </c>
      <c r="B811" s="10">
        <v>4345500</v>
      </c>
      <c r="C811" s="10" t="s">
        <v>1027</v>
      </c>
      <c r="D811" s="33" t="s">
        <v>1037</v>
      </c>
      <c r="E811" s="39">
        <v>7500</v>
      </c>
      <c r="F811" s="33" t="s">
        <v>1049</v>
      </c>
      <c r="G811" s="33" t="s">
        <v>830</v>
      </c>
      <c r="H811" s="44"/>
      <c r="I811" s="33" t="s">
        <v>830</v>
      </c>
      <c r="J811" s="44">
        <v>43703</v>
      </c>
      <c r="K811" s="33" t="s">
        <v>1033</v>
      </c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F811" s="27"/>
      <c r="AG811" s="27"/>
      <c r="AH811" s="27"/>
      <c r="AI811" s="27"/>
      <c r="AJ811" s="27"/>
      <c r="AK811" s="27"/>
      <c r="AL811" s="27"/>
      <c r="AM811" s="27"/>
      <c r="AN811" s="27"/>
      <c r="AO811" s="27"/>
      <c r="AP811" s="27"/>
      <c r="AQ811" s="27"/>
      <c r="AR811" s="27"/>
      <c r="AS811" s="27"/>
      <c r="AT811" s="27"/>
      <c r="AU811" s="27"/>
    </row>
    <row r="812" spans="1:47" ht="15.75" customHeight="1">
      <c r="A812" s="45">
        <v>44628</v>
      </c>
      <c r="B812" s="38" t="s">
        <v>1183</v>
      </c>
      <c r="C812" s="10" t="s">
        <v>48</v>
      </c>
      <c r="D812" s="46" t="s">
        <v>1037</v>
      </c>
      <c r="E812" s="47">
        <v>5000</v>
      </c>
      <c r="F812" s="46" t="s">
        <v>1184</v>
      </c>
      <c r="G812" s="46" t="s">
        <v>904</v>
      </c>
      <c r="H812" s="46" t="s">
        <v>86</v>
      </c>
      <c r="I812" s="46" t="s">
        <v>912</v>
      </c>
      <c r="J812" s="45">
        <v>44263</v>
      </c>
      <c r="K812" s="10" t="s">
        <v>1041</v>
      </c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F812" s="27"/>
      <c r="AG812" s="27"/>
      <c r="AH812" s="27"/>
      <c r="AI812" s="27"/>
      <c r="AJ812" s="27"/>
      <c r="AK812" s="27"/>
      <c r="AL812" s="27"/>
      <c r="AM812" s="27"/>
      <c r="AN812" s="27"/>
      <c r="AO812" s="27"/>
      <c r="AP812" s="27"/>
      <c r="AQ812" s="27"/>
      <c r="AR812" s="27"/>
      <c r="AS812" s="27"/>
      <c r="AT812" s="27"/>
      <c r="AU812" s="27"/>
    </row>
    <row r="813" spans="1:47" ht="15.75" customHeight="1">
      <c r="A813" s="44">
        <v>44630</v>
      </c>
      <c r="B813" s="57" t="s">
        <v>1330</v>
      </c>
      <c r="C813" s="10" t="s">
        <v>1027</v>
      </c>
      <c r="D813" s="33" t="s">
        <v>1037</v>
      </c>
      <c r="E813" s="39">
        <v>40000</v>
      </c>
      <c r="F813" s="33" t="s">
        <v>1331</v>
      </c>
      <c r="G813" s="33" t="s">
        <v>835</v>
      </c>
      <c r="H813" s="33" t="s">
        <v>1176</v>
      </c>
      <c r="I813" s="33" t="s">
        <v>973</v>
      </c>
      <c r="J813" s="44">
        <v>44319</v>
      </c>
      <c r="K813" s="33" t="s">
        <v>1041</v>
      </c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F813" s="27"/>
      <c r="AG813" s="27"/>
      <c r="AH813" s="27"/>
      <c r="AI813" s="27"/>
      <c r="AJ813" s="27"/>
      <c r="AK813" s="27"/>
      <c r="AL813" s="27"/>
      <c r="AM813" s="27"/>
      <c r="AN813" s="27"/>
      <c r="AO813" s="27"/>
      <c r="AP813" s="27"/>
      <c r="AQ813" s="27"/>
      <c r="AR813" s="27"/>
      <c r="AS813" s="27"/>
      <c r="AT813" s="27"/>
      <c r="AU813" s="27"/>
    </row>
    <row r="814" spans="1:47" ht="15.75" customHeight="1">
      <c r="A814" s="44">
        <v>44630</v>
      </c>
      <c r="B814" s="57" t="s">
        <v>1665</v>
      </c>
      <c r="C814" s="10" t="s">
        <v>1027</v>
      </c>
      <c r="D814" s="33" t="s">
        <v>1037</v>
      </c>
      <c r="E814" s="39">
        <v>25000</v>
      </c>
      <c r="F814" s="33" t="s">
        <v>1457</v>
      </c>
      <c r="G814" s="33" t="s">
        <v>835</v>
      </c>
      <c r="H814" s="33" t="s">
        <v>1176</v>
      </c>
      <c r="I814" s="33" t="s">
        <v>973</v>
      </c>
      <c r="J814" s="44">
        <v>44585</v>
      </c>
      <c r="K814" s="33" t="s">
        <v>1179</v>
      </c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F814" s="27"/>
      <c r="AG814" s="27"/>
      <c r="AH814" s="27"/>
      <c r="AI814" s="27"/>
      <c r="AJ814" s="27"/>
      <c r="AK814" s="27"/>
      <c r="AL814" s="27"/>
      <c r="AM814" s="27"/>
      <c r="AN814" s="27"/>
      <c r="AO814" s="27"/>
      <c r="AP814" s="27"/>
      <c r="AQ814" s="27"/>
      <c r="AR814" s="27"/>
      <c r="AS814" s="27"/>
      <c r="AT814" s="27"/>
      <c r="AU814" s="27"/>
    </row>
    <row r="815" spans="1:47" ht="15.75" customHeight="1">
      <c r="A815" s="44">
        <v>44630</v>
      </c>
      <c r="B815" s="57" t="s">
        <v>1666</v>
      </c>
      <c r="C815" s="10" t="s">
        <v>1027</v>
      </c>
      <c r="D815" s="33" t="s">
        <v>1037</v>
      </c>
      <c r="E815" s="90">
        <v>16000</v>
      </c>
      <c r="F815" s="33" t="s">
        <v>1667</v>
      </c>
      <c r="G815" s="33" t="s">
        <v>835</v>
      </c>
      <c r="H815" s="33" t="s">
        <v>1176</v>
      </c>
      <c r="I815" s="33" t="s">
        <v>971</v>
      </c>
      <c r="J815" s="44">
        <v>44462</v>
      </c>
      <c r="K815" s="33" t="s">
        <v>1030</v>
      </c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F815" s="27"/>
      <c r="AG815" s="27"/>
      <c r="AH815" s="27"/>
      <c r="AI815" s="27"/>
      <c r="AJ815" s="27"/>
      <c r="AK815" s="27"/>
      <c r="AL815" s="27"/>
      <c r="AM815" s="27"/>
      <c r="AN815" s="27"/>
      <c r="AO815" s="27"/>
      <c r="AP815" s="27"/>
      <c r="AQ815" s="27"/>
      <c r="AR815" s="27"/>
      <c r="AS815" s="27"/>
      <c r="AT815" s="27"/>
      <c r="AU815" s="27"/>
    </row>
    <row r="816" spans="1:47" ht="15.75" customHeight="1">
      <c r="A816" s="44">
        <v>44630</v>
      </c>
      <c r="B816" s="10">
        <v>391760</v>
      </c>
      <c r="C816" s="10" t="s">
        <v>1027</v>
      </c>
      <c r="D816" s="33" t="s">
        <v>1028</v>
      </c>
      <c r="E816" s="90">
        <v>31234</v>
      </c>
      <c r="F816" s="10" t="s">
        <v>1668</v>
      </c>
      <c r="G816" s="33" t="s">
        <v>830</v>
      </c>
      <c r="H816" s="33" t="s">
        <v>86</v>
      </c>
      <c r="I816" s="33" t="s">
        <v>969</v>
      </c>
      <c r="J816" s="44">
        <v>43865</v>
      </c>
      <c r="K816" s="33" t="s">
        <v>1041</v>
      </c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F816" s="27"/>
      <c r="AG816" s="27"/>
      <c r="AH816" s="27"/>
      <c r="AI816" s="27"/>
      <c r="AJ816" s="27"/>
      <c r="AK816" s="27"/>
      <c r="AL816" s="27"/>
      <c r="AM816" s="27"/>
      <c r="AN816" s="27"/>
      <c r="AO816" s="27"/>
      <c r="AP816" s="27"/>
      <c r="AQ816" s="27"/>
      <c r="AR816" s="27"/>
      <c r="AS816" s="27"/>
      <c r="AT816" s="27"/>
      <c r="AU816" s="27"/>
    </row>
    <row r="817" spans="1:47" ht="15.75" customHeight="1">
      <c r="A817" s="44">
        <v>44630</v>
      </c>
      <c r="B817" s="57" t="s">
        <v>1669</v>
      </c>
      <c r="C817" s="10" t="s">
        <v>1027</v>
      </c>
      <c r="D817" s="33" t="s">
        <v>1037</v>
      </c>
      <c r="E817" s="90">
        <v>10000</v>
      </c>
      <c r="F817" s="33" t="s">
        <v>1399</v>
      </c>
      <c r="G817" s="33" t="s">
        <v>835</v>
      </c>
      <c r="H817" s="33" t="s">
        <v>1176</v>
      </c>
      <c r="I817" s="33" t="s">
        <v>973</v>
      </c>
      <c r="J817" s="44">
        <v>44607</v>
      </c>
      <c r="K817" s="33" t="s">
        <v>1179</v>
      </c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F817" s="27"/>
      <c r="AG817" s="27"/>
      <c r="AH817" s="27"/>
      <c r="AI817" s="27"/>
      <c r="AJ817" s="27"/>
      <c r="AK817" s="27"/>
      <c r="AL817" s="27"/>
      <c r="AM817" s="27"/>
      <c r="AN817" s="27"/>
      <c r="AO817" s="27"/>
      <c r="AP817" s="27"/>
      <c r="AQ817" s="27"/>
      <c r="AR817" s="27"/>
      <c r="AS817" s="27"/>
      <c r="AT817" s="27"/>
      <c r="AU817" s="27"/>
    </row>
    <row r="818" spans="1:47" ht="15.75" customHeight="1">
      <c r="A818" s="44">
        <v>44630</v>
      </c>
      <c r="B818" s="57" t="s">
        <v>1648</v>
      </c>
      <c r="C818" s="10" t="s">
        <v>1027</v>
      </c>
      <c r="D818" s="33" t="s">
        <v>1037</v>
      </c>
      <c r="E818" s="90">
        <v>20000</v>
      </c>
      <c r="F818" s="33" t="s">
        <v>1670</v>
      </c>
      <c r="G818" s="33" t="s">
        <v>830</v>
      </c>
      <c r="H818" s="33" t="s">
        <v>86</v>
      </c>
      <c r="I818" s="33" t="s">
        <v>878</v>
      </c>
      <c r="J818" s="44">
        <v>43811</v>
      </c>
      <c r="K818" s="33" t="s">
        <v>1054</v>
      </c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F818" s="27"/>
      <c r="AG818" s="27"/>
      <c r="AH818" s="27"/>
      <c r="AI818" s="27"/>
      <c r="AJ818" s="27"/>
      <c r="AK818" s="27"/>
      <c r="AL818" s="27"/>
      <c r="AM818" s="27"/>
      <c r="AN818" s="27"/>
      <c r="AO818" s="27"/>
      <c r="AP818" s="27"/>
      <c r="AQ818" s="27"/>
      <c r="AR818" s="27"/>
      <c r="AS818" s="27"/>
      <c r="AT818" s="27"/>
      <c r="AU818" s="27"/>
    </row>
    <row r="819" spans="1:47" ht="15.75" customHeight="1">
      <c r="A819" s="44">
        <v>44634</v>
      </c>
      <c r="B819" s="40" t="s">
        <v>1671</v>
      </c>
      <c r="C819" s="33" t="s">
        <v>48</v>
      </c>
      <c r="D819" s="33" t="s">
        <v>1037</v>
      </c>
      <c r="E819" s="90">
        <v>73500</v>
      </c>
      <c r="F819" s="33" t="s">
        <v>1672</v>
      </c>
      <c r="G819" s="33" t="s">
        <v>835</v>
      </c>
      <c r="H819" s="33" t="s">
        <v>1299</v>
      </c>
      <c r="I819" s="33" t="s">
        <v>1002</v>
      </c>
      <c r="J819" s="44">
        <v>44609</v>
      </c>
      <c r="K819" s="46" t="s">
        <v>1054</v>
      </c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F819" s="27"/>
      <c r="AG819" s="27"/>
      <c r="AH819" s="27"/>
      <c r="AI819" s="27"/>
      <c r="AJ819" s="27"/>
      <c r="AK819" s="27"/>
      <c r="AL819" s="27"/>
      <c r="AM819" s="27"/>
      <c r="AN819" s="27"/>
      <c r="AO819" s="27"/>
      <c r="AP819" s="27"/>
      <c r="AQ819" s="27"/>
      <c r="AR819" s="27"/>
      <c r="AS819" s="27"/>
      <c r="AT819" s="27"/>
      <c r="AU819" s="27"/>
    </row>
    <row r="820" spans="1:47" ht="15.75" customHeight="1">
      <c r="A820" s="44">
        <v>44634</v>
      </c>
      <c r="B820" s="57" t="s">
        <v>1673</v>
      </c>
      <c r="C820" s="10" t="s">
        <v>1027</v>
      </c>
      <c r="D820" s="33" t="s">
        <v>1028</v>
      </c>
      <c r="E820" s="90">
        <v>229216</v>
      </c>
      <c r="F820" s="33" t="s">
        <v>1674</v>
      </c>
      <c r="G820" s="33" t="s">
        <v>830</v>
      </c>
      <c r="H820" s="33" t="s">
        <v>86</v>
      </c>
      <c r="I820" s="33" t="s">
        <v>969</v>
      </c>
      <c r="J820" s="44">
        <v>44186</v>
      </c>
      <c r="K820" s="33" t="s">
        <v>1041</v>
      </c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F820" s="27"/>
      <c r="AG820" s="27"/>
      <c r="AH820" s="27"/>
      <c r="AI820" s="27"/>
      <c r="AJ820" s="27"/>
      <c r="AK820" s="27"/>
      <c r="AL820" s="27"/>
      <c r="AM820" s="27"/>
      <c r="AN820" s="27"/>
      <c r="AO820" s="27"/>
      <c r="AP820" s="27"/>
      <c r="AQ820" s="27"/>
      <c r="AR820" s="27"/>
      <c r="AS820" s="27"/>
      <c r="AT820" s="27"/>
      <c r="AU820" s="27"/>
    </row>
    <row r="821" spans="1:47" ht="15.75" customHeight="1">
      <c r="A821" s="44">
        <v>44634</v>
      </c>
      <c r="B821" s="57" t="s">
        <v>1675</v>
      </c>
      <c r="C821" s="10" t="s">
        <v>1027</v>
      </c>
      <c r="D821" s="33" t="s">
        <v>1062</v>
      </c>
      <c r="E821" s="90">
        <v>184170</v>
      </c>
      <c r="F821" s="33" t="s">
        <v>1676</v>
      </c>
      <c r="G821" s="33" t="s">
        <v>835</v>
      </c>
      <c r="H821" s="33" t="s">
        <v>1176</v>
      </c>
      <c r="I821" s="33" t="s">
        <v>973</v>
      </c>
      <c r="J821" s="44">
        <v>44280</v>
      </c>
      <c r="K821" s="33" t="s">
        <v>1122</v>
      </c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F821" s="27"/>
      <c r="AG821" s="27"/>
      <c r="AH821" s="27"/>
      <c r="AI821" s="27"/>
      <c r="AJ821" s="27"/>
      <c r="AK821" s="27"/>
      <c r="AL821" s="27"/>
      <c r="AM821" s="27"/>
      <c r="AN821" s="27"/>
      <c r="AO821" s="27"/>
      <c r="AP821" s="27"/>
      <c r="AQ821" s="27"/>
      <c r="AR821" s="27"/>
      <c r="AS821" s="27"/>
      <c r="AT821" s="27"/>
      <c r="AU821" s="27"/>
    </row>
    <row r="822" spans="1:47" ht="15.75" customHeight="1">
      <c r="A822" s="44">
        <v>44634</v>
      </c>
      <c r="B822" s="61">
        <v>4663340</v>
      </c>
      <c r="C822" s="10" t="s">
        <v>1027</v>
      </c>
      <c r="D822" s="33" t="s">
        <v>1062</v>
      </c>
      <c r="E822" s="90">
        <v>237755</v>
      </c>
      <c r="F822" s="105" t="s">
        <v>1677</v>
      </c>
      <c r="G822" s="33" t="s">
        <v>835</v>
      </c>
      <c r="H822" s="33" t="s">
        <v>1176</v>
      </c>
      <c r="I822" s="33" t="s">
        <v>973</v>
      </c>
      <c r="J822" s="44">
        <v>44280</v>
      </c>
      <c r="K822" s="33" t="s">
        <v>1030</v>
      </c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F822" s="27"/>
      <c r="AG822" s="27"/>
      <c r="AH822" s="27"/>
      <c r="AI822" s="27"/>
      <c r="AJ822" s="27"/>
      <c r="AK822" s="27"/>
      <c r="AL822" s="27"/>
      <c r="AM822" s="27"/>
      <c r="AN822" s="27"/>
      <c r="AO822" s="27"/>
      <c r="AP822" s="27"/>
      <c r="AQ822" s="27"/>
      <c r="AR822" s="27"/>
      <c r="AS822" s="27"/>
      <c r="AT822" s="27"/>
      <c r="AU822" s="27"/>
    </row>
    <row r="823" spans="1:47" ht="15.75" customHeight="1">
      <c r="A823" s="44">
        <v>44634</v>
      </c>
      <c r="B823" s="57" t="s">
        <v>1607</v>
      </c>
      <c r="C823" s="10" t="s">
        <v>1027</v>
      </c>
      <c r="D823" s="33" t="s">
        <v>1037</v>
      </c>
      <c r="E823" s="90">
        <v>63000</v>
      </c>
      <c r="F823" s="105" t="s">
        <v>1608</v>
      </c>
      <c r="G823" s="33" t="s">
        <v>835</v>
      </c>
      <c r="H823" s="33" t="s">
        <v>1176</v>
      </c>
      <c r="I823" s="33" t="s">
        <v>973</v>
      </c>
      <c r="J823" s="44">
        <v>44263</v>
      </c>
      <c r="K823" s="33" t="s">
        <v>1041</v>
      </c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F823" s="27"/>
      <c r="AG823" s="27"/>
      <c r="AH823" s="27"/>
      <c r="AI823" s="27"/>
      <c r="AJ823" s="27"/>
      <c r="AK823" s="27"/>
      <c r="AL823" s="27"/>
      <c r="AM823" s="27"/>
      <c r="AN823" s="27"/>
      <c r="AO823" s="27"/>
      <c r="AP823" s="27"/>
      <c r="AQ823" s="27"/>
      <c r="AR823" s="27"/>
      <c r="AS823" s="27"/>
      <c r="AT823" s="27"/>
      <c r="AU823" s="27"/>
    </row>
    <row r="824" spans="1:47" ht="15.75" customHeight="1">
      <c r="A824" s="44">
        <v>44634</v>
      </c>
      <c r="B824" s="57" t="s">
        <v>1304</v>
      </c>
      <c r="C824" s="10" t="s">
        <v>1027</v>
      </c>
      <c r="D824" s="33" t="s">
        <v>1037</v>
      </c>
      <c r="E824" s="90">
        <v>3000</v>
      </c>
      <c r="F824" s="33" t="s">
        <v>1305</v>
      </c>
      <c r="G824" s="33" t="s">
        <v>835</v>
      </c>
      <c r="H824" s="33" t="s">
        <v>1176</v>
      </c>
      <c r="I824" s="33" t="s">
        <v>973</v>
      </c>
      <c r="J824" s="44">
        <v>44322</v>
      </c>
      <c r="K824" s="33" t="s">
        <v>1041</v>
      </c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F824" s="27"/>
      <c r="AG824" s="27"/>
      <c r="AH824" s="27"/>
      <c r="AI824" s="27"/>
      <c r="AJ824" s="27"/>
      <c r="AK824" s="27"/>
      <c r="AL824" s="27"/>
      <c r="AM824" s="27"/>
      <c r="AN824" s="27"/>
      <c r="AO824" s="27"/>
      <c r="AP824" s="27"/>
      <c r="AQ824" s="27"/>
      <c r="AR824" s="27"/>
      <c r="AS824" s="27"/>
      <c r="AT824" s="27"/>
      <c r="AU824" s="27"/>
    </row>
    <row r="825" spans="1:47" ht="15.75" customHeight="1">
      <c r="A825" s="44">
        <v>44634</v>
      </c>
      <c r="B825" s="57" t="s">
        <v>1663</v>
      </c>
      <c r="C825" s="10" t="s">
        <v>1027</v>
      </c>
      <c r="D825" s="33" t="s">
        <v>1062</v>
      </c>
      <c r="E825" s="90">
        <v>285598</v>
      </c>
      <c r="F825" s="10" t="s">
        <v>1678</v>
      </c>
      <c r="G825" s="33" t="s">
        <v>835</v>
      </c>
      <c r="H825" s="33" t="s">
        <v>1176</v>
      </c>
      <c r="I825" s="33" t="s">
        <v>973</v>
      </c>
      <c r="J825" s="44">
        <v>44448</v>
      </c>
      <c r="K825" s="33" t="s">
        <v>1122</v>
      </c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F825" s="27"/>
      <c r="AG825" s="27"/>
      <c r="AH825" s="27"/>
      <c r="AI825" s="27"/>
      <c r="AJ825" s="27"/>
      <c r="AK825" s="27"/>
      <c r="AL825" s="27"/>
      <c r="AM825" s="27"/>
      <c r="AN825" s="27"/>
      <c r="AO825" s="27"/>
      <c r="AP825" s="27"/>
      <c r="AQ825" s="27"/>
      <c r="AR825" s="27"/>
      <c r="AS825" s="27"/>
      <c r="AT825" s="27"/>
      <c r="AU825" s="27"/>
    </row>
    <row r="826" spans="1:47" ht="15.75" customHeight="1">
      <c r="A826" s="44">
        <v>44634</v>
      </c>
      <c r="B826" s="57" t="s">
        <v>1648</v>
      </c>
      <c r="C826" s="10" t="s">
        <v>1027</v>
      </c>
      <c r="D826" s="33" t="s">
        <v>1037</v>
      </c>
      <c r="E826" s="90">
        <v>15000</v>
      </c>
      <c r="F826" s="33" t="s">
        <v>1670</v>
      </c>
      <c r="G826" s="33" t="s">
        <v>830</v>
      </c>
      <c r="H826" s="33" t="s">
        <v>86</v>
      </c>
      <c r="I826" s="33" t="s">
        <v>878</v>
      </c>
      <c r="J826" s="44">
        <v>43811</v>
      </c>
      <c r="K826" s="33" t="s">
        <v>1054</v>
      </c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F826" s="27"/>
      <c r="AG826" s="27"/>
      <c r="AH826" s="27"/>
      <c r="AI826" s="27"/>
      <c r="AJ826" s="27"/>
      <c r="AK826" s="27"/>
      <c r="AL826" s="27"/>
      <c r="AM826" s="27"/>
      <c r="AN826" s="27"/>
      <c r="AO826" s="27"/>
      <c r="AP826" s="27"/>
      <c r="AQ826" s="27"/>
      <c r="AR826" s="27"/>
      <c r="AS826" s="27"/>
      <c r="AT826" s="27"/>
      <c r="AU826" s="27"/>
    </row>
    <row r="827" spans="1:47" ht="15.75" customHeight="1">
      <c r="A827" s="45">
        <v>44634</v>
      </c>
      <c r="B827" s="51" t="s">
        <v>1679</v>
      </c>
      <c r="C827" s="46" t="s">
        <v>1027</v>
      </c>
      <c r="D827" s="33" t="s">
        <v>1028</v>
      </c>
      <c r="E827" s="98"/>
      <c r="F827" s="33" t="s">
        <v>1680</v>
      </c>
      <c r="G827" s="44" t="s">
        <v>835</v>
      </c>
      <c r="H827" s="44" t="s">
        <v>1176</v>
      </c>
      <c r="I827" s="44" t="s">
        <v>975</v>
      </c>
      <c r="J827" s="44">
        <v>44199</v>
      </c>
      <c r="K827" s="44" t="s">
        <v>1054</v>
      </c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F827" s="27"/>
      <c r="AG827" s="27"/>
      <c r="AH827" s="27"/>
      <c r="AI827" s="27"/>
      <c r="AJ827" s="27"/>
      <c r="AK827" s="27"/>
      <c r="AL827" s="27"/>
      <c r="AM827" s="27"/>
      <c r="AN827" s="27"/>
      <c r="AO827" s="27"/>
      <c r="AP827" s="27"/>
      <c r="AQ827" s="27"/>
      <c r="AR827" s="27"/>
      <c r="AS827" s="27"/>
      <c r="AT827" s="27"/>
      <c r="AU827" s="27"/>
    </row>
    <row r="828" spans="1:47" ht="15.75" customHeight="1">
      <c r="A828" s="44">
        <v>44636</v>
      </c>
      <c r="B828" s="57" t="s">
        <v>1308</v>
      </c>
      <c r="C828" s="10" t="s">
        <v>1027</v>
      </c>
      <c r="D828" s="33" t="s">
        <v>1037</v>
      </c>
      <c r="E828" s="90">
        <v>10000</v>
      </c>
      <c r="F828" s="10" t="s">
        <v>1309</v>
      </c>
      <c r="G828" s="33" t="s">
        <v>835</v>
      </c>
      <c r="H828" s="33" t="s">
        <v>1176</v>
      </c>
      <c r="I828" s="33" t="s">
        <v>973</v>
      </c>
      <c r="J828" s="44">
        <v>44319</v>
      </c>
      <c r="K828" s="33" t="s">
        <v>1041</v>
      </c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F828" s="27"/>
      <c r="AG828" s="27"/>
      <c r="AH828" s="27"/>
      <c r="AI828" s="27"/>
      <c r="AJ828" s="27"/>
      <c r="AK828" s="27"/>
      <c r="AL828" s="27"/>
      <c r="AM828" s="27"/>
      <c r="AN828" s="27"/>
      <c r="AO828" s="27"/>
      <c r="AP828" s="27"/>
      <c r="AQ828" s="27"/>
      <c r="AR828" s="27"/>
      <c r="AS828" s="27"/>
      <c r="AT828" s="27"/>
      <c r="AU828" s="27"/>
    </row>
    <row r="829" spans="1:47" ht="15.75" customHeight="1">
      <c r="A829" s="44">
        <v>44636</v>
      </c>
      <c r="B829" s="57" t="s">
        <v>1648</v>
      </c>
      <c r="C829" s="10" t="s">
        <v>1027</v>
      </c>
      <c r="D829" s="33" t="s">
        <v>1037</v>
      </c>
      <c r="E829" s="90">
        <v>20000</v>
      </c>
      <c r="F829" s="33" t="s">
        <v>1670</v>
      </c>
      <c r="G829" s="33" t="s">
        <v>830</v>
      </c>
      <c r="H829" s="33" t="s">
        <v>86</v>
      </c>
      <c r="I829" s="33" t="s">
        <v>878</v>
      </c>
      <c r="J829" s="44">
        <v>43811</v>
      </c>
      <c r="K829" s="33" t="s">
        <v>1054</v>
      </c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F829" s="27"/>
      <c r="AG829" s="27"/>
      <c r="AH829" s="27"/>
      <c r="AI829" s="27"/>
      <c r="AJ829" s="27"/>
      <c r="AK829" s="27"/>
      <c r="AL829" s="27"/>
      <c r="AM829" s="27"/>
      <c r="AN829" s="27"/>
      <c r="AO829" s="27"/>
      <c r="AP829" s="27"/>
      <c r="AQ829" s="27"/>
      <c r="AR829" s="27"/>
      <c r="AS829" s="27"/>
      <c r="AT829" s="27"/>
      <c r="AU829" s="27"/>
    </row>
    <row r="830" spans="1:47" ht="15.75" customHeight="1">
      <c r="A830" s="44">
        <v>44636</v>
      </c>
      <c r="B830" s="57" t="s">
        <v>1372</v>
      </c>
      <c r="C830" s="10" t="s">
        <v>1027</v>
      </c>
      <c r="D830" s="33" t="s">
        <v>1037</v>
      </c>
      <c r="E830" s="90">
        <v>1000000</v>
      </c>
      <c r="F830" s="33" t="s">
        <v>1373</v>
      </c>
      <c r="G830" s="33" t="s">
        <v>835</v>
      </c>
      <c r="H830" s="33" t="s">
        <v>1176</v>
      </c>
      <c r="I830" s="33" t="s">
        <v>973</v>
      </c>
      <c r="J830" s="44">
        <v>44321</v>
      </c>
      <c r="K830" s="33" t="s">
        <v>1179</v>
      </c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F830" s="27"/>
      <c r="AG830" s="27"/>
      <c r="AH830" s="27"/>
      <c r="AI830" s="27"/>
      <c r="AJ830" s="27"/>
      <c r="AK830" s="27"/>
      <c r="AL830" s="27"/>
      <c r="AM830" s="27"/>
      <c r="AN830" s="27"/>
      <c r="AO830" s="27"/>
      <c r="AP830" s="27"/>
      <c r="AQ830" s="27"/>
      <c r="AR830" s="27"/>
      <c r="AS830" s="27"/>
      <c r="AT830" s="27"/>
      <c r="AU830" s="27"/>
    </row>
    <row r="831" spans="1:47" ht="15.75" customHeight="1">
      <c r="A831" s="44">
        <v>44637</v>
      </c>
      <c r="B831" s="40" t="s">
        <v>1681</v>
      </c>
      <c r="C831" s="33" t="s">
        <v>48</v>
      </c>
      <c r="D831" s="33" t="s">
        <v>1037</v>
      </c>
      <c r="E831" s="90">
        <v>7000</v>
      </c>
      <c r="F831" s="33" t="s">
        <v>1682</v>
      </c>
      <c r="G831" s="33" t="s">
        <v>835</v>
      </c>
      <c r="H831" s="33" t="s">
        <v>1299</v>
      </c>
      <c r="I831" s="33" t="s">
        <v>1002</v>
      </c>
      <c r="J831" s="44">
        <v>44615</v>
      </c>
      <c r="K831" s="46" t="s">
        <v>1041</v>
      </c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F831" s="27"/>
      <c r="AG831" s="27"/>
      <c r="AH831" s="27"/>
      <c r="AI831" s="27"/>
      <c r="AJ831" s="27"/>
      <c r="AK831" s="27"/>
      <c r="AL831" s="27"/>
      <c r="AM831" s="27"/>
      <c r="AN831" s="27"/>
      <c r="AO831" s="27"/>
      <c r="AP831" s="27"/>
      <c r="AQ831" s="27"/>
      <c r="AR831" s="27"/>
      <c r="AS831" s="27"/>
      <c r="AT831" s="27"/>
      <c r="AU831" s="27"/>
    </row>
    <row r="832" spans="1:47" ht="15.75" customHeight="1">
      <c r="A832" s="44">
        <v>44641</v>
      </c>
      <c r="B832" s="38" t="s">
        <v>1683</v>
      </c>
      <c r="C832" s="33" t="s">
        <v>48</v>
      </c>
      <c r="D832" s="33" t="s">
        <v>1062</v>
      </c>
      <c r="E832" s="90">
        <v>100351.65</v>
      </c>
      <c r="F832" s="33" t="s">
        <v>1684</v>
      </c>
      <c r="G832" s="33" t="s">
        <v>835</v>
      </c>
      <c r="H832" s="33" t="s">
        <v>86</v>
      </c>
      <c r="I832" s="33" t="s">
        <v>1685</v>
      </c>
      <c r="J832" s="44">
        <v>44365</v>
      </c>
      <c r="K832" s="10" t="s">
        <v>1438</v>
      </c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F832" s="27"/>
      <c r="AG832" s="27"/>
      <c r="AH832" s="27"/>
      <c r="AI832" s="27"/>
      <c r="AJ832" s="27"/>
      <c r="AK832" s="27"/>
      <c r="AL832" s="27"/>
      <c r="AM832" s="27"/>
      <c r="AN832" s="27"/>
      <c r="AO832" s="27"/>
      <c r="AP832" s="27"/>
      <c r="AQ832" s="27"/>
      <c r="AR832" s="27"/>
      <c r="AS832" s="27"/>
      <c r="AT832" s="27"/>
      <c r="AU832" s="27"/>
    </row>
    <row r="833" spans="1:47" ht="15.75" customHeight="1">
      <c r="A833" s="44">
        <v>44641</v>
      </c>
      <c r="B833" s="38" t="s">
        <v>1686</v>
      </c>
      <c r="C833" s="33" t="s">
        <v>48</v>
      </c>
      <c r="D833" s="33" t="s">
        <v>1062</v>
      </c>
      <c r="E833" s="90">
        <v>169950.33</v>
      </c>
      <c r="F833" s="10" t="s">
        <v>1687</v>
      </c>
      <c r="G833" s="33" t="s">
        <v>835</v>
      </c>
      <c r="H833" s="33" t="s">
        <v>1273</v>
      </c>
      <c r="I833" s="33" t="s">
        <v>874</v>
      </c>
      <c r="J833" s="44">
        <v>44298</v>
      </c>
      <c r="K833" s="35" t="s">
        <v>1041</v>
      </c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F833" s="27"/>
      <c r="AG833" s="27"/>
      <c r="AH833" s="27"/>
      <c r="AI833" s="27"/>
      <c r="AJ833" s="27"/>
      <c r="AK833" s="27"/>
      <c r="AL833" s="27"/>
      <c r="AM833" s="27"/>
      <c r="AN833" s="27"/>
      <c r="AO833" s="27"/>
      <c r="AP833" s="27"/>
      <c r="AQ833" s="27"/>
      <c r="AR833" s="27"/>
      <c r="AS833" s="27"/>
      <c r="AT833" s="27"/>
      <c r="AU833" s="27"/>
    </row>
    <row r="834" spans="1:47" ht="15.75" customHeight="1">
      <c r="A834" s="44">
        <v>44641</v>
      </c>
      <c r="B834" s="33">
        <v>226343</v>
      </c>
      <c r="C834" s="33" t="s">
        <v>48</v>
      </c>
      <c r="D834" s="33" t="s">
        <v>1062</v>
      </c>
      <c r="E834" s="90">
        <v>103307.43</v>
      </c>
      <c r="F834" s="33" t="s">
        <v>1688</v>
      </c>
      <c r="G834" s="33" t="s">
        <v>835</v>
      </c>
      <c r="H834" s="33" t="s">
        <v>1299</v>
      </c>
      <c r="I834" s="33" t="s">
        <v>906</v>
      </c>
      <c r="J834" s="44">
        <v>44469</v>
      </c>
      <c r="K834" s="10" t="s">
        <v>1122</v>
      </c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F834" s="27"/>
      <c r="AG834" s="27"/>
      <c r="AH834" s="27"/>
      <c r="AI834" s="27"/>
      <c r="AJ834" s="27"/>
      <c r="AK834" s="27"/>
      <c r="AL834" s="27"/>
      <c r="AM834" s="27"/>
      <c r="AN834" s="27"/>
      <c r="AO834" s="27"/>
      <c r="AP834" s="27"/>
      <c r="AQ834" s="27"/>
      <c r="AR834" s="27"/>
      <c r="AS834" s="27"/>
      <c r="AT834" s="27"/>
      <c r="AU834" s="27"/>
    </row>
    <row r="835" spans="1:47" ht="15.75" customHeight="1">
      <c r="A835" s="44">
        <v>44641</v>
      </c>
      <c r="B835" s="46">
        <v>6986262</v>
      </c>
      <c r="C835" s="33" t="s">
        <v>48</v>
      </c>
      <c r="D835" s="33" t="s">
        <v>1037</v>
      </c>
      <c r="E835" s="90">
        <v>25000</v>
      </c>
      <c r="F835" s="33" t="s">
        <v>1689</v>
      </c>
      <c r="G835" s="33" t="s">
        <v>835</v>
      </c>
      <c r="H835" s="33" t="s">
        <v>1299</v>
      </c>
      <c r="I835" s="33" t="s">
        <v>906</v>
      </c>
      <c r="J835" s="44">
        <v>44503</v>
      </c>
      <c r="K835" s="10" t="s">
        <v>1438</v>
      </c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F835" s="27"/>
      <c r="AG835" s="27"/>
      <c r="AH835" s="27"/>
      <c r="AI835" s="27"/>
      <c r="AJ835" s="27"/>
      <c r="AK835" s="27"/>
      <c r="AL835" s="27"/>
      <c r="AM835" s="27"/>
      <c r="AN835" s="27"/>
      <c r="AO835" s="27"/>
      <c r="AP835" s="27"/>
      <c r="AQ835" s="27"/>
      <c r="AR835" s="27"/>
      <c r="AS835" s="27"/>
      <c r="AT835" s="27"/>
      <c r="AU835" s="27"/>
    </row>
    <row r="836" spans="1:47" ht="15.75" customHeight="1">
      <c r="A836" s="44">
        <v>44641</v>
      </c>
      <c r="B836" s="40" t="s">
        <v>1690</v>
      </c>
      <c r="C836" s="33" t="s">
        <v>48</v>
      </c>
      <c r="D836" s="33" t="s">
        <v>1062</v>
      </c>
      <c r="E836" s="90">
        <v>175092.43</v>
      </c>
      <c r="F836" s="33" t="s">
        <v>1691</v>
      </c>
      <c r="G836" s="33" t="s">
        <v>904</v>
      </c>
      <c r="H836" s="33" t="s">
        <v>86</v>
      </c>
      <c r="I836" s="33" t="s">
        <v>849</v>
      </c>
      <c r="J836" s="44">
        <v>44075</v>
      </c>
      <c r="K836" s="46" t="s">
        <v>1041</v>
      </c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F836" s="27"/>
      <c r="AG836" s="27"/>
      <c r="AH836" s="27"/>
      <c r="AI836" s="27"/>
      <c r="AJ836" s="27"/>
      <c r="AK836" s="27"/>
      <c r="AL836" s="27"/>
      <c r="AM836" s="27"/>
      <c r="AN836" s="27"/>
      <c r="AO836" s="27"/>
      <c r="AP836" s="27"/>
      <c r="AQ836" s="27"/>
      <c r="AR836" s="27"/>
      <c r="AS836" s="27"/>
      <c r="AT836" s="27"/>
      <c r="AU836" s="27"/>
    </row>
    <row r="837" spans="1:47" ht="15.75" customHeight="1">
      <c r="A837" s="44">
        <v>44643</v>
      </c>
      <c r="B837" s="40" t="s">
        <v>1692</v>
      </c>
      <c r="C837" s="33" t="s">
        <v>48</v>
      </c>
      <c r="D837" s="33" t="s">
        <v>1062</v>
      </c>
      <c r="E837" s="90">
        <v>101496.62</v>
      </c>
      <c r="F837" s="33" t="s">
        <v>1693</v>
      </c>
      <c r="G837" s="33" t="s">
        <v>904</v>
      </c>
      <c r="H837" s="33" t="s">
        <v>1273</v>
      </c>
      <c r="I837" s="33" t="s">
        <v>874</v>
      </c>
      <c r="J837" s="44">
        <v>44256</v>
      </c>
      <c r="K837" s="46" t="s">
        <v>1122</v>
      </c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F837" s="27"/>
      <c r="AG837" s="27"/>
      <c r="AH837" s="27"/>
      <c r="AI837" s="27"/>
      <c r="AJ837" s="27"/>
      <c r="AK837" s="27"/>
      <c r="AL837" s="27"/>
      <c r="AM837" s="27"/>
      <c r="AN837" s="27"/>
      <c r="AO837" s="27"/>
      <c r="AP837" s="27"/>
      <c r="AQ837" s="27"/>
      <c r="AR837" s="27"/>
      <c r="AS837" s="27"/>
      <c r="AT837" s="27"/>
      <c r="AU837" s="27"/>
    </row>
    <row r="838" spans="1:47" ht="15.75" customHeight="1">
      <c r="A838" s="44">
        <v>44644</v>
      </c>
      <c r="B838" s="57" t="s">
        <v>1627</v>
      </c>
      <c r="C838" s="10" t="s">
        <v>1027</v>
      </c>
      <c r="D838" s="33" t="s">
        <v>1037</v>
      </c>
      <c r="E838" s="90">
        <v>10000</v>
      </c>
      <c r="F838" s="33" t="s">
        <v>1629</v>
      </c>
      <c r="G838" s="33" t="s">
        <v>835</v>
      </c>
      <c r="H838" s="33" t="s">
        <v>1176</v>
      </c>
      <c r="I838" s="33" t="s">
        <v>973</v>
      </c>
      <c r="J838" s="44">
        <v>44280</v>
      </c>
      <c r="K838" s="33" t="s">
        <v>1122</v>
      </c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F838" s="27"/>
      <c r="AG838" s="27"/>
      <c r="AH838" s="27"/>
      <c r="AI838" s="27"/>
      <c r="AJ838" s="27"/>
      <c r="AK838" s="27"/>
      <c r="AL838" s="27"/>
      <c r="AM838" s="27"/>
      <c r="AN838" s="27"/>
      <c r="AO838" s="27"/>
      <c r="AP838" s="27"/>
      <c r="AQ838" s="27"/>
      <c r="AR838" s="27"/>
      <c r="AS838" s="27"/>
      <c r="AT838" s="27"/>
      <c r="AU838" s="27"/>
    </row>
    <row r="839" spans="1:47" ht="15.75" customHeight="1">
      <c r="A839" s="44">
        <v>44644</v>
      </c>
      <c r="B839" s="57" t="s">
        <v>1679</v>
      </c>
      <c r="C839" s="10" t="s">
        <v>1027</v>
      </c>
      <c r="D839" s="33" t="s">
        <v>1062</v>
      </c>
      <c r="E839" s="90">
        <v>117357</v>
      </c>
      <c r="F839" s="33" t="s">
        <v>1680</v>
      </c>
      <c r="G839" s="33" t="s">
        <v>835</v>
      </c>
      <c r="H839" s="33" t="s">
        <v>1176</v>
      </c>
      <c r="I839" s="33" t="s">
        <v>975</v>
      </c>
      <c r="J839" s="44">
        <v>44330</v>
      </c>
      <c r="K839" s="33" t="s">
        <v>1054</v>
      </c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F839" s="27"/>
      <c r="AG839" s="27"/>
      <c r="AH839" s="27"/>
      <c r="AI839" s="27"/>
      <c r="AJ839" s="27"/>
      <c r="AK839" s="27"/>
      <c r="AL839" s="27"/>
      <c r="AM839" s="27"/>
      <c r="AN839" s="27"/>
      <c r="AO839" s="27"/>
      <c r="AP839" s="27"/>
      <c r="AQ839" s="27"/>
      <c r="AR839" s="27"/>
      <c r="AS839" s="27"/>
      <c r="AT839" s="27"/>
      <c r="AU839" s="27"/>
    </row>
    <row r="840" spans="1:47" ht="15.75" customHeight="1">
      <c r="A840" s="44">
        <v>44644</v>
      </c>
      <c r="B840" s="57" t="s">
        <v>1694</v>
      </c>
      <c r="C840" s="10" t="s">
        <v>1027</v>
      </c>
      <c r="D840" s="33" t="s">
        <v>1037</v>
      </c>
      <c r="E840" s="90">
        <v>19000</v>
      </c>
      <c r="F840" s="33" t="s">
        <v>1695</v>
      </c>
      <c r="G840" s="33" t="s">
        <v>835</v>
      </c>
      <c r="H840" s="33" t="s">
        <v>1176</v>
      </c>
      <c r="I840" s="33" t="s">
        <v>975</v>
      </c>
      <c r="J840" s="44">
        <v>44263</v>
      </c>
      <c r="K840" s="33" t="s">
        <v>1041</v>
      </c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F840" s="27"/>
      <c r="AG840" s="27"/>
      <c r="AH840" s="27"/>
      <c r="AI840" s="27"/>
      <c r="AJ840" s="27"/>
      <c r="AK840" s="27"/>
      <c r="AL840" s="27"/>
      <c r="AM840" s="27"/>
      <c r="AN840" s="27"/>
      <c r="AO840" s="27"/>
      <c r="AP840" s="27"/>
      <c r="AQ840" s="27"/>
      <c r="AR840" s="27"/>
      <c r="AS840" s="27"/>
      <c r="AT840" s="27"/>
      <c r="AU840" s="27"/>
    </row>
    <row r="841" spans="1:47" ht="15.75" customHeight="1">
      <c r="A841" s="44">
        <v>44644</v>
      </c>
      <c r="B841" s="57" t="s">
        <v>1696</v>
      </c>
      <c r="C841" s="10" t="s">
        <v>1027</v>
      </c>
      <c r="D841" s="33" t="s">
        <v>1037</v>
      </c>
      <c r="E841" s="90">
        <v>14000</v>
      </c>
      <c r="F841" s="33" t="s">
        <v>1697</v>
      </c>
      <c r="G841" s="33" t="s">
        <v>830</v>
      </c>
      <c r="H841" s="33" t="s">
        <v>86</v>
      </c>
      <c r="I841" s="33" t="s">
        <v>878</v>
      </c>
      <c r="J841" s="44">
        <v>43605</v>
      </c>
      <c r="K841" s="33" t="s">
        <v>1030</v>
      </c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F841" s="27"/>
      <c r="AG841" s="27"/>
      <c r="AH841" s="27"/>
      <c r="AI841" s="27"/>
      <c r="AJ841" s="27"/>
      <c r="AK841" s="27"/>
      <c r="AL841" s="27"/>
      <c r="AM841" s="27"/>
      <c r="AN841" s="27"/>
      <c r="AO841" s="27"/>
      <c r="AP841" s="27"/>
      <c r="AQ841" s="27"/>
      <c r="AR841" s="27"/>
      <c r="AS841" s="27"/>
      <c r="AT841" s="27"/>
      <c r="AU841" s="27"/>
    </row>
    <row r="842" spans="1:47" ht="15.75" customHeight="1">
      <c r="A842" s="44">
        <v>44644</v>
      </c>
      <c r="B842" s="57" t="s">
        <v>1512</v>
      </c>
      <c r="C842" s="10" t="s">
        <v>1027</v>
      </c>
      <c r="D842" s="33" t="s">
        <v>1037</v>
      </c>
      <c r="E842" s="90">
        <v>5000</v>
      </c>
      <c r="F842" s="33" t="s">
        <v>1513</v>
      </c>
      <c r="G842" s="33" t="s">
        <v>835</v>
      </c>
      <c r="H842" s="33" t="s">
        <v>1176</v>
      </c>
      <c r="I842" s="33" t="s">
        <v>973</v>
      </c>
      <c r="J842" s="44">
        <v>44421</v>
      </c>
      <c r="K842" s="33" t="s">
        <v>1041</v>
      </c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F842" s="27"/>
      <c r="AG842" s="27"/>
      <c r="AH842" s="27"/>
      <c r="AI842" s="27"/>
      <c r="AJ842" s="27"/>
      <c r="AK842" s="27"/>
      <c r="AL842" s="27"/>
      <c r="AM842" s="27"/>
      <c r="AN842" s="27"/>
      <c r="AO842" s="27"/>
      <c r="AP842" s="27"/>
      <c r="AQ842" s="27"/>
      <c r="AR842" s="27"/>
      <c r="AS842" s="27"/>
      <c r="AT842" s="27"/>
      <c r="AU842" s="27"/>
    </row>
    <row r="843" spans="1:47" ht="15.75" customHeight="1">
      <c r="A843" s="44">
        <v>44644</v>
      </c>
      <c r="B843" s="57" t="s">
        <v>1665</v>
      </c>
      <c r="C843" s="10" t="s">
        <v>1027</v>
      </c>
      <c r="D843" s="33" t="s">
        <v>1037</v>
      </c>
      <c r="E843" s="90">
        <v>25000</v>
      </c>
      <c r="F843" s="33" t="s">
        <v>1457</v>
      </c>
      <c r="G843" s="33" t="s">
        <v>835</v>
      </c>
      <c r="H843" s="33" t="s">
        <v>1176</v>
      </c>
      <c r="I843" s="33" t="s">
        <v>973</v>
      </c>
      <c r="J843" s="44">
        <v>44585</v>
      </c>
      <c r="K843" s="33" t="s">
        <v>1179</v>
      </c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F843" s="27"/>
      <c r="AG843" s="27"/>
      <c r="AH843" s="27"/>
      <c r="AI843" s="27"/>
      <c r="AJ843" s="27"/>
      <c r="AK843" s="27"/>
      <c r="AL843" s="27"/>
      <c r="AM843" s="27"/>
      <c r="AN843" s="27"/>
      <c r="AO843" s="27"/>
      <c r="AP843" s="27"/>
      <c r="AQ843" s="27"/>
      <c r="AR843" s="27"/>
      <c r="AS843" s="27"/>
      <c r="AT843" s="27"/>
      <c r="AU843" s="27"/>
    </row>
    <row r="844" spans="1:47" ht="15.75" customHeight="1">
      <c r="A844" s="44">
        <v>44644</v>
      </c>
      <c r="B844" s="57" t="s">
        <v>1698</v>
      </c>
      <c r="C844" s="10" t="s">
        <v>1027</v>
      </c>
      <c r="D844" s="33" t="s">
        <v>1037</v>
      </c>
      <c r="E844" s="90">
        <v>300000</v>
      </c>
      <c r="F844" s="33" t="s">
        <v>1699</v>
      </c>
      <c r="G844" s="33" t="s">
        <v>835</v>
      </c>
      <c r="H844" s="33" t="s">
        <v>1176</v>
      </c>
      <c r="I844" s="33" t="s">
        <v>973</v>
      </c>
      <c r="J844" s="44"/>
      <c r="K844" s="33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F844" s="27"/>
      <c r="AG844" s="27"/>
      <c r="AH844" s="27"/>
      <c r="AI844" s="27"/>
      <c r="AJ844" s="27"/>
      <c r="AK844" s="27"/>
      <c r="AL844" s="27"/>
      <c r="AM844" s="27"/>
      <c r="AN844" s="27"/>
      <c r="AO844" s="27"/>
      <c r="AP844" s="27"/>
      <c r="AQ844" s="27"/>
      <c r="AR844" s="27"/>
      <c r="AS844" s="27"/>
      <c r="AT844" s="27"/>
      <c r="AU844" s="27"/>
    </row>
    <row r="845" spans="1:47" ht="15.75" customHeight="1">
      <c r="A845" s="44">
        <v>44648</v>
      </c>
      <c r="B845" s="40" t="s">
        <v>1658</v>
      </c>
      <c r="C845" s="33" t="s">
        <v>48</v>
      </c>
      <c r="D845" s="33" t="s">
        <v>1037</v>
      </c>
      <c r="E845" s="90">
        <v>15000</v>
      </c>
      <c r="F845" s="33" t="s">
        <v>1659</v>
      </c>
      <c r="G845" s="33" t="s">
        <v>835</v>
      </c>
      <c r="H845" s="33" t="s">
        <v>86</v>
      </c>
      <c r="I845" s="33" t="s">
        <v>1660</v>
      </c>
      <c r="J845" s="44">
        <v>44594</v>
      </c>
      <c r="K845" s="46" t="s">
        <v>1179</v>
      </c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F845" s="27"/>
      <c r="AG845" s="27"/>
      <c r="AH845" s="27"/>
      <c r="AI845" s="27"/>
      <c r="AJ845" s="27"/>
      <c r="AK845" s="27"/>
      <c r="AL845" s="27"/>
      <c r="AM845" s="27"/>
      <c r="AN845" s="27"/>
      <c r="AO845" s="27"/>
      <c r="AP845" s="27"/>
      <c r="AQ845" s="27"/>
      <c r="AR845" s="27"/>
      <c r="AS845" s="27"/>
      <c r="AT845" s="27"/>
      <c r="AU845" s="27"/>
    </row>
    <row r="846" spans="1:47" ht="15.75" customHeight="1">
      <c r="A846" s="44">
        <v>44648</v>
      </c>
      <c r="B846" s="53" t="s">
        <v>1336</v>
      </c>
      <c r="C846" s="33" t="s">
        <v>48</v>
      </c>
      <c r="D846" s="33" t="s">
        <v>1062</v>
      </c>
      <c r="E846" s="90">
        <v>2232</v>
      </c>
      <c r="F846" s="35" t="s">
        <v>1337</v>
      </c>
      <c r="G846" s="33" t="s">
        <v>904</v>
      </c>
      <c r="H846" s="33" t="s">
        <v>86</v>
      </c>
      <c r="I846" s="33" t="s">
        <v>902</v>
      </c>
      <c r="J846" s="42">
        <v>44145</v>
      </c>
      <c r="K846" s="46" t="s">
        <v>1122</v>
      </c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F846" s="27"/>
      <c r="AG846" s="27"/>
      <c r="AH846" s="27"/>
      <c r="AI846" s="27"/>
      <c r="AJ846" s="27"/>
      <c r="AK846" s="27"/>
      <c r="AL846" s="27"/>
      <c r="AM846" s="27"/>
      <c r="AN846" s="27"/>
      <c r="AO846" s="27"/>
      <c r="AP846" s="27"/>
      <c r="AQ846" s="27"/>
      <c r="AR846" s="27"/>
      <c r="AS846" s="27"/>
      <c r="AT846" s="27"/>
      <c r="AU846" s="27"/>
    </row>
    <row r="847" spans="1:47" ht="15.75" customHeight="1">
      <c r="A847" s="44">
        <v>44650</v>
      </c>
      <c r="B847" s="53" t="s">
        <v>1700</v>
      </c>
      <c r="C847" s="33" t="s">
        <v>48</v>
      </c>
      <c r="D847" s="33" t="s">
        <v>1028</v>
      </c>
      <c r="E847" s="90">
        <v>129000</v>
      </c>
      <c r="F847" s="35" t="s">
        <v>1701</v>
      </c>
      <c r="G847" s="33" t="s">
        <v>904</v>
      </c>
      <c r="H847" s="33" t="s">
        <v>1273</v>
      </c>
      <c r="I847" s="33" t="s">
        <v>862</v>
      </c>
      <c r="J847" s="42">
        <v>44216</v>
      </c>
      <c r="K847" s="46" t="s">
        <v>1122</v>
      </c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F847" s="27"/>
      <c r="AG847" s="27"/>
      <c r="AH847" s="27"/>
      <c r="AI847" s="27"/>
      <c r="AJ847" s="27"/>
      <c r="AK847" s="27"/>
      <c r="AL847" s="27"/>
      <c r="AM847" s="27"/>
      <c r="AN847" s="27"/>
      <c r="AO847" s="27"/>
      <c r="AP847" s="27"/>
      <c r="AQ847" s="27"/>
      <c r="AR847" s="27"/>
      <c r="AS847" s="27"/>
      <c r="AT847" s="27"/>
      <c r="AU847" s="27"/>
    </row>
    <row r="848" spans="1:47" ht="15.75" customHeight="1">
      <c r="A848" s="44">
        <v>44650</v>
      </c>
      <c r="B848" s="53" t="s">
        <v>1702</v>
      </c>
      <c r="C848" s="33" t="s">
        <v>48</v>
      </c>
      <c r="D848" s="33" t="s">
        <v>1028</v>
      </c>
      <c r="E848" s="90">
        <v>630477</v>
      </c>
      <c r="F848" s="35" t="s">
        <v>1701</v>
      </c>
      <c r="G848" s="33" t="s">
        <v>904</v>
      </c>
      <c r="H848" s="33" t="s">
        <v>1273</v>
      </c>
      <c r="I848" s="33" t="s">
        <v>862</v>
      </c>
      <c r="J848" s="42">
        <v>44207</v>
      </c>
      <c r="K848" s="46" t="s">
        <v>1438</v>
      </c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F848" s="27"/>
      <c r="AG848" s="27"/>
      <c r="AH848" s="27"/>
      <c r="AI848" s="27"/>
      <c r="AJ848" s="27"/>
      <c r="AK848" s="27"/>
      <c r="AL848" s="27"/>
      <c r="AM848" s="27"/>
      <c r="AN848" s="27"/>
      <c r="AO848" s="27"/>
      <c r="AP848" s="27"/>
      <c r="AQ848" s="27"/>
      <c r="AR848" s="27"/>
      <c r="AS848" s="27"/>
      <c r="AT848" s="27"/>
      <c r="AU848" s="27"/>
    </row>
    <row r="849" spans="1:47" ht="15.75" customHeight="1">
      <c r="A849" s="44">
        <v>44650</v>
      </c>
      <c r="B849" s="53" t="s">
        <v>1703</v>
      </c>
      <c r="C849" s="33" t="s">
        <v>48</v>
      </c>
      <c r="D849" s="33" t="s">
        <v>1028</v>
      </c>
      <c r="E849" s="90">
        <v>152856.49</v>
      </c>
      <c r="F849" s="10" t="s">
        <v>1704</v>
      </c>
      <c r="G849" s="33" t="s">
        <v>904</v>
      </c>
      <c r="H849" s="33" t="s">
        <v>1273</v>
      </c>
      <c r="I849" s="33" t="s">
        <v>862</v>
      </c>
      <c r="J849" s="42">
        <v>44385</v>
      </c>
      <c r="K849" s="46" t="s">
        <v>1122</v>
      </c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F849" s="27"/>
      <c r="AG849" s="27"/>
      <c r="AH849" s="27"/>
      <c r="AI849" s="27"/>
      <c r="AJ849" s="27"/>
      <c r="AK849" s="27"/>
      <c r="AL849" s="27"/>
      <c r="AM849" s="27"/>
      <c r="AN849" s="27"/>
      <c r="AO849" s="27"/>
      <c r="AP849" s="27"/>
      <c r="AQ849" s="27"/>
      <c r="AR849" s="27"/>
      <c r="AS849" s="27"/>
      <c r="AT849" s="27"/>
      <c r="AU849" s="27"/>
    </row>
    <row r="850" spans="1:47" ht="15.75" customHeight="1">
      <c r="A850" s="44">
        <v>44650</v>
      </c>
      <c r="B850" s="57" t="s">
        <v>1705</v>
      </c>
      <c r="C850" s="10" t="s">
        <v>48</v>
      </c>
      <c r="D850" s="33" t="s">
        <v>1037</v>
      </c>
      <c r="E850" s="90">
        <v>22140.93</v>
      </c>
      <c r="F850" s="33" t="s">
        <v>1706</v>
      </c>
      <c r="G850" s="33" t="s">
        <v>835</v>
      </c>
      <c r="H850" s="33" t="s">
        <v>1299</v>
      </c>
      <c r="I850" s="33" t="s">
        <v>1002</v>
      </c>
      <c r="J850" s="44">
        <v>44656</v>
      </c>
      <c r="K850" s="33" t="s">
        <v>1041</v>
      </c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F850" s="27"/>
      <c r="AG850" s="27"/>
      <c r="AH850" s="27"/>
      <c r="AI850" s="27"/>
      <c r="AJ850" s="27"/>
      <c r="AK850" s="27"/>
      <c r="AL850" s="27"/>
      <c r="AM850" s="27"/>
      <c r="AN850" s="27"/>
      <c r="AO850" s="27"/>
      <c r="AP850" s="27"/>
      <c r="AQ850" s="27"/>
      <c r="AR850" s="27"/>
      <c r="AS850" s="27"/>
      <c r="AT850" s="27"/>
      <c r="AU850" s="27"/>
    </row>
    <row r="851" spans="1:47" ht="15.75" customHeight="1">
      <c r="A851" s="44">
        <v>44651</v>
      </c>
      <c r="B851" s="53" t="s">
        <v>1707</v>
      </c>
      <c r="C851" s="33" t="s">
        <v>48</v>
      </c>
      <c r="D851" s="33" t="s">
        <v>1028</v>
      </c>
      <c r="E851" s="90">
        <v>230428.79</v>
      </c>
      <c r="F851" s="62" t="s">
        <v>1708</v>
      </c>
      <c r="G851" s="33" t="s">
        <v>904</v>
      </c>
      <c r="H851" s="33" t="s">
        <v>1273</v>
      </c>
      <c r="I851" s="33" t="s">
        <v>862</v>
      </c>
      <c r="J851" s="42">
        <v>44294</v>
      </c>
      <c r="K851" s="46" t="s">
        <v>1122</v>
      </c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F851" s="27"/>
      <c r="AG851" s="27"/>
      <c r="AH851" s="27"/>
      <c r="AI851" s="27"/>
      <c r="AJ851" s="27"/>
      <c r="AK851" s="27"/>
      <c r="AL851" s="27"/>
      <c r="AM851" s="27"/>
      <c r="AN851" s="27"/>
      <c r="AO851" s="27"/>
      <c r="AP851" s="27"/>
      <c r="AQ851" s="27"/>
      <c r="AR851" s="27"/>
      <c r="AS851" s="27"/>
      <c r="AT851" s="27"/>
      <c r="AU851" s="27"/>
    </row>
    <row r="852" spans="1:47" ht="15.75" customHeight="1">
      <c r="A852" s="44">
        <v>44651</v>
      </c>
      <c r="B852" s="40" t="s">
        <v>1709</v>
      </c>
      <c r="C852" s="33" t="s">
        <v>48</v>
      </c>
      <c r="D852" s="33" t="s">
        <v>1028</v>
      </c>
      <c r="E852" s="90">
        <v>281890.89</v>
      </c>
      <c r="F852" s="33" t="s">
        <v>1710</v>
      </c>
      <c r="G852" s="33" t="s">
        <v>835</v>
      </c>
      <c r="H852" s="33" t="s">
        <v>1299</v>
      </c>
      <c r="I852" s="33" t="s">
        <v>886</v>
      </c>
      <c r="J852" s="44">
        <v>44300</v>
      </c>
      <c r="K852" s="46" t="s">
        <v>1041</v>
      </c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F852" s="27"/>
      <c r="AG852" s="27"/>
      <c r="AH852" s="27"/>
      <c r="AI852" s="27"/>
      <c r="AJ852" s="27"/>
      <c r="AK852" s="27"/>
      <c r="AL852" s="27"/>
      <c r="AM852" s="27"/>
      <c r="AN852" s="27"/>
      <c r="AO852" s="27"/>
      <c r="AP852" s="27"/>
      <c r="AQ852" s="27"/>
      <c r="AR852" s="27"/>
      <c r="AS852" s="27"/>
      <c r="AT852" s="27"/>
      <c r="AU852" s="27"/>
    </row>
    <row r="853" spans="1:47" ht="15.75" customHeight="1">
      <c r="A853" s="44">
        <v>44651</v>
      </c>
      <c r="B853" s="57">
        <v>804771</v>
      </c>
      <c r="C853" s="10" t="s">
        <v>1027</v>
      </c>
      <c r="D853" s="33" t="s">
        <v>1062</v>
      </c>
      <c r="E853" s="90">
        <v>84500</v>
      </c>
      <c r="F853" s="33" t="s">
        <v>1117</v>
      </c>
      <c r="G853" s="33" t="s">
        <v>977</v>
      </c>
      <c r="H853" s="33" t="s">
        <v>86</v>
      </c>
      <c r="I853" s="33" t="s">
        <v>977</v>
      </c>
      <c r="J853" s="44">
        <v>43441</v>
      </c>
      <c r="K853" s="33" t="s">
        <v>1030</v>
      </c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F853" s="27"/>
      <c r="AG853" s="27"/>
      <c r="AH853" s="27"/>
      <c r="AI853" s="27"/>
      <c r="AJ853" s="27"/>
      <c r="AK853" s="27"/>
      <c r="AL853" s="27"/>
      <c r="AM853" s="27"/>
      <c r="AN853" s="27"/>
      <c r="AO853" s="27"/>
      <c r="AP853" s="27"/>
      <c r="AQ853" s="27"/>
      <c r="AR853" s="27"/>
      <c r="AS853" s="27"/>
      <c r="AT853" s="27"/>
      <c r="AU853" s="27"/>
    </row>
    <row r="854" spans="1:47" ht="15.75" customHeight="1">
      <c r="A854" s="44">
        <v>44651</v>
      </c>
      <c r="B854" s="57" t="s">
        <v>1328</v>
      </c>
      <c r="C854" s="10" t="s">
        <v>1027</v>
      </c>
      <c r="D854" s="33" t="s">
        <v>1062</v>
      </c>
      <c r="E854" s="90">
        <v>32277</v>
      </c>
      <c r="F854" s="33" t="s">
        <v>1329</v>
      </c>
      <c r="G854" s="33" t="s">
        <v>830</v>
      </c>
      <c r="H854" s="33" t="s">
        <v>86</v>
      </c>
      <c r="I854" s="33" t="s">
        <v>878</v>
      </c>
      <c r="J854" s="44">
        <v>43753</v>
      </c>
      <c r="K854" s="33" t="s">
        <v>1041</v>
      </c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F854" s="27"/>
      <c r="AG854" s="27"/>
      <c r="AH854" s="27"/>
      <c r="AI854" s="27"/>
      <c r="AJ854" s="27"/>
      <c r="AK854" s="27"/>
      <c r="AL854" s="27"/>
      <c r="AM854" s="27"/>
      <c r="AN854" s="27"/>
      <c r="AO854" s="27"/>
      <c r="AP854" s="27"/>
      <c r="AQ854" s="27"/>
      <c r="AR854" s="27"/>
      <c r="AS854" s="27"/>
      <c r="AT854" s="27"/>
      <c r="AU854" s="27"/>
    </row>
    <row r="855" spans="1:47" ht="15.75" customHeight="1">
      <c r="A855" s="44">
        <v>44652</v>
      </c>
      <c r="B855" s="57" t="s">
        <v>1304</v>
      </c>
      <c r="C855" s="10" t="s">
        <v>1027</v>
      </c>
      <c r="D855" s="33" t="s">
        <v>1028</v>
      </c>
      <c r="E855" s="90">
        <v>15091.06</v>
      </c>
      <c r="F855" s="33" t="s">
        <v>1305</v>
      </c>
      <c r="G855" s="33" t="s">
        <v>835</v>
      </c>
      <c r="H855" s="33" t="s">
        <v>1176</v>
      </c>
      <c r="I855" s="33" t="s">
        <v>971</v>
      </c>
      <c r="J855" s="44">
        <v>44322</v>
      </c>
      <c r="K855" s="44" t="s">
        <v>1041</v>
      </c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F855" s="27"/>
      <c r="AG855" s="27"/>
      <c r="AH855" s="27"/>
      <c r="AI855" s="27"/>
      <c r="AJ855" s="27"/>
      <c r="AK855" s="27"/>
      <c r="AL855" s="27"/>
      <c r="AM855" s="27"/>
      <c r="AN855" s="27"/>
      <c r="AO855" s="27"/>
      <c r="AP855" s="27"/>
      <c r="AQ855" s="27"/>
      <c r="AR855" s="27"/>
      <c r="AS855" s="27"/>
      <c r="AT855" s="27"/>
      <c r="AU855" s="27"/>
    </row>
    <row r="856" spans="1:47" ht="15.75" customHeight="1">
      <c r="A856" s="44">
        <v>44652</v>
      </c>
      <c r="B856" s="57" t="s">
        <v>1671</v>
      </c>
      <c r="C856" s="10" t="s">
        <v>48</v>
      </c>
      <c r="D856" s="33" t="s">
        <v>1037</v>
      </c>
      <c r="E856" s="90">
        <v>31400</v>
      </c>
      <c r="F856" s="33" t="s">
        <v>1672</v>
      </c>
      <c r="G856" s="33" t="s">
        <v>835</v>
      </c>
      <c r="H856" s="33" t="s">
        <v>1299</v>
      </c>
      <c r="I856" s="44" t="s">
        <v>1002</v>
      </c>
      <c r="J856" s="44">
        <v>44609</v>
      </c>
      <c r="K856" s="33" t="s">
        <v>1054</v>
      </c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F856" s="27"/>
      <c r="AG856" s="27"/>
      <c r="AH856" s="27"/>
      <c r="AI856" s="27"/>
      <c r="AJ856" s="27"/>
      <c r="AK856" s="27"/>
      <c r="AL856" s="27"/>
      <c r="AM856" s="27"/>
      <c r="AN856" s="27"/>
      <c r="AO856" s="27"/>
      <c r="AP856" s="27"/>
      <c r="AQ856" s="27"/>
      <c r="AR856" s="27"/>
      <c r="AS856" s="27"/>
      <c r="AT856" s="27"/>
      <c r="AU856" s="27"/>
    </row>
    <row r="857" spans="1:47" ht="15.75" customHeight="1">
      <c r="A857" s="44">
        <v>44655</v>
      </c>
      <c r="B857" s="57" t="s">
        <v>1174</v>
      </c>
      <c r="C857" s="10" t="s">
        <v>1027</v>
      </c>
      <c r="D857" s="33" t="s">
        <v>1037</v>
      </c>
      <c r="E857" s="90">
        <v>40000</v>
      </c>
      <c r="F857" s="10" t="s">
        <v>1711</v>
      </c>
      <c r="G857" s="33" t="s">
        <v>835</v>
      </c>
      <c r="H857" s="33" t="s">
        <v>1176</v>
      </c>
      <c r="I857" s="33" t="s">
        <v>973</v>
      </c>
      <c r="J857" s="44">
        <v>44321</v>
      </c>
      <c r="K857" s="33" t="s">
        <v>1041</v>
      </c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F857" s="27"/>
      <c r="AG857" s="27"/>
      <c r="AH857" s="27"/>
      <c r="AI857" s="27"/>
      <c r="AJ857" s="27"/>
      <c r="AK857" s="27"/>
      <c r="AL857" s="27"/>
      <c r="AM857" s="27"/>
      <c r="AN857" s="27"/>
      <c r="AO857" s="27"/>
      <c r="AP857" s="27"/>
      <c r="AQ857" s="27"/>
      <c r="AR857" s="27"/>
      <c r="AS857" s="27"/>
      <c r="AT857" s="27"/>
      <c r="AU857" s="27"/>
    </row>
    <row r="858" spans="1:47" ht="15.75" customHeight="1">
      <c r="A858" s="44">
        <v>44656</v>
      </c>
      <c r="B858" s="57" t="s">
        <v>1712</v>
      </c>
      <c r="C858" s="10" t="s">
        <v>48</v>
      </c>
      <c r="D858" s="33" t="s">
        <v>1028</v>
      </c>
      <c r="E858" s="90">
        <v>171724.96</v>
      </c>
      <c r="F858" s="33" t="s">
        <v>1713</v>
      </c>
      <c r="G858" s="33" t="s">
        <v>835</v>
      </c>
      <c r="H858" s="33" t="s">
        <v>1299</v>
      </c>
      <c r="I858" s="44" t="s">
        <v>886</v>
      </c>
      <c r="J858" s="44">
        <v>44274</v>
      </c>
      <c r="K858" s="33" t="s">
        <v>1041</v>
      </c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F858" s="27"/>
      <c r="AG858" s="27"/>
      <c r="AH858" s="27"/>
      <c r="AI858" s="27"/>
      <c r="AJ858" s="27"/>
      <c r="AK858" s="27"/>
      <c r="AL858" s="27"/>
      <c r="AM858" s="27"/>
      <c r="AN858" s="27"/>
      <c r="AO858" s="27"/>
      <c r="AP858" s="27"/>
      <c r="AQ858" s="27"/>
      <c r="AR858" s="27"/>
      <c r="AS858" s="27"/>
      <c r="AT858" s="27"/>
      <c r="AU858" s="27"/>
    </row>
    <row r="859" spans="1:47" ht="15.75" customHeight="1">
      <c r="A859" s="44">
        <v>44656</v>
      </c>
      <c r="B859" s="57" t="s">
        <v>1665</v>
      </c>
      <c r="C859" s="10" t="s">
        <v>1027</v>
      </c>
      <c r="D859" s="33" t="s">
        <v>1037</v>
      </c>
      <c r="E859" s="90">
        <v>25000</v>
      </c>
      <c r="F859" s="10" t="s">
        <v>1714</v>
      </c>
      <c r="G859" s="33" t="s">
        <v>835</v>
      </c>
      <c r="H859" s="33" t="s">
        <v>1176</v>
      </c>
      <c r="I859" s="33" t="s">
        <v>973</v>
      </c>
      <c r="J859" s="44">
        <v>44263</v>
      </c>
      <c r="K859" s="33" t="s">
        <v>1054</v>
      </c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F859" s="27"/>
      <c r="AG859" s="27"/>
      <c r="AH859" s="27"/>
      <c r="AI859" s="27"/>
      <c r="AJ859" s="27"/>
      <c r="AK859" s="27"/>
      <c r="AL859" s="27"/>
      <c r="AM859" s="27"/>
      <c r="AN859" s="27"/>
      <c r="AO859" s="27"/>
      <c r="AP859" s="27"/>
      <c r="AQ859" s="27"/>
      <c r="AR859" s="27"/>
      <c r="AS859" s="27"/>
      <c r="AT859" s="27"/>
      <c r="AU859" s="27"/>
    </row>
    <row r="860" spans="1:47" ht="15.75" customHeight="1">
      <c r="A860" s="44">
        <v>44657</v>
      </c>
      <c r="B860" s="57" t="s">
        <v>1715</v>
      </c>
      <c r="C860" s="10" t="s">
        <v>48</v>
      </c>
      <c r="D860" s="33" t="s">
        <v>1028</v>
      </c>
      <c r="E860" s="90">
        <v>221711.79</v>
      </c>
      <c r="F860" s="33" t="s">
        <v>1716</v>
      </c>
      <c r="G860" s="33" t="s">
        <v>835</v>
      </c>
      <c r="H860" s="33" t="s">
        <v>1273</v>
      </c>
      <c r="I860" s="44" t="s">
        <v>862</v>
      </c>
      <c r="J860" s="44">
        <v>44252</v>
      </c>
      <c r="K860" s="33" t="s">
        <v>1122</v>
      </c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F860" s="27"/>
      <c r="AG860" s="27"/>
      <c r="AH860" s="27"/>
      <c r="AI860" s="27"/>
      <c r="AJ860" s="27"/>
      <c r="AK860" s="27"/>
      <c r="AL860" s="27"/>
      <c r="AM860" s="27"/>
      <c r="AN860" s="27"/>
      <c r="AO860" s="27"/>
      <c r="AP860" s="27"/>
      <c r="AQ860" s="27"/>
      <c r="AR860" s="27"/>
      <c r="AS860" s="27"/>
      <c r="AT860" s="27"/>
      <c r="AU860" s="27"/>
    </row>
    <row r="861" spans="1:47" ht="15.75" customHeight="1">
      <c r="A861" s="44">
        <v>44657</v>
      </c>
      <c r="B861" s="57" t="s">
        <v>1717</v>
      </c>
      <c r="C861" s="10" t="s">
        <v>1027</v>
      </c>
      <c r="D861" s="33" t="s">
        <v>1037</v>
      </c>
      <c r="E861" s="90">
        <v>31000</v>
      </c>
      <c r="F861" s="10" t="s">
        <v>1718</v>
      </c>
      <c r="G861" s="33" t="s">
        <v>835</v>
      </c>
      <c r="H861" s="33" t="s">
        <v>1176</v>
      </c>
      <c r="I861" s="33" t="s">
        <v>971</v>
      </c>
      <c r="J861" s="44">
        <v>44382</v>
      </c>
      <c r="K861" s="33" t="s">
        <v>1122</v>
      </c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F861" s="27"/>
      <c r="AG861" s="27"/>
      <c r="AH861" s="27"/>
      <c r="AI861" s="27"/>
      <c r="AJ861" s="27"/>
      <c r="AK861" s="27"/>
      <c r="AL861" s="27"/>
      <c r="AM861" s="27"/>
      <c r="AN861" s="27"/>
      <c r="AO861" s="27"/>
      <c r="AP861" s="27"/>
      <c r="AQ861" s="27"/>
      <c r="AR861" s="27"/>
      <c r="AS861" s="27"/>
      <c r="AT861" s="27"/>
      <c r="AU861" s="27"/>
    </row>
    <row r="862" spans="1:47" ht="15.75" customHeight="1">
      <c r="A862" s="44">
        <v>44658</v>
      </c>
      <c r="B862" s="57" t="s">
        <v>1719</v>
      </c>
      <c r="C862" s="10" t="s">
        <v>1027</v>
      </c>
      <c r="D862" s="33" t="s">
        <v>1037</v>
      </c>
      <c r="E862" s="90">
        <v>105000</v>
      </c>
      <c r="F862" s="33" t="s">
        <v>1720</v>
      </c>
      <c r="G862" s="33" t="s">
        <v>835</v>
      </c>
      <c r="H862" s="33" t="s">
        <v>1176</v>
      </c>
      <c r="I862" s="44" t="s">
        <v>1020</v>
      </c>
      <c r="J862" s="44">
        <v>44677</v>
      </c>
      <c r="K862" s="33" t="s">
        <v>1179</v>
      </c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F862" s="27"/>
      <c r="AG862" s="27"/>
      <c r="AH862" s="27"/>
      <c r="AI862" s="27"/>
      <c r="AJ862" s="27"/>
      <c r="AK862" s="27"/>
      <c r="AL862" s="27"/>
      <c r="AM862" s="27"/>
      <c r="AN862" s="27"/>
      <c r="AO862" s="27"/>
      <c r="AP862" s="27"/>
      <c r="AQ862" s="27"/>
      <c r="AR862" s="27"/>
      <c r="AS862" s="27"/>
      <c r="AT862" s="27"/>
      <c r="AU862" s="27"/>
    </row>
    <row r="863" spans="1:47" ht="15.75" customHeight="1">
      <c r="A863" s="44">
        <v>44658</v>
      </c>
      <c r="B863" s="57" t="s">
        <v>1658</v>
      </c>
      <c r="C863" s="10" t="s">
        <v>48</v>
      </c>
      <c r="D863" s="33" t="s">
        <v>1037</v>
      </c>
      <c r="E863" s="90">
        <v>25000</v>
      </c>
      <c r="F863" s="33" t="s">
        <v>1659</v>
      </c>
      <c r="G863" s="33" t="s">
        <v>835</v>
      </c>
      <c r="H863" s="33" t="s">
        <v>86</v>
      </c>
      <c r="I863" s="44" t="s">
        <v>957</v>
      </c>
      <c r="J863" s="44">
        <v>44594</v>
      </c>
      <c r="K863" s="33" t="s">
        <v>1179</v>
      </c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F863" s="27"/>
      <c r="AG863" s="27"/>
      <c r="AH863" s="27"/>
      <c r="AI863" s="27"/>
      <c r="AJ863" s="27"/>
      <c r="AK863" s="27"/>
      <c r="AL863" s="27"/>
      <c r="AM863" s="27"/>
      <c r="AN863" s="27"/>
      <c r="AO863" s="27"/>
      <c r="AP863" s="27"/>
      <c r="AQ863" s="27"/>
      <c r="AR863" s="27"/>
      <c r="AS863" s="27"/>
      <c r="AT863" s="27"/>
      <c r="AU863" s="27"/>
    </row>
    <row r="864" spans="1:47" ht="15.75" customHeight="1">
      <c r="A864" s="44">
        <v>44658</v>
      </c>
      <c r="B864" s="57" t="s">
        <v>1721</v>
      </c>
      <c r="C864" s="10" t="s">
        <v>1027</v>
      </c>
      <c r="D864" s="33" t="s">
        <v>1037</v>
      </c>
      <c r="E864" s="90">
        <v>15000</v>
      </c>
      <c r="F864" s="10" t="s">
        <v>1722</v>
      </c>
      <c r="G864" s="33" t="s">
        <v>835</v>
      </c>
      <c r="H864" s="33" t="s">
        <v>1176</v>
      </c>
      <c r="I864" s="33" t="s">
        <v>971</v>
      </c>
      <c r="J864" s="44">
        <v>44602</v>
      </c>
      <c r="K864" s="33" t="s">
        <v>1041</v>
      </c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F864" s="27"/>
      <c r="AG864" s="27"/>
      <c r="AH864" s="27"/>
      <c r="AI864" s="27"/>
      <c r="AJ864" s="27"/>
      <c r="AK864" s="27"/>
      <c r="AL864" s="27"/>
      <c r="AM864" s="27"/>
      <c r="AN864" s="27"/>
      <c r="AO864" s="27"/>
      <c r="AP864" s="27"/>
      <c r="AQ864" s="27"/>
      <c r="AR864" s="27"/>
      <c r="AS864" s="27"/>
      <c r="AT864" s="27"/>
      <c r="AU864" s="27"/>
    </row>
    <row r="865" spans="1:47" ht="15.75" customHeight="1">
      <c r="A865" s="44">
        <v>44658</v>
      </c>
      <c r="B865" s="57" t="s">
        <v>1300</v>
      </c>
      <c r="C865" s="10" t="s">
        <v>1027</v>
      </c>
      <c r="D865" s="33" t="s">
        <v>1037</v>
      </c>
      <c r="E865" s="90">
        <v>24500</v>
      </c>
      <c r="F865" s="10" t="s">
        <v>1723</v>
      </c>
      <c r="G865" s="33" t="s">
        <v>835</v>
      </c>
      <c r="H865" s="33" t="s">
        <v>1176</v>
      </c>
      <c r="I865" s="33" t="s">
        <v>971</v>
      </c>
      <c r="J865" s="44">
        <v>44439</v>
      </c>
      <c r="K865" s="33" t="s">
        <v>1054</v>
      </c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F865" s="27"/>
      <c r="AG865" s="27"/>
      <c r="AH865" s="27"/>
      <c r="AI865" s="27"/>
      <c r="AJ865" s="27"/>
      <c r="AK865" s="27"/>
      <c r="AL865" s="27"/>
      <c r="AM865" s="27"/>
      <c r="AN865" s="27"/>
      <c r="AO865" s="27"/>
      <c r="AP865" s="27"/>
      <c r="AQ865" s="27"/>
      <c r="AR865" s="27"/>
      <c r="AS865" s="27"/>
      <c r="AT865" s="27"/>
      <c r="AU865" s="27"/>
    </row>
    <row r="866" spans="1:47" ht="15.75" customHeight="1">
      <c r="A866" s="45">
        <v>44658</v>
      </c>
      <c r="B866" s="51" t="s">
        <v>1724</v>
      </c>
      <c r="C866" s="46" t="s">
        <v>1027</v>
      </c>
      <c r="D866" s="33" t="s">
        <v>1028</v>
      </c>
      <c r="E866" s="98" t="s">
        <v>1725</v>
      </c>
      <c r="F866" s="33" t="s">
        <v>1726</v>
      </c>
      <c r="G866" s="44" t="s">
        <v>835</v>
      </c>
      <c r="H866" s="44" t="s">
        <v>1176</v>
      </c>
      <c r="I866" s="44" t="s">
        <v>971</v>
      </c>
      <c r="J866" s="44">
        <v>44440</v>
      </c>
      <c r="K866" s="44" t="s">
        <v>1041</v>
      </c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F866" s="27"/>
      <c r="AG866" s="27"/>
      <c r="AH866" s="27"/>
      <c r="AI866" s="27"/>
      <c r="AJ866" s="27"/>
      <c r="AK866" s="27"/>
      <c r="AL866" s="27"/>
      <c r="AM866" s="27"/>
      <c r="AN866" s="27"/>
      <c r="AO866" s="27"/>
      <c r="AP866" s="27"/>
      <c r="AQ866" s="27"/>
      <c r="AR866" s="27"/>
      <c r="AS866" s="27"/>
      <c r="AT866" s="27"/>
      <c r="AU866" s="27"/>
    </row>
    <row r="867" spans="1:47" ht="15.75" customHeight="1">
      <c r="A867" s="44">
        <v>44659</v>
      </c>
      <c r="B867" s="57" t="s">
        <v>1727</v>
      </c>
      <c r="C867" s="10" t="s">
        <v>48</v>
      </c>
      <c r="D867" s="33" t="s">
        <v>1028</v>
      </c>
      <c r="E867" s="90">
        <v>2966054.05</v>
      </c>
      <c r="F867" s="33" t="s">
        <v>1474</v>
      </c>
      <c r="G867" s="33" t="s">
        <v>835</v>
      </c>
      <c r="H867" s="33" t="s">
        <v>1273</v>
      </c>
      <c r="I867" s="44" t="s">
        <v>862</v>
      </c>
      <c r="J867" s="44">
        <v>44426</v>
      </c>
      <c r="K867" s="33" t="s">
        <v>1728</v>
      </c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F867" s="27"/>
      <c r="AG867" s="27"/>
      <c r="AH867" s="27"/>
      <c r="AI867" s="27"/>
      <c r="AJ867" s="27"/>
      <c r="AK867" s="27"/>
      <c r="AL867" s="27"/>
      <c r="AM867" s="27"/>
      <c r="AN867" s="27"/>
      <c r="AO867" s="27"/>
      <c r="AP867" s="27"/>
      <c r="AQ867" s="27"/>
      <c r="AR867" s="27"/>
      <c r="AS867" s="27"/>
      <c r="AT867" s="27"/>
      <c r="AU867" s="27"/>
    </row>
    <row r="868" spans="1:47" ht="15.75" customHeight="1">
      <c r="A868" s="44">
        <v>44659</v>
      </c>
      <c r="B868" s="57" t="s">
        <v>1473</v>
      </c>
      <c r="C868" s="10" t="s">
        <v>48</v>
      </c>
      <c r="D868" s="33" t="s">
        <v>1028</v>
      </c>
      <c r="E868" s="90">
        <v>2132.5500000000002</v>
      </c>
      <c r="F868" s="33" t="s">
        <v>1474</v>
      </c>
      <c r="G868" s="33" t="s">
        <v>835</v>
      </c>
      <c r="H868" s="33" t="s">
        <v>1273</v>
      </c>
      <c r="I868" s="44" t="s">
        <v>862</v>
      </c>
      <c r="J868" s="44">
        <v>44204</v>
      </c>
      <c r="K868" s="33" t="s">
        <v>1340</v>
      </c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F868" s="27"/>
      <c r="AG868" s="27"/>
      <c r="AH868" s="27"/>
      <c r="AI868" s="27"/>
      <c r="AJ868" s="27"/>
      <c r="AK868" s="27"/>
      <c r="AL868" s="27"/>
      <c r="AM868" s="27"/>
      <c r="AN868" s="27"/>
      <c r="AO868" s="27"/>
      <c r="AP868" s="27"/>
      <c r="AQ868" s="27"/>
      <c r="AR868" s="27"/>
      <c r="AS868" s="27"/>
      <c r="AT868" s="27"/>
      <c r="AU868" s="27"/>
    </row>
    <row r="869" spans="1:47" ht="15.75" customHeight="1">
      <c r="A869" s="44">
        <v>44659</v>
      </c>
      <c r="B869" s="57" t="s">
        <v>1320</v>
      </c>
      <c r="C869" s="10" t="s">
        <v>48</v>
      </c>
      <c r="D869" s="33" t="s">
        <v>1028</v>
      </c>
      <c r="E869" s="90">
        <v>2832.67</v>
      </c>
      <c r="F869" s="33" t="s">
        <v>1321</v>
      </c>
      <c r="G869" s="33" t="s">
        <v>835</v>
      </c>
      <c r="H869" s="33" t="s">
        <v>1273</v>
      </c>
      <c r="I869" s="44" t="s">
        <v>862</v>
      </c>
      <c r="J869" s="44">
        <v>44298</v>
      </c>
      <c r="K869" s="33" t="s">
        <v>1054</v>
      </c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F869" s="27"/>
      <c r="AG869" s="27"/>
      <c r="AH869" s="27"/>
      <c r="AI869" s="27"/>
      <c r="AJ869" s="27"/>
      <c r="AK869" s="27"/>
      <c r="AL869" s="27"/>
      <c r="AM869" s="27"/>
      <c r="AN869" s="27"/>
      <c r="AO869" s="27"/>
      <c r="AP869" s="27"/>
      <c r="AQ869" s="27"/>
      <c r="AR869" s="27"/>
      <c r="AS869" s="27"/>
      <c r="AT869" s="27"/>
      <c r="AU869" s="27"/>
    </row>
    <row r="870" spans="1:47" ht="15.75" customHeight="1">
      <c r="A870" s="44">
        <v>44659</v>
      </c>
      <c r="B870" s="57" t="s">
        <v>1729</v>
      </c>
      <c r="C870" s="10" t="s">
        <v>48</v>
      </c>
      <c r="D870" s="33" t="s">
        <v>1028</v>
      </c>
      <c r="E870" s="90">
        <v>815208.64</v>
      </c>
      <c r="F870" s="33" t="s">
        <v>1730</v>
      </c>
      <c r="G870" s="33" t="s">
        <v>835</v>
      </c>
      <c r="H870" s="33" t="s">
        <v>1299</v>
      </c>
      <c r="I870" s="44" t="s">
        <v>862</v>
      </c>
      <c r="J870" s="44">
        <v>44445</v>
      </c>
      <c r="K870" s="33" t="s">
        <v>1728</v>
      </c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F870" s="27"/>
      <c r="AG870" s="27"/>
      <c r="AH870" s="27"/>
      <c r="AI870" s="27"/>
      <c r="AJ870" s="27"/>
      <c r="AK870" s="27"/>
      <c r="AL870" s="27"/>
      <c r="AM870" s="27"/>
      <c r="AN870" s="27"/>
      <c r="AO870" s="27"/>
      <c r="AP870" s="27"/>
      <c r="AQ870" s="27"/>
      <c r="AR870" s="27"/>
      <c r="AS870" s="27"/>
      <c r="AT870" s="27"/>
      <c r="AU870" s="27"/>
    </row>
    <row r="871" spans="1:47" ht="15.75" customHeight="1">
      <c r="A871" s="44">
        <v>44662</v>
      </c>
      <c r="B871" s="57" t="s">
        <v>1164</v>
      </c>
      <c r="C871" s="10" t="s">
        <v>1076</v>
      </c>
      <c r="D871" s="33" t="s">
        <v>1037</v>
      </c>
      <c r="E871" s="90">
        <v>3000</v>
      </c>
      <c r="F871" s="33" t="s">
        <v>1165</v>
      </c>
      <c r="G871" s="33" t="s">
        <v>835</v>
      </c>
      <c r="H871" s="33" t="s">
        <v>835</v>
      </c>
      <c r="I871" s="44" t="s">
        <v>851</v>
      </c>
      <c r="J871" s="44">
        <v>44062</v>
      </c>
      <c r="K871" s="33" t="s">
        <v>1041</v>
      </c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F871" s="27"/>
      <c r="AG871" s="27"/>
      <c r="AH871" s="27"/>
      <c r="AI871" s="27"/>
      <c r="AJ871" s="27"/>
      <c r="AK871" s="27"/>
      <c r="AL871" s="27"/>
      <c r="AM871" s="27"/>
      <c r="AN871" s="27"/>
      <c r="AO871" s="27"/>
      <c r="AP871" s="27"/>
      <c r="AQ871" s="27"/>
      <c r="AR871" s="27"/>
      <c r="AS871" s="27"/>
      <c r="AT871" s="27"/>
      <c r="AU871" s="27"/>
    </row>
    <row r="872" spans="1:47" ht="15.75" customHeight="1">
      <c r="A872" s="44">
        <v>44662</v>
      </c>
      <c r="B872" s="57" t="s">
        <v>1679</v>
      </c>
      <c r="C872" s="10" t="s">
        <v>1027</v>
      </c>
      <c r="D872" s="33" t="s">
        <v>1062</v>
      </c>
      <c r="E872" s="90">
        <v>119000</v>
      </c>
      <c r="F872" s="10" t="s">
        <v>1680</v>
      </c>
      <c r="G872" s="33" t="s">
        <v>835</v>
      </c>
      <c r="H872" s="33" t="s">
        <v>1176</v>
      </c>
      <c r="I872" s="33" t="s">
        <v>975</v>
      </c>
      <c r="J872" s="44">
        <v>44199</v>
      </c>
      <c r="K872" s="44" t="s">
        <v>1054</v>
      </c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F872" s="27"/>
      <c r="AG872" s="27"/>
      <c r="AH872" s="27"/>
      <c r="AI872" s="27"/>
      <c r="AJ872" s="27"/>
      <c r="AK872" s="27"/>
      <c r="AL872" s="27"/>
      <c r="AM872" s="27"/>
      <c r="AN872" s="27"/>
      <c r="AO872" s="27"/>
      <c r="AP872" s="27"/>
      <c r="AQ872" s="27"/>
      <c r="AR872" s="27"/>
      <c r="AS872" s="27"/>
      <c r="AT872" s="27"/>
      <c r="AU872" s="27"/>
    </row>
    <row r="873" spans="1:47" ht="15.75" customHeight="1">
      <c r="A873" s="44">
        <v>44663</v>
      </c>
      <c r="B873" s="57" t="s">
        <v>1731</v>
      </c>
      <c r="C873" s="10" t="s">
        <v>48</v>
      </c>
      <c r="D873" s="33" t="s">
        <v>1037</v>
      </c>
      <c r="E873" s="90">
        <v>50000</v>
      </c>
      <c r="F873" s="10" t="s">
        <v>1732</v>
      </c>
      <c r="G873" s="33" t="s">
        <v>835</v>
      </c>
      <c r="H873" s="33" t="s">
        <v>1299</v>
      </c>
      <c r="I873" s="33" t="s">
        <v>1002</v>
      </c>
      <c r="J873" s="44">
        <v>44614</v>
      </c>
      <c r="K873" s="33" t="s">
        <v>1041</v>
      </c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F873" s="27"/>
      <c r="AG873" s="27"/>
      <c r="AH873" s="27"/>
      <c r="AI873" s="27"/>
      <c r="AJ873" s="27"/>
      <c r="AK873" s="27"/>
      <c r="AL873" s="27"/>
      <c r="AM873" s="27"/>
      <c r="AN873" s="27"/>
      <c r="AO873" s="27"/>
      <c r="AP873" s="27"/>
      <c r="AQ873" s="27"/>
      <c r="AR873" s="27"/>
      <c r="AS873" s="27"/>
      <c r="AT873" s="27"/>
      <c r="AU873" s="27"/>
    </row>
    <row r="874" spans="1:47" ht="15.75" customHeight="1">
      <c r="A874" s="44">
        <v>44663</v>
      </c>
      <c r="B874" s="57" t="s">
        <v>1733</v>
      </c>
      <c r="C874" s="10" t="s">
        <v>1027</v>
      </c>
      <c r="D874" s="33" t="s">
        <v>1037</v>
      </c>
      <c r="E874" s="90">
        <v>33000</v>
      </c>
      <c r="F874" s="10" t="s">
        <v>1734</v>
      </c>
      <c r="G874" s="33" t="s">
        <v>835</v>
      </c>
      <c r="H874" s="33" t="s">
        <v>1176</v>
      </c>
      <c r="I874" s="33" t="s">
        <v>971</v>
      </c>
      <c r="J874" s="44">
        <v>44615</v>
      </c>
      <c r="K874" s="33" t="s">
        <v>1054</v>
      </c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F874" s="27"/>
      <c r="AG874" s="27"/>
      <c r="AH874" s="27"/>
      <c r="AI874" s="27"/>
      <c r="AJ874" s="27"/>
      <c r="AK874" s="27"/>
      <c r="AL874" s="27"/>
      <c r="AM874" s="27"/>
      <c r="AN874" s="27"/>
      <c r="AO874" s="27"/>
      <c r="AP874" s="27"/>
      <c r="AQ874" s="27"/>
      <c r="AR874" s="27"/>
      <c r="AS874" s="27"/>
      <c r="AT874" s="27"/>
      <c r="AU874" s="27"/>
    </row>
    <row r="875" spans="1:47" ht="15.75" customHeight="1">
      <c r="A875" s="44">
        <v>44663</v>
      </c>
      <c r="B875" s="57" t="s">
        <v>1735</v>
      </c>
      <c r="C875" s="10" t="s">
        <v>48</v>
      </c>
      <c r="D875" s="33" t="s">
        <v>1037</v>
      </c>
      <c r="E875" s="90">
        <v>129700</v>
      </c>
      <c r="F875" s="10" t="s">
        <v>1736</v>
      </c>
      <c r="G875" s="33" t="s">
        <v>904</v>
      </c>
      <c r="H875" s="33" t="s">
        <v>86</v>
      </c>
      <c r="I875" s="33" t="s">
        <v>843</v>
      </c>
      <c r="J875" s="44">
        <v>44320</v>
      </c>
      <c r="K875" s="33" t="s">
        <v>1122</v>
      </c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F875" s="27"/>
      <c r="AG875" s="27"/>
      <c r="AH875" s="27"/>
      <c r="AI875" s="27"/>
      <c r="AJ875" s="27"/>
      <c r="AK875" s="27"/>
      <c r="AL875" s="27"/>
      <c r="AM875" s="27"/>
      <c r="AN875" s="27"/>
      <c r="AO875" s="27"/>
      <c r="AP875" s="27"/>
      <c r="AQ875" s="27"/>
      <c r="AR875" s="27"/>
      <c r="AS875" s="27"/>
      <c r="AT875" s="27"/>
      <c r="AU875" s="27"/>
    </row>
    <row r="876" spans="1:47" ht="15.75" customHeight="1">
      <c r="A876" s="44">
        <v>44663</v>
      </c>
      <c r="B876" s="57" t="s">
        <v>1048</v>
      </c>
      <c r="C876" s="10" t="s">
        <v>1027</v>
      </c>
      <c r="D876" s="33" t="s">
        <v>1037</v>
      </c>
      <c r="E876" s="90">
        <v>6000</v>
      </c>
      <c r="F876" s="10" t="s">
        <v>1049</v>
      </c>
      <c r="G876" s="33" t="s">
        <v>830</v>
      </c>
      <c r="H876" s="33" t="s">
        <v>86</v>
      </c>
      <c r="I876" s="33" t="s">
        <v>878</v>
      </c>
      <c r="J876" s="44">
        <v>43703</v>
      </c>
      <c r="K876" s="44" t="s">
        <v>1033</v>
      </c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F876" s="27"/>
      <c r="AG876" s="27"/>
      <c r="AH876" s="27"/>
      <c r="AI876" s="27"/>
      <c r="AJ876" s="27"/>
      <c r="AK876" s="27"/>
      <c r="AL876" s="27"/>
      <c r="AM876" s="27"/>
      <c r="AN876" s="27"/>
      <c r="AO876" s="27"/>
      <c r="AP876" s="27"/>
      <c r="AQ876" s="27"/>
      <c r="AR876" s="27"/>
      <c r="AS876" s="27"/>
      <c r="AT876" s="27"/>
      <c r="AU876" s="27"/>
    </row>
    <row r="877" spans="1:47" ht="15.75" customHeight="1">
      <c r="A877" s="44">
        <v>44665</v>
      </c>
      <c r="B877" s="57" t="s">
        <v>1737</v>
      </c>
      <c r="C877" s="10" t="s">
        <v>48</v>
      </c>
      <c r="D877" s="33" t="s">
        <v>1028</v>
      </c>
      <c r="E877" s="90">
        <v>66169.95</v>
      </c>
      <c r="F877" s="33" t="s">
        <v>1738</v>
      </c>
      <c r="G877" s="33" t="s">
        <v>835</v>
      </c>
      <c r="H877" s="33" t="s">
        <v>1299</v>
      </c>
      <c r="I877" s="44" t="s">
        <v>886</v>
      </c>
      <c r="J877" s="44">
        <v>44547</v>
      </c>
      <c r="K877" s="33" t="s">
        <v>1030</v>
      </c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F877" s="27"/>
      <c r="AG877" s="27"/>
      <c r="AH877" s="27"/>
      <c r="AI877" s="27"/>
      <c r="AJ877" s="27"/>
      <c r="AK877" s="27"/>
      <c r="AL877" s="27"/>
      <c r="AM877" s="27"/>
      <c r="AN877" s="27"/>
      <c r="AO877" s="27"/>
      <c r="AP877" s="27"/>
      <c r="AQ877" s="27"/>
      <c r="AR877" s="27"/>
      <c r="AS877" s="27"/>
      <c r="AT877" s="27"/>
      <c r="AU877" s="27"/>
    </row>
    <row r="878" spans="1:47" ht="15.75" customHeight="1">
      <c r="A878" s="44">
        <v>44669</v>
      </c>
      <c r="B878" s="57" t="s">
        <v>1739</v>
      </c>
      <c r="C878" s="10" t="s">
        <v>48</v>
      </c>
      <c r="D878" s="33" t="s">
        <v>1028</v>
      </c>
      <c r="E878" s="90">
        <v>154271.19</v>
      </c>
      <c r="F878" s="33" t="s">
        <v>1740</v>
      </c>
      <c r="G878" s="33" t="s">
        <v>835</v>
      </c>
      <c r="H878" s="33" t="s">
        <v>86</v>
      </c>
      <c r="I878" s="44" t="s">
        <v>894</v>
      </c>
      <c r="J878" s="44">
        <v>44389</v>
      </c>
      <c r="K878" s="33" t="s">
        <v>1122</v>
      </c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F878" s="27"/>
      <c r="AG878" s="27"/>
      <c r="AH878" s="27"/>
      <c r="AI878" s="27"/>
      <c r="AJ878" s="27"/>
      <c r="AK878" s="27"/>
      <c r="AL878" s="27"/>
      <c r="AM878" s="27"/>
      <c r="AN878" s="27"/>
      <c r="AO878" s="27"/>
      <c r="AP878" s="27"/>
      <c r="AQ878" s="27"/>
      <c r="AR878" s="27"/>
      <c r="AS878" s="27"/>
      <c r="AT878" s="27"/>
      <c r="AU878" s="27"/>
    </row>
    <row r="879" spans="1:47" ht="15.75" customHeight="1">
      <c r="A879" s="44">
        <v>44669</v>
      </c>
      <c r="B879" s="57" t="s">
        <v>1741</v>
      </c>
      <c r="C879" s="10" t="s">
        <v>48</v>
      </c>
      <c r="D879" s="33" t="s">
        <v>1037</v>
      </c>
      <c r="E879" s="90">
        <v>20000</v>
      </c>
      <c r="F879" s="33" t="s">
        <v>834</v>
      </c>
      <c r="G879" s="33" t="s">
        <v>835</v>
      </c>
      <c r="H879" s="33" t="s">
        <v>86</v>
      </c>
      <c r="I879" s="44" t="s">
        <v>836</v>
      </c>
      <c r="J879" s="44">
        <v>44424</v>
      </c>
      <c r="K879" s="33" t="s">
        <v>1054</v>
      </c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F879" s="27"/>
      <c r="AG879" s="27"/>
      <c r="AH879" s="27"/>
      <c r="AI879" s="27"/>
      <c r="AJ879" s="27"/>
      <c r="AK879" s="27"/>
      <c r="AL879" s="27"/>
      <c r="AM879" s="27"/>
      <c r="AN879" s="27"/>
      <c r="AO879" s="27"/>
      <c r="AP879" s="27"/>
      <c r="AQ879" s="27"/>
      <c r="AR879" s="27"/>
      <c r="AS879" s="27"/>
      <c r="AT879" s="27"/>
      <c r="AU879" s="27"/>
    </row>
    <row r="880" spans="1:47" ht="15.75" customHeight="1">
      <c r="A880" s="44">
        <v>44669</v>
      </c>
      <c r="B880" s="57" t="s">
        <v>1183</v>
      </c>
      <c r="C880" s="10" t="s">
        <v>48</v>
      </c>
      <c r="D880" s="33" t="s">
        <v>1037</v>
      </c>
      <c r="E880" s="90">
        <v>25000</v>
      </c>
      <c r="F880" s="33" t="s">
        <v>1184</v>
      </c>
      <c r="G880" s="33" t="s">
        <v>904</v>
      </c>
      <c r="H880" s="33" t="s">
        <v>86</v>
      </c>
      <c r="I880" s="44" t="s">
        <v>912</v>
      </c>
      <c r="J880" s="44">
        <v>44263</v>
      </c>
      <c r="K880" s="33" t="s">
        <v>1041</v>
      </c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F880" s="27"/>
      <c r="AG880" s="27"/>
      <c r="AH880" s="27"/>
      <c r="AI880" s="27"/>
      <c r="AJ880" s="27"/>
      <c r="AK880" s="27"/>
      <c r="AL880" s="27"/>
      <c r="AM880" s="27"/>
      <c r="AN880" s="27"/>
      <c r="AO880" s="27"/>
      <c r="AP880" s="27"/>
      <c r="AQ880" s="27"/>
      <c r="AR880" s="27"/>
      <c r="AS880" s="27"/>
      <c r="AT880" s="27"/>
      <c r="AU880" s="27"/>
    </row>
    <row r="881" spans="1:47" ht="15.75" customHeight="1">
      <c r="A881" s="44">
        <v>44669</v>
      </c>
      <c r="B881" s="57" t="s">
        <v>1705</v>
      </c>
      <c r="C881" s="10" t="s">
        <v>48</v>
      </c>
      <c r="D881" s="33" t="s">
        <v>1037</v>
      </c>
      <c r="E881" s="90">
        <v>10000</v>
      </c>
      <c r="F881" s="10" t="s">
        <v>1706</v>
      </c>
      <c r="G881" s="33" t="s">
        <v>835</v>
      </c>
      <c r="H881" s="33" t="s">
        <v>1299</v>
      </c>
      <c r="I881" s="33" t="s">
        <v>1002</v>
      </c>
      <c r="J881" s="44">
        <v>44656</v>
      </c>
      <c r="K881" s="33" t="s">
        <v>1041</v>
      </c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F881" s="27"/>
      <c r="AG881" s="27"/>
      <c r="AH881" s="27"/>
      <c r="AI881" s="27"/>
      <c r="AJ881" s="27"/>
      <c r="AK881" s="27"/>
      <c r="AL881" s="27"/>
      <c r="AM881" s="27"/>
      <c r="AN881" s="27"/>
      <c r="AO881" s="27"/>
      <c r="AP881" s="27"/>
      <c r="AQ881" s="27"/>
      <c r="AR881" s="27"/>
      <c r="AS881" s="27"/>
      <c r="AT881" s="27"/>
      <c r="AU881" s="27"/>
    </row>
    <row r="882" spans="1:47" ht="15.75" customHeight="1">
      <c r="A882" s="44">
        <v>44669</v>
      </c>
      <c r="B882" s="57">
        <v>7542389</v>
      </c>
      <c r="C882" s="10" t="s">
        <v>48</v>
      </c>
      <c r="D882" s="33" t="s">
        <v>1037</v>
      </c>
      <c r="E882" s="90">
        <v>1000</v>
      </c>
      <c r="F882" s="10" t="s">
        <v>1742</v>
      </c>
      <c r="G882" s="33" t="s">
        <v>904</v>
      </c>
      <c r="H882" s="33" t="s">
        <v>86</v>
      </c>
      <c r="I882" s="33" t="s">
        <v>853</v>
      </c>
      <c r="J882" s="44">
        <v>44579</v>
      </c>
      <c r="K882" s="33" t="s">
        <v>1743</v>
      </c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F882" s="27"/>
      <c r="AG882" s="27"/>
      <c r="AH882" s="27"/>
      <c r="AI882" s="27"/>
      <c r="AJ882" s="27"/>
      <c r="AK882" s="27"/>
      <c r="AL882" s="27"/>
      <c r="AM882" s="27"/>
      <c r="AN882" s="27"/>
      <c r="AO882" s="27"/>
      <c r="AP882" s="27"/>
      <c r="AQ882" s="27"/>
      <c r="AR882" s="27"/>
      <c r="AS882" s="27"/>
      <c r="AT882" s="27"/>
      <c r="AU882" s="27"/>
    </row>
    <row r="883" spans="1:47" ht="15.75" customHeight="1">
      <c r="A883" s="44">
        <v>44669</v>
      </c>
      <c r="B883" s="57" t="s">
        <v>1240</v>
      </c>
      <c r="C883" s="10" t="s">
        <v>48</v>
      </c>
      <c r="D883" s="33" t="s">
        <v>1037</v>
      </c>
      <c r="E883" s="90">
        <v>5000</v>
      </c>
      <c r="F883" s="10" t="s">
        <v>1241</v>
      </c>
      <c r="G883" s="33" t="s">
        <v>904</v>
      </c>
      <c r="H883" s="33" t="s">
        <v>86</v>
      </c>
      <c r="I883" s="33" t="s">
        <v>935</v>
      </c>
      <c r="J883" s="44">
        <v>44180</v>
      </c>
      <c r="K883" s="33" t="s">
        <v>1041</v>
      </c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F883" s="27"/>
      <c r="AG883" s="27"/>
      <c r="AH883" s="27"/>
      <c r="AI883" s="27"/>
      <c r="AJ883" s="27"/>
      <c r="AK883" s="27"/>
      <c r="AL883" s="27"/>
      <c r="AM883" s="27"/>
      <c r="AN883" s="27"/>
      <c r="AO883" s="27"/>
      <c r="AP883" s="27"/>
      <c r="AQ883" s="27"/>
      <c r="AR883" s="27"/>
      <c r="AS883" s="27"/>
      <c r="AT883" s="27"/>
      <c r="AU883" s="27"/>
    </row>
    <row r="884" spans="1:47" ht="15.75" customHeight="1">
      <c r="A884" s="44">
        <v>44670</v>
      </c>
      <c r="B884" s="57" t="s">
        <v>1648</v>
      </c>
      <c r="C884" s="10" t="s">
        <v>1027</v>
      </c>
      <c r="D884" s="33" t="s">
        <v>1037</v>
      </c>
      <c r="E884" s="90">
        <v>62000</v>
      </c>
      <c r="F884" s="10" t="s">
        <v>1744</v>
      </c>
      <c r="G884" s="33" t="s">
        <v>830</v>
      </c>
      <c r="H884" s="33" t="s">
        <v>86</v>
      </c>
      <c r="I884" s="33" t="s">
        <v>878</v>
      </c>
      <c r="J884" s="44">
        <v>43811</v>
      </c>
      <c r="K884" s="33" t="s">
        <v>1054</v>
      </c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F884" s="27"/>
      <c r="AG884" s="27"/>
      <c r="AH884" s="27"/>
      <c r="AI884" s="27"/>
      <c r="AJ884" s="27"/>
      <c r="AK884" s="27"/>
      <c r="AL884" s="27"/>
      <c r="AM884" s="27"/>
      <c r="AN884" s="27"/>
      <c r="AO884" s="27"/>
      <c r="AP884" s="27"/>
      <c r="AQ884" s="27"/>
      <c r="AR884" s="27"/>
      <c r="AS884" s="27"/>
      <c r="AT884" s="27"/>
      <c r="AU884" s="27"/>
    </row>
    <row r="885" spans="1:47" ht="15.75" customHeight="1">
      <c r="A885" s="44">
        <v>44671</v>
      </c>
      <c r="B885" s="57" t="s">
        <v>1745</v>
      </c>
      <c r="C885" s="10" t="s">
        <v>48</v>
      </c>
      <c r="D885" s="33" t="s">
        <v>1062</v>
      </c>
      <c r="E885" s="90">
        <v>581895.17000000004</v>
      </c>
      <c r="F885" s="10" t="s">
        <v>1746</v>
      </c>
      <c r="G885" s="33" t="s">
        <v>835</v>
      </c>
      <c r="H885" s="33" t="s">
        <v>1299</v>
      </c>
      <c r="I885" s="33" t="s">
        <v>841</v>
      </c>
      <c r="J885" s="44">
        <v>44084</v>
      </c>
      <c r="K885" s="33" t="s">
        <v>1030</v>
      </c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F885" s="27"/>
      <c r="AG885" s="27"/>
      <c r="AH885" s="27"/>
      <c r="AI885" s="27"/>
      <c r="AJ885" s="27"/>
      <c r="AK885" s="27"/>
      <c r="AL885" s="27"/>
      <c r="AM885" s="27"/>
      <c r="AN885" s="27"/>
      <c r="AO885" s="27"/>
      <c r="AP885" s="27"/>
      <c r="AQ885" s="27"/>
      <c r="AR885" s="27"/>
      <c r="AS885" s="27"/>
      <c r="AT885" s="27"/>
      <c r="AU885" s="27"/>
    </row>
    <row r="886" spans="1:47" ht="15.75" customHeight="1">
      <c r="A886" s="44">
        <v>44671</v>
      </c>
      <c r="B886" s="57" t="s">
        <v>1747</v>
      </c>
      <c r="C886" s="10" t="s">
        <v>48</v>
      </c>
      <c r="D886" s="33" t="s">
        <v>1037</v>
      </c>
      <c r="E886" s="90">
        <v>10000</v>
      </c>
      <c r="F886" s="10" t="s">
        <v>1748</v>
      </c>
      <c r="G886" s="33" t="s">
        <v>835</v>
      </c>
      <c r="H886" s="33" t="s">
        <v>1299</v>
      </c>
      <c r="I886" s="33" t="s">
        <v>963</v>
      </c>
      <c r="J886" s="44">
        <v>44645</v>
      </c>
      <c r="K886" s="33" t="s">
        <v>1179</v>
      </c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F886" s="27"/>
      <c r="AG886" s="27"/>
      <c r="AH886" s="27"/>
      <c r="AI886" s="27"/>
      <c r="AJ886" s="27"/>
      <c r="AK886" s="27"/>
      <c r="AL886" s="27"/>
      <c r="AM886" s="27"/>
      <c r="AN886" s="27"/>
      <c r="AO886" s="27"/>
      <c r="AP886" s="27"/>
      <c r="AQ886" s="27"/>
      <c r="AR886" s="27"/>
      <c r="AS886" s="27"/>
      <c r="AT886" s="27"/>
      <c r="AU886" s="27"/>
    </row>
    <row r="887" spans="1:47" ht="15.75" customHeight="1">
      <c r="A887" s="44">
        <v>44671</v>
      </c>
      <c r="B887" s="57" t="s">
        <v>1308</v>
      </c>
      <c r="C887" s="10" t="s">
        <v>1027</v>
      </c>
      <c r="D887" s="33" t="s">
        <v>1037</v>
      </c>
      <c r="E887" s="90">
        <v>15000</v>
      </c>
      <c r="F887" s="10" t="s">
        <v>1749</v>
      </c>
      <c r="G887" s="33" t="s">
        <v>835</v>
      </c>
      <c r="H887" s="33" t="s">
        <v>1176</v>
      </c>
      <c r="I887" s="33" t="s">
        <v>971</v>
      </c>
      <c r="J887" s="44">
        <v>44319</v>
      </c>
      <c r="K887" s="33" t="s">
        <v>1041</v>
      </c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F887" s="27"/>
      <c r="AG887" s="27"/>
      <c r="AH887" s="27"/>
      <c r="AI887" s="27"/>
      <c r="AJ887" s="27"/>
      <c r="AK887" s="27"/>
      <c r="AL887" s="27"/>
      <c r="AM887" s="27"/>
      <c r="AN887" s="27"/>
      <c r="AO887" s="27"/>
      <c r="AP887" s="27"/>
      <c r="AQ887" s="27"/>
      <c r="AR887" s="27"/>
      <c r="AS887" s="27"/>
      <c r="AT887" s="27"/>
      <c r="AU887" s="27"/>
    </row>
    <row r="888" spans="1:47" ht="15.75" customHeight="1">
      <c r="A888" s="44">
        <v>44671</v>
      </c>
      <c r="B888" s="57" t="s">
        <v>1398</v>
      </c>
      <c r="C888" s="10" t="s">
        <v>1027</v>
      </c>
      <c r="D888" s="33" t="s">
        <v>1037</v>
      </c>
      <c r="E888" s="90">
        <v>911.9</v>
      </c>
      <c r="F888" s="10" t="s">
        <v>1399</v>
      </c>
      <c r="G888" s="33" t="s">
        <v>835</v>
      </c>
      <c r="H888" s="33" t="s">
        <v>1176</v>
      </c>
      <c r="I888" s="33" t="s">
        <v>973</v>
      </c>
      <c r="J888" s="44">
        <v>44280</v>
      </c>
      <c r="K888" s="33" t="s">
        <v>1041</v>
      </c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F888" s="27"/>
      <c r="AG888" s="27"/>
      <c r="AH888" s="27"/>
      <c r="AI888" s="27"/>
      <c r="AJ888" s="27"/>
      <c r="AK888" s="27"/>
      <c r="AL888" s="27"/>
      <c r="AM888" s="27"/>
      <c r="AN888" s="27"/>
      <c r="AO888" s="27"/>
      <c r="AP888" s="27"/>
      <c r="AQ888" s="27"/>
      <c r="AR888" s="27"/>
      <c r="AS888" s="27"/>
      <c r="AT888" s="27"/>
      <c r="AU888" s="27"/>
    </row>
    <row r="889" spans="1:47" ht="15.75" customHeight="1">
      <c r="A889" s="44">
        <v>44673</v>
      </c>
      <c r="B889" s="57" t="s">
        <v>1681</v>
      </c>
      <c r="C889" s="10" t="s">
        <v>48</v>
      </c>
      <c r="D889" s="33" t="s">
        <v>1037</v>
      </c>
      <c r="E889" s="90">
        <v>146000</v>
      </c>
      <c r="F889" s="10" t="s">
        <v>1682</v>
      </c>
      <c r="G889" s="33" t="s">
        <v>835</v>
      </c>
      <c r="H889" s="33" t="s">
        <v>1299</v>
      </c>
      <c r="I889" s="33" t="s">
        <v>1002</v>
      </c>
      <c r="J889" s="44">
        <v>44615</v>
      </c>
      <c r="K889" s="33" t="s">
        <v>1041</v>
      </c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F889" s="27"/>
      <c r="AG889" s="27"/>
      <c r="AH889" s="27"/>
      <c r="AI889" s="27"/>
      <c r="AJ889" s="27"/>
      <c r="AK889" s="27"/>
      <c r="AL889" s="27"/>
      <c r="AM889" s="27"/>
      <c r="AN889" s="27"/>
      <c r="AO889" s="27"/>
      <c r="AP889" s="27"/>
      <c r="AQ889" s="27"/>
      <c r="AR889" s="27"/>
      <c r="AS889" s="27"/>
      <c r="AT889" s="27"/>
      <c r="AU889" s="27"/>
    </row>
    <row r="890" spans="1:47" ht="15.75" customHeight="1">
      <c r="A890" s="44">
        <v>44673</v>
      </c>
      <c r="B890" s="57" t="s">
        <v>1750</v>
      </c>
      <c r="C890" s="10" t="s">
        <v>48</v>
      </c>
      <c r="D890" s="33" t="s">
        <v>1028</v>
      </c>
      <c r="E890" s="90">
        <v>114850.92</v>
      </c>
      <c r="F890" s="10" t="s">
        <v>1751</v>
      </c>
      <c r="G890" s="33" t="s">
        <v>835</v>
      </c>
      <c r="H890" s="33" t="s">
        <v>1299</v>
      </c>
      <c r="I890" s="33" t="s">
        <v>886</v>
      </c>
      <c r="J890" s="44">
        <v>44462</v>
      </c>
      <c r="K890" s="33" t="s">
        <v>1041</v>
      </c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F890" s="27"/>
      <c r="AG890" s="27"/>
      <c r="AH890" s="27"/>
      <c r="AI890" s="27"/>
      <c r="AJ890" s="27"/>
      <c r="AK890" s="27"/>
      <c r="AL890" s="27"/>
      <c r="AM890" s="27"/>
      <c r="AN890" s="27"/>
      <c r="AO890" s="27"/>
      <c r="AP890" s="27"/>
      <c r="AQ890" s="27"/>
      <c r="AR890" s="27"/>
      <c r="AS890" s="27"/>
      <c r="AT890" s="27"/>
      <c r="AU890" s="27"/>
    </row>
    <row r="891" spans="1:47" ht="15.75" customHeight="1">
      <c r="A891" s="44">
        <v>44673</v>
      </c>
      <c r="B891" s="57" t="s">
        <v>1752</v>
      </c>
      <c r="C891" s="10" t="s">
        <v>48</v>
      </c>
      <c r="D891" s="33" t="s">
        <v>1037</v>
      </c>
      <c r="E891" s="90">
        <v>100000</v>
      </c>
      <c r="F891" s="10" t="s">
        <v>1753</v>
      </c>
      <c r="G891" s="33" t="s">
        <v>835</v>
      </c>
      <c r="H891" s="33" t="s">
        <v>1299</v>
      </c>
      <c r="I891" s="44" t="s">
        <v>989</v>
      </c>
      <c r="J891" s="44">
        <v>44454</v>
      </c>
      <c r="K891" s="33" t="s">
        <v>1041</v>
      </c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F891" s="27"/>
      <c r="AG891" s="27"/>
      <c r="AH891" s="27"/>
      <c r="AI891" s="27"/>
      <c r="AJ891" s="27"/>
      <c r="AK891" s="27"/>
      <c r="AL891" s="27"/>
      <c r="AM891" s="27"/>
      <c r="AN891" s="27"/>
      <c r="AO891" s="27"/>
      <c r="AP891" s="27"/>
      <c r="AQ891" s="27"/>
      <c r="AR891" s="27"/>
      <c r="AS891" s="27"/>
      <c r="AT891" s="27"/>
      <c r="AU891" s="27"/>
    </row>
    <row r="892" spans="1:47" ht="15.75" customHeight="1">
      <c r="A892" s="44">
        <v>44673</v>
      </c>
      <c r="B892" s="57" t="s">
        <v>1368</v>
      </c>
      <c r="C892" s="10" t="s">
        <v>1027</v>
      </c>
      <c r="D892" s="33" t="s">
        <v>1037</v>
      </c>
      <c r="E892" s="90">
        <v>100000</v>
      </c>
      <c r="F892" s="10" t="s">
        <v>1754</v>
      </c>
      <c r="G892" s="33" t="s">
        <v>835</v>
      </c>
      <c r="H892" s="33" t="s">
        <v>1176</v>
      </c>
      <c r="I892" s="33" t="s">
        <v>971</v>
      </c>
      <c r="J892" s="44">
        <v>44321</v>
      </c>
      <c r="K892" s="33" t="s">
        <v>1054</v>
      </c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F892" s="27"/>
      <c r="AG892" s="27"/>
      <c r="AH892" s="27"/>
      <c r="AI892" s="27"/>
      <c r="AJ892" s="27"/>
      <c r="AK892" s="27"/>
      <c r="AL892" s="27"/>
      <c r="AM892" s="27"/>
      <c r="AN892" s="27"/>
      <c r="AO892" s="27"/>
      <c r="AP892" s="27"/>
      <c r="AQ892" s="27"/>
      <c r="AR892" s="27"/>
      <c r="AS892" s="27"/>
      <c r="AT892" s="27"/>
      <c r="AU892" s="27"/>
    </row>
    <row r="893" spans="1:47" ht="15.75" customHeight="1">
      <c r="A893" s="44">
        <v>44676</v>
      </c>
      <c r="B893" s="57" t="s">
        <v>1642</v>
      </c>
      <c r="C893" s="10" t="s">
        <v>1027</v>
      </c>
      <c r="D893" s="33" t="s">
        <v>1037</v>
      </c>
      <c r="E893" s="90">
        <v>20000</v>
      </c>
      <c r="F893" s="10" t="s">
        <v>1643</v>
      </c>
      <c r="G893" s="33" t="s">
        <v>835</v>
      </c>
      <c r="H893" s="33" t="s">
        <v>1176</v>
      </c>
      <c r="I893" s="33" t="s">
        <v>971</v>
      </c>
      <c r="J893" s="44">
        <v>44333</v>
      </c>
      <c r="K893" s="33" t="s">
        <v>1054</v>
      </c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F893" s="27"/>
      <c r="AG893" s="27"/>
      <c r="AH893" s="27"/>
      <c r="AI893" s="27"/>
      <c r="AJ893" s="27"/>
      <c r="AK893" s="27"/>
      <c r="AL893" s="27"/>
      <c r="AM893" s="27"/>
      <c r="AN893" s="27"/>
      <c r="AO893" s="27"/>
      <c r="AP893" s="27"/>
      <c r="AQ893" s="27"/>
      <c r="AR893" s="27"/>
      <c r="AS893" s="27"/>
      <c r="AT893" s="27"/>
      <c r="AU893" s="27"/>
    </row>
    <row r="894" spans="1:47" ht="15.75" customHeight="1">
      <c r="A894" s="45">
        <v>44676</v>
      </c>
      <c r="B894" s="51" t="s">
        <v>1755</v>
      </c>
      <c r="C894" s="46" t="s">
        <v>1027</v>
      </c>
      <c r="D894" s="33" t="s">
        <v>1028</v>
      </c>
      <c r="E894" s="98" t="s">
        <v>1756</v>
      </c>
      <c r="F894" s="33" t="s">
        <v>1757</v>
      </c>
      <c r="G894" s="44" t="s">
        <v>835</v>
      </c>
      <c r="H894" s="44" t="s">
        <v>1176</v>
      </c>
      <c r="I894" s="44" t="s">
        <v>973</v>
      </c>
      <c r="J894" s="44">
        <v>44263</v>
      </c>
      <c r="K894" s="44" t="s">
        <v>1030</v>
      </c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F894" s="27"/>
      <c r="AG894" s="27"/>
      <c r="AH894" s="27"/>
      <c r="AI894" s="27"/>
      <c r="AJ894" s="27"/>
      <c r="AK894" s="27"/>
      <c r="AL894" s="27"/>
      <c r="AM894" s="27"/>
      <c r="AN894" s="27"/>
      <c r="AO894" s="27"/>
      <c r="AP894" s="27"/>
      <c r="AQ894" s="27"/>
      <c r="AR894" s="27"/>
      <c r="AS894" s="27"/>
      <c r="AT894" s="27"/>
      <c r="AU894" s="27"/>
    </row>
    <row r="895" spans="1:47" ht="15.75" customHeight="1">
      <c r="A895" s="44">
        <v>44677</v>
      </c>
      <c r="B895" s="57" t="s">
        <v>1758</v>
      </c>
      <c r="C895" s="10" t="s">
        <v>1027</v>
      </c>
      <c r="D895" s="33" t="s">
        <v>1037</v>
      </c>
      <c r="E895" s="90">
        <v>62000</v>
      </c>
      <c r="F895" s="33" t="s">
        <v>1759</v>
      </c>
      <c r="G895" s="33" t="s">
        <v>977</v>
      </c>
      <c r="H895" s="33" t="s">
        <v>86</v>
      </c>
      <c r="I895" s="44" t="s">
        <v>977</v>
      </c>
      <c r="J895" s="44">
        <v>43439</v>
      </c>
      <c r="K895" s="33" t="s">
        <v>1030</v>
      </c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F895" s="27"/>
      <c r="AG895" s="27"/>
      <c r="AH895" s="27"/>
      <c r="AI895" s="27"/>
      <c r="AJ895" s="27"/>
      <c r="AK895" s="27"/>
      <c r="AL895" s="27"/>
      <c r="AM895" s="27"/>
      <c r="AN895" s="27"/>
      <c r="AO895" s="27"/>
      <c r="AP895" s="27"/>
      <c r="AQ895" s="27"/>
      <c r="AR895" s="27"/>
      <c r="AS895" s="27"/>
      <c r="AT895" s="27"/>
      <c r="AU895" s="27"/>
    </row>
    <row r="896" spans="1:47" ht="15.75" customHeight="1">
      <c r="A896" s="44">
        <v>44677</v>
      </c>
      <c r="B896" s="57" t="s">
        <v>1164</v>
      </c>
      <c r="C896" s="10" t="s">
        <v>1076</v>
      </c>
      <c r="D896" s="33" t="s">
        <v>1037</v>
      </c>
      <c r="E896" s="90">
        <v>3000</v>
      </c>
      <c r="F896" s="10" t="s">
        <v>1165</v>
      </c>
      <c r="G896" s="33" t="s">
        <v>835</v>
      </c>
      <c r="H896" s="33" t="s">
        <v>835</v>
      </c>
      <c r="I896" s="44" t="s">
        <v>851</v>
      </c>
      <c r="J896" s="44">
        <v>44062</v>
      </c>
      <c r="K896" s="33" t="s">
        <v>1041</v>
      </c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F896" s="27"/>
      <c r="AG896" s="27"/>
      <c r="AH896" s="27"/>
      <c r="AI896" s="27"/>
      <c r="AJ896" s="27"/>
      <c r="AK896" s="27"/>
      <c r="AL896" s="27"/>
      <c r="AM896" s="27"/>
      <c r="AN896" s="27"/>
      <c r="AO896" s="27"/>
      <c r="AP896" s="27"/>
      <c r="AQ896" s="27"/>
      <c r="AR896" s="27"/>
      <c r="AS896" s="27"/>
      <c r="AT896" s="27"/>
      <c r="AU896" s="27"/>
    </row>
    <row r="897" spans="1:47" ht="15.75" customHeight="1">
      <c r="A897" s="44">
        <v>44677</v>
      </c>
      <c r="B897" s="97" t="s">
        <v>1760</v>
      </c>
      <c r="C897" s="63" t="s">
        <v>48</v>
      </c>
      <c r="D897" s="59" t="s">
        <v>1062</v>
      </c>
      <c r="E897" s="106">
        <v>118629.88</v>
      </c>
      <c r="F897" s="63" t="s">
        <v>1761</v>
      </c>
      <c r="G897" s="59" t="s">
        <v>835</v>
      </c>
      <c r="H897" s="59" t="s">
        <v>86</v>
      </c>
      <c r="I897" s="59" t="s">
        <v>847</v>
      </c>
      <c r="J897" s="60">
        <v>44405</v>
      </c>
      <c r="K897" s="59" t="s">
        <v>1030</v>
      </c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F897" s="27"/>
      <c r="AG897" s="27"/>
      <c r="AH897" s="27"/>
      <c r="AI897" s="27"/>
      <c r="AJ897" s="27"/>
      <c r="AK897" s="27"/>
      <c r="AL897" s="27"/>
      <c r="AM897" s="27"/>
      <c r="AN897" s="27"/>
      <c r="AO897" s="27"/>
      <c r="AP897" s="27"/>
      <c r="AQ897" s="27"/>
      <c r="AR897" s="27"/>
      <c r="AS897" s="27"/>
      <c r="AT897" s="27"/>
      <c r="AU897" s="27"/>
    </row>
    <row r="898" spans="1:47" ht="15.75" customHeight="1">
      <c r="A898" s="44">
        <v>44677</v>
      </c>
      <c r="B898" s="57" t="s">
        <v>1330</v>
      </c>
      <c r="C898" s="10" t="s">
        <v>1027</v>
      </c>
      <c r="D898" s="33" t="s">
        <v>1037</v>
      </c>
      <c r="E898" s="90">
        <v>31000</v>
      </c>
      <c r="F898" s="10" t="s">
        <v>1331</v>
      </c>
      <c r="G898" s="33" t="s">
        <v>835</v>
      </c>
      <c r="H898" s="33" t="s">
        <v>1176</v>
      </c>
      <c r="I898" s="33" t="s">
        <v>973</v>
      </c>
      <c r="J898" s="44">
        <v>44319</v>
      </c>
      <c r="K898" s="33" t="s">
        <v>1041</v>
      </c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F898" s="27"/>
      <c r="AG898" s="27"/>
      <c r="AH898" s="27"/>
      <c r="AI898" s="27"/>
      <c r="AJ898" s="27"/>
      <c r="AK898" s="27"/>
      <c r="AL898" s="27"/>
      <c r="AM898" s="27"/>
      <c r="AN898" s="27"/>
      <c r="AO898" s="27"/>
      <c r="AP898" s="27"/>
      <c r="AQ898" s="27"/>
      <c r="AR898" s="27"/>
      <c r="AS898" s="27"/>
      <c r="AT898" s="27"/>
      <c r="AU898" s="27"/>
    </row>
    <row r="899" spans="1:47" ht="15.75" customHeight="1">
      <c r="A899" s="44">
        <v>44679</v>
      </c>
      <c r="B899" s="57" t="s">
        <v>1562</v>
      </c>
      <c r="C899" s="10" t="s">
        <v>1027</v>
      </c>
      <c r="D899" s="33" t="s">
        <v>1037</v>
      </c>
      <c r="E899" s="90">
        <v>15000</v>
      </c>
      <c r="F899" s="10" t="s">
        <v>1762</v>
      </c>
      <c r="G899" s="33" t="s">
        <v>835</v>
      </c>
      <c r="H899" s="33" t="s">
        <v>1176</v>
      </c>
      <c r="I899" s="33" t="s">
        <v>973</v>
      </c>
      <c r="J899" s="44">
        <v>44323</v>
      </c>
      <c r="K899" s="33" t="s">
        <v>1438</v>
      </c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F899" s="27"/>
      <c r="AG899" s="27"/>
      <c r="AH899" s="27"/>
      <c r="AI899" s="27"/>
      <c r="AJ899" s="27"/>
      <c r="AK899" s="27"/>
      <c r="AL899" s="27"/>
      <c r="AM899" s="27"/>
      <c r="AN899" s="27"/>
      <c r="AO899" s="27"/>
      <c r="AP899" s="27"/>
      <c r="AQ899" s="27"/>
      <c r="AR899" s="27"/>
      <c r="AS899" s="27"/>
      <c r="AT899" s="27"/>
      <c r="AU899" s="27"/>
    </row>
    <row r="900" spans="1:47" ht="15.75" customHeight="1">
      <c r="A900" s="44">
        <v>44679</v>
      </c>
      <c r="B900" s="57" t="s">
        <v>1763</v>
      </c>
      <c r="C900" s="10" t="s">
        <v>1027</v>
      </c>
      <c r="D900" s="33" t="s">
        <v>1037</v>
      </c>
      <c r="E900" s="90">
        <v>75000</v>
      </c>
      <c r="F900" s="10" t="s">
        <v>1764</v>
      </c>
      <c r="G900" s="33" t="s">
        <v>835</v>
      </c>
      <c r="H900" s="33" t="s">
        <v>1176</v>
      </c>
      <c r="I900" s="33" t="s">
        <v>975</v>
      </c>
      <c r="J900" s="44">
        <v>44644</v>
      </c>
      <c r="K900" s="33" t="s">
        <v>1054</v>
      </c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F900" s="27"/>
      <c r="AG900" s="27"/>
      <c r="AH900" s="27"/>
      <c r="AI900" s="27"/>
      <c r="AJ900" s="27"/>
      <c r="AK900" s="27"/>
      <c r="AL900" s="27"/>
      <c r="AM900" s="27"/>
      <c r="AN900" s="27"/>
      <c r="AO900" s="27"/>
      <c r="AP900" s="27"/>
      <c r="AQ900" s="27"/>
      <c r="AR900" s="27"/>
      <c r="AS900" s="27"/>
      <c r="AT900" s="27"/>
      <c r="AU900" s="27"/>
    </row>
    <row r="901" spans="1:47" ht="15.75" customHeight="1">
      <c r="A901" s="44">
        <v>44680</v>
      </c>
      <c r="B901" s="57" t="s">
        <v>1765</v>
      </c>
      <c r="C901" s="10" t="s">
        <v>1027</v>
      </c>
      <c r="D901" s="33" t="s">
        <v>1037</v>
      </c>
      <c r="E901" s="90">
        <v>31000</v>
      </c>
      <c r="F901" s="10" t="s">
        <v>1766</v>
      </c>
      <c r="G901" s="33" t="s">
        <v>835</v>
      </c>
      <c r="H901" s="33" t="s">
        <v>1176</v>
      </c>
      <c r="I901" s="33" t="s">
        <v>975</v>
      </c>
      <c r="J901" s="44">
        <v>44568</v>
      </c>
      <c r="K901" s="33" t="s">
        <v>1179</v>
      </c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F901" s="27"/>
      <c r="AG901" s="27"/>
      <c r="AH901" s="27"/>
      <c r="AI901" s="27"/>
      <c r="AJ901" s="27"/>
      <c r="AK901" s="27"/>
      <c r="AL901" s="27"/>
      <c r="AM901" s="27"/>
      <c r="AN901" s="27"/>
      <c r="AO901" s="27"/>
      <c r="AP901" s="27"/>
      <c r="AQ901" s="27"/>
      <c r="AR901" s="27"/>
      <c r="AS901" s="27"/>
      <c r="AT901" s="27"/>
      <c r="AU901" s="27"/>
    </row>
    <row r="902" spans="1:47" ht="15.75" customHeight="1">
      <c r="A902" s="45">
        <v>44680</v>
      </c>
      <c r="B902" s="64" t="s">
        <v>1767</v>
      </c>
      <c r="C902" s="10" t="s">
        <v>48</v>
      </c>
      <c r="D902" s="46" t="s">
        <v>1028</v>
      </c>
      <c r="E902" s="47">
        <v>288923.90000000002</v>
      </c>
      <c r="F902" s="10" t="s">
        <v>1768</v>
      </c>
      <c r="G902" s="46" t="s">
        <v>835</v>
      </c>
      <c r="H902" s="46" t="s">
        <v>1299</v>
      </c>
      <c r="I902" s="46" t="s">
        <v>906</v>
      </c>
      <c r="J902" s="45">
        <v>44398</v>
      </c>
      <c r="K902" s="10" t="s">
        <v>1179</v>
      </c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F902" s="27"/>
      <c r="AG902" s="27"/>
      <c r="AH902" s="27"/>
      <c r="AI902" s="27"/>
      <c r="AJ902" s="27"/>
      <c r="AK902" s="27"/>
      <c r="AL902" s="27"/>
      <c r="AM902" s="27"/>
      <c r="AN902" s="27"/>
      <c r="AO902" s="27"/>
      <c r="AP902" s="27"/>
      <c r="AQ902" s="27"/>
      <c r="AR902" s="27"/>
      <c r="AS902" s="27"/>
      <c r="AT902" s="27"/>
      <c r="AU902" s="27"/>
    </row>
    <row r="903" spans="1:47" ht="15.75" customHeight="1">
      <c r="A903" s="44">
        <v>44682</v>
      </c>
      <c r="B903" s="10" t="s">
        <v>1452</v>
      </c>
      <c r="C903" s="10" t="s">
        <v>1027</v>
      </c>
      <c r="D903" s="33" t="s">
        <v>1028</v>
      </c>
      <c r="E903" s="90">
        <v>7399239.3600000003</v>
      </c>
      <c r="F903" s="33" t="s">
        <v>1453</v>
      </c>
      <c r="G903" s="33" t="s">
        <v>977</v>
      </c>
      <c r="H903" s="33" t="s">
        <v>86</v>
      </c>
      <c r="I903" s="33" t="s">
        <v>977</v>
      </c>
      <c r="J903" s="44">
        <v>44021</v>
      </c>
      <c r="K903" s="35" t="s">
        <v>1041</v>
      </c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F903" s="27"/>
      <c r="AG903" s="27"/>
      <c r="AH903" s="27"/>
      <c r="AI903" s="27"/>
      <c r="AJ903" s="27"/>
      <c r="AK903" s="27"/>
      <c r="AL903" s="27"/>
      <c r="AM903" s="27"/>
      <c r="AN903" s="27"/>
      <c r="AO903" s="27"/>
      <c r="AP903" s="27"/>
      <c r="AQ903" s="27"/>
      <c r="AR903" s="27"/>
      <c r="AS903" s="27"/>
      <c r="AT903" s="27"/>
      <c r="AU903" s="27"/>
    </row>
    <row r="904" spans="1:47" ht="15.75" customHeight="1">
      <c r="A904" s="44">
        <v>44682</v>
      </c>
      <c r="B904" s="10" t="s">
        <v>1769</v>
      </c>
      <c r="C904" s="10" t="s">
        <v>1027</v>
      </c>
      <c r="D904" s="33" t="s">
        <v>1028</v>
      </c>
      <c r="E904" s="90">
        <v>4668228.6100000003</v>
      </c>
      <c r="F904" s="33" t="s">
        <v>1453</v>
      </c>
      <c r="G904" s="33" t="s">
        <v>977</v>
      </c>
      <c r="H904" s="33" t="s">
        <v>86</v>
      </c>
      <c r="I904" s="33" t="s">
        <v>977</v>
      </c>
      <c r="J904" s="44">
        <v>44029</v>
      </c>
      <c r="K904" s="35" t="s">
        <v>1030</v>
      </c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F904" s="27"/>
      <c r="AG904" s="27"/>
      <c r="AH904" s="27"/>
      <c r="AI904" s="27"/>
      <c r="AJ904" s="27"/>
      <c r="AK904" s="27"/>
      <c r="AL904" s="27"/>
      <c r="AM904" s="27"/>
      <c r="AN904" s="27"/>
      <c r="AO904" s="27"/>
      <c r="AP904" s="27"/>
      <c r="AQ904" s="27"/>
      <c r="AR904" s="27"/>
      <c r="AS904" s="27"/>
      <c r="AT904" s="27"/>
      <c r="AU904" s="27"/>
    </row>
    <row r="905" spans="1:47" ht="15.75" customHeight="1">
      <c r="A905" s="44">
        <v>44683</v>
      </c>
      <c r="B905" s="57" t="s">
        <v>1465</v>
      </c>
      <c r="C905" s="10" t="s">
        <v>48</v>
      </c>
      <c r="D905" s="33" t="s">
        <v>1028</v>
      </c>
      <c r="E905" s="90">
        <v>160249.53</v>
      </c>
      <c r="F905" s="10" t="s">
        <v>1466</v>
      </c>
      <c r="G905" s="33" t="s">
        <v>904</v>
      </c>
      <c r="H905" s="33" t="s">
        <v>86</v>
      </c>
      <c r="I905" s="33" t="s">
        <v>849</v>
      </c>
      <c r="J905" s="44">
        <v>44362</v>
      </c>
      <c r="K905" s="33" t="s">
        <v>1054</v>
      </c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F905" s="27"/>
      <c r="AG905" s="27"/>
      <c r="AH905" s="27"/>
      <c r="AI905" s="27"/>
      <c r="AJ905" s="27"/>
      <c r="AK905" s="27"/>
      <c r="AL905" s="27"/>
      <c r="AM905" s="27"/>
      <c r="AN905" s="27"/>
      <c r="AO905" s="27"/>
      <c r="AP905" s="27"/>
      <c r="AQ905" s="27"/>
      <c r="AR905" s="27"/>
      <c r="AS905" s="27"/>
      <c r="AT905" s="27"/>
      <c r="AU905" s="27"/>
    </row>
    <row r="906" spans="1:47" ht="15.75" customHeight="1">
      <c r="A906" s="44">
        <v>44683</v>
      </c>
      <c r="B906" s="57" t="s">
        <v>1770</v>
      </c>
      <c r="C906" s="10" t="s">
        <v>48</v>
      </c>
      <c r="D906" s="33" t="s">
        <v>1028</v>
      </c>
      <c r="E906" s="90">
        <v>128785.37</v>
      </c>
      <c r="F906" s="10" t="s">
        <v>1771</v>
      </c>
      <c r="G906" s="33" t="s">
        <v>835</v>
      </c>
      <c r="H906" s="33" t="s">
        <v>1299</v>
      </c>
      <c r="I906" s="33" t="s">
        <v>886</v>
      </c>
      <c r="J906" s="44">
        <v>44355</v>
      </c>
      <c r="K906" s="35" t="s">
        <v>1179</v>
      </c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F906" s="27"/>
      <c r="AG906" s="27"/>
      <c r="AH906" s="27"/>
      <c r="AI906" s="27"/>
      <c r="AJ906" s="27"/>
      <c r="AK906" s="27"/>
      <c r="AL906" s="27"/>
      <c r="AM906" s="27"/>
      <c r="AN906" s="27"/>
      <c r="AO906" s="27"/>
      <c r="AP906" s="27"/>
      <c r="AQ906" s="27"/>
      <c r="AR906" s="27"/>
      <c r="AS906" s="27"/>
      <c r="AT906" s="27"/>
      <c r="AU906" s="27"/>
    </row>
    <row r="907" spans="1:47" ht="15.75" customHeight="1">
      <c r="A907" s="44">
        <v>44683</v>
      </c>
      <c r="B907" s="57" t="s">
        <v>1772</v>
      </c>
      <c r="C907" s="10" t="s">
        <v>48</v>
      </c>
      <c r="D907" s="33" t="s">
        <v>1028</v>
      </c>
      <c r="E907" s="90">
        <v>158853.29</v>
      </c>
      <c r="F907" s="10" t="s">
        <v>1773</v>
      </c>
      <c r="G907" s="33" t="s">
        <v>835</v>
      </c>
      <c r="H907" s="33" t="s">
        <v>1299</v>
      </c>
      <c r="I907" s="33" t="s">
        <v>886</v>
      </c>
      <c r="J907" s="44">
        <v>44229</v>
      </c>
      <c r="K907" s="35" t="s">
        <v>1122</v>
      </c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F907" s="27"/>
      <c r="AG907" s="27"/>
      <c r="AH907" s="27"/>
      <c r="AI907" s="27"/>
      <c r="AJ907" s="27"/>
      <c r="AK907" s="27"/>
      <c r="AL907" s="27"/>
      <c r="AM907" s="27"/>
      <c r="AN907" s="27"/>
      <c r="AO907" s="27"/>
      <c r="AP907" s="27"/>
      <c r="AQ907" s="27"/>
      <c r="AR907" s="27"/>
      <c r="AS907" s="27"/>
      <c r="AT907" s="27"/>
      <c r="AU907" s="27"/>
    </row>
    <row r="908" spans="1:47" ht="15.75" customHeight="1">
      <c r="A908" s="44">
        <v>44683</v>
      </c>
      <c r="B908" s="57" t="s">
        <v>1731</v>
      </c>
      <c r="C908" s="10" t="s">
        <v>48</v>
      </c>
      <c r="D908" s="33" t="s">
        <v>1037</v>
      </c>
      <c r="E908" s="90">
        <v>11329.01</v>
      </c>
      <c r="F908" s="10" t="s">
        <v>1732</v>
      </c>
      <c r="G908" s="33" t="s">
        <v>835</v>
      </c>
      <c r="H908" s="33" t="s">
        <v>1299</v>
      </c>
      <c r="I908" s="33" t="s">
        <v>1002</v>
      </c>
      <c r="J908" s="44">
        <v>44614</v>
      </c>
      <c r="K908" s="35" t="s">
        <v>1041</v>
      </c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F908" s="27"/>
      <c r="AG908" s="27"/>
      <c r="AH908" s="27"/>
      <c r="AI908" s="27"/>
      <c r="AJ908" s="27"/>
      <c r="AK908" s="27"/>
      <c r="AL908" s="27"/>
      <c r="AM908" s="27"/>
      <c r="AN908" s="27"/>
      <c r="AO908" s="27"/>
      <c r="AP908" s="27"/>
      <c r="AQ908" s="27"/>
      <c r="AR908" s="27"/>
      <c r="AS908" s="27"/>
      <c r="AT908" s="27"/>
      <c r="AU908" s="27"/>
    </row>
    <row r="909" spans="1:47" ht="15.75" customHeight="1">
      <c r="A909" s="44">
        <v>44683</v>
      </c>
      <c r="B909" s="57">
        <v>350690</v>
      </c>
      <c r="C909" s="10" t="s">
        <v>1027</v>
      </c>
      <c r="D909" s="33" t="s">
        <v>1037</v>
      </c>
      <c r="E909" s="90">
        <v>100000</v>
      </c>
      <c r="F909" s="10" t="s">
        <v>1774</v>
      </c>
      <c r="G909" s="33" t="s">
        <v>835</v>
      </c>
      <c r="H909" s="33" t="s">
        <v>1176</v>
      </c>
      <c r="I909" s="33" t="s">
        <v>971</v>
      </c>
      <c r="J909" s="44">
        <v>44438</v>
      </c>
      <c r="K909" s="35" t="s">
        <v>1041</v>
      </c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F909" s="27"/>
      <c r="AG909" s="27"/>
      <c r="AH909" s="27"/>
      <c r="AI909" s="27"/>
      <c r="AJ909" s="27"/>
      <c r="AK909" s="27"/>
      <c r="AL909" s="27"/>
      <c r="AM909" s="27"/>
      <c r="AN909" s="27"/>
      <c r="AO909" s="27"/>
      <c r="AP909" s="27"/>
      <c r="AQ909" s="27"/>
      <c r="AR909" s="27"/>
      <c r="AS909" s="27"/>
      <c r="AT909" s="27"/>
      <c r="AU909" s="27"/>
    </row>
    <row r="910" spans="1:47" ht="15.75" customHeight="1">
      <c r="A910" s="44">
        <v>44683</v>
      </c>
      <c r="B910" s="57" t="s">
        <v>1174</v>
      </c>
      <c r="C910" s="10" t="s">
        <v>1027</v>
      </c>
      <c r="D910" s="33" t="s">
        <v>1037</v>
      </c>
      <c r="E910" s="90">
        <v>40000</v>
      </c>
      <c r="F910" s="10" t="s">
        <v>1711</v>
      </c>
      <c r="G910" s="33" t="s">
        <v>835</v>
      </c>
      <c r="H910" s="33" t="s">
        <v>1176</v>
      </c>
      <c r="I910" s="33" t="s">
        <v>973</v>
      </c>
      <c r="J910" s="44">
        <v>44321</v>
      </c>
      <c r="K910" s="35" t="s">
        <v>1041</v>
      </c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F910" s="27"/>
      <c r="AG910" s="27"/>
      <c r="AH910" s="27"/>
      <c r="AI910" s="27"/>
      <c r="AJ910" s="27"/>
      <c r="AK910" s="27"/>
      <c r="AL910" s="27"/>
      <c r="AM910" s="27"/>
      <c r="AN910" s="27"/>
      <c r="AO910" s="27"/>
      <c r="AP910" s="27"/>
      <c r="AQ910" s="27"/>
      <c r="AR910" s="27"/>
      <c r="AS910" s="27"/>
      <c r="AT910" s="27"/>
      <c r="AU910" s="27"/>
    </row>
    <row r="911" spans="1:47" ht="15.75" customHeight="1">
      <c r="A911" s="44">
        <v>44683</v>
      </c>
      <c r="B911" s="57" t="s">
        <v>1665</v>
      </c>
      <c r="C911" s="10" t="s">
        <v>1027</v>
      </c>
      <c r="D911" s="33" t="s">
        <v>1037</v>
      </c>
      <c r="E911" s="90">
        <v>25000</v>
      </c>
      <c r="F911" s="10" t="s">
        <v>1714</v>
      </c>
      <c r="G911" s="33" t="s">
        <v>835</v>
      </c>
      <c r="H911" s="33" t="s">
        <v>1176</v>
      </c>
      <c r="I911" s="33" t="s">
        <v>973</v>
      </c>
      <c r="J911" s="44">
        <v>44263</v>
      </c>
      <c r="K911" s="35" t="s">
        <v>1054</v>
      </c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F911" s="27"/>
      <c r="AG911" s="27"/>
      <c r="AH911" s="27"/>
      <c r="AI911" s="27"/>
      <c r="AJ911" s="27"/>
      <c r="AK911" s="27"/>
      <c r="AL911" s="27"/>
      <c r="AM911" s="27"/>
      <c r="AN911" s="27"/>
      <c r="AO911" s="27"/>
      <c r="AP911" s="27"/>
      <c r="AQ911" s="27"/>
      <c r="AR911" s="27"/>
      <c r="AS911" s="27"/>
      <c r="AT911" s="27"/>
      <c r="AU911" s="27"/>
    </row>
    <row r="912" spans="1:47" ht="15.75" customHeight="1">
      <c r="A912" s="44">
        <v>44683</v>
      </c>
      <c r="B912" s="57" t="s">
        <v>1696</v>
      </c>
      <c r="C912" s="10" t="s">
        <v>1027</v>
      </c>
      <c r="D912" s="33" t="s">
        <v>1037</v>
      </c>
      <c r="E912" s="90">
        <v>14000</v>
      </c>
      <c r="F912" s="10" t="s">
        <v>1053</v>
      </c>
      <c r="G912" s="33" t="s">
        <v>830</v>
      </c>
      <c r="H912" s="33" t="s">
        <v>86</v>
      </c>
      <c r="I912" s="33" t="s">
        <v>878</v>
      </c>
      <c r="J912" s="44">
        <v>43605</v>
      </c>
      <c r="K912" s="35" t="s">
        <v>1030</v>
      </c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F912" s="27"/>
      <c r="AG912" s="27"/>
      <c r="AH912" s="27"/>
      <c r="AI912" s="27"/>
      <c r="AJ912" s="27"/>
      <c r="AK912" s="27"/>
      <c r="AL912" s="27"/>
      <c r="AM912" s="27"/>
      <c r="AN912" s="27"/>
      <c r="AO912" s="27"/>
      <c r="AP912" s="27"/>
      <c r="AQ912" s="27"/>
      <c r="AR912" s="27"/>
      <c r="AS912" s="27"/>
      <c r="AT912" s="27"/>
      <c r="AU912" s="27"/>
    </row>
    <row r="913" spans="1:47" ht="15.75" customHeight="1">
      <c r="A913" s="44">
        <v>44684</v>
      </c>
      <c r="B913" s="57" t="s">
        <v>1775</v>
      </c>
      <c r="C913" s="10" t="s">
        <v>48</v>
      </c>
      <c r="D913" s="33" t="s">
        <v>1028</v>
      </c>
      <c r="E913" s="90">
        <v>398221.67</v>
      </c>
      <c r="F913" s="10" t="s">
        <v>1776</v>
      </c>
      <c r="G913" s="33" t="s">
        <v>835</v>
      </c>
      <c r="H913" s="33" t="s">
        <v>1299</v>
      </c>
      <c r="I913" s="33" t="s">
        <v>906</v>
      </c>
      <c r="J913" s="44">
        <v>44454</v>
      </c>
      <c r="K913" s="35" t="s">
        <v>1179</v>
      </c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F913" s="27"/>
      <c r="AG913" s="27"/>
      <c r="AH913" s="27"/>
      <c r="AI913" s="27"/>
      <c r="AJ913" s="27"/>
      <c r="AK913" s="27"/>
      <c r="AL913" s="27"/>
      <c r="AM913" s="27"/>
      <c r="AN913" s="27"/>
      <c r="AO913" s="27"/>
      <c r="AP913" s="27"/>
      <c r="AQ913" s="27"/>
      <c r="AR913" s="27"/>
      <c r="AS913" s="27"/>
      <c r="AT913" s="27"/>
      <c r="AU913" s="27"/>
    </row>
    <row r="914" spans="1:47" ht="15.75" customHeight="1">
      <c r="A914" s="44">
        <v>44685</v>
      </c>
      <c r="B914" s="33">
        <v>4740849</v>
      </c>
      <c r="C914" s="10" t="s">
        <v>48</v>
      </c>
      <c r="D914" s="33" t="s">
        <v>1062</v>
      </c>
      <c r="E914" s="90">
        <v>83984.540000000008</v>
      </c>
      <c r="F914" s="10" t="s">
        <v>1736</v>
      </c>
      <c r="G914" s="33" t="s">
        <v>904</v>
      </c>
      <c r="H914" s="33" t="s">
        <v>86</v>
      </c>
      <c r="I914" s="33" t="s">
        <v>843</v>
      </c>
      <c r="J914" s="44">
        <v>44320</v>
      </c>
      <c r="K914" s="35" t="s">
        <v>1122</v>
      </c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F914" s="27"/>
      <c r="AG914" s="27"/>
      <c r="AH914" s="27"/>
      <c r="AI914" s="27"/>
      <c r="AJ914" s="27"/>
      <c r="AK914" s="27"/>
      <c r="AL914" s="27"/>
      <c r="AM914" s="27"/>
      <c r="AN914" s="27"/>
      <c r="AO914" s="27"/>
      <c r="AP914" s="27"/>
      <c r="AQ914" s="27"/>
      <c r="AR914" s="27"/>
      <c r="AS914" s="27"/>
      <c r="AT914" s="27"/>
      <c r="AU914" s="27"/>
    </row>
    <row r="915" spans="1:47" ht="15.75" customHeight="1">
      <c r="A915" s="44">
        <v>44685</v>
      </c>
      <c r="B915" s="33" t="s">
        <v>1777</v>
      </c>
      <c r="C915" s="10" t="s">
        <v>48</v>
      </c>
      <c r="D915" s="33" t="s">
        <v>1037</v>
      </c>
      <c r="E915" s="90">
        <v>60000</v>
      </c>
      <c r="F915" s="10" t="s">
        <v>1778</v>
      </c>
      <c r="G915" s="33" t="s">
        <v>835</v>
      </c>
      <c r="H915" s="33" t="s">
        <v>86</v>
      </c>
      <c r="I915" s="33" t="s">
        <v>920</v>
      </c>
      <c r="J915" s="44">
        <v>44294</v>
      </c>
      <c r="K915" s="35" t="s">
        <v>1779</v>
      </c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F915" s="27"/>
      <c r="AG915" s="27"/>
      <c r="AH915" s="27"/>
      <c r="AI915" s="27"/>
      <c r="AJ915" s="27"/>
      <c r="AK915" s="27"/>
      <c r="AL915" s="27"/>
      <c r="AM915" s="27"/>
      <c r="AN915" s="27"/>
      <c r="AO915" s="27"/>
      <c r="AP915" s="27"/>
      <c r="AQ915" s="27"/>
      <c r="AR915" s="27"/>
      <c r="AS915" s="27"/>
      <c r="AT915" s="27"/>
      <c r="AU915" s="27"/>
    </row>
    <row r="916" spans="1:47" ht="15.75" customHeight="1">
      <c r="A916" s="44">
        <v>44685</v>
      </c>
      <c r="B916" s="33">
        <v>6121090</v>
      </c>
      <c r="C916" s="10" t="s">
        <v>48</v>
      </c>
      <c r="D916" s="33" t="s">
        <v>1028</v>
      </c>
      <c r="E916" s="90">
        <v>46583.9</v>
      </c>
      <c r="F916" s="10" t="s">
        <v>1780</v>
      </c>
      <c r="G916" s="33" t="s">
        <v>835</v>
      </c>
      <c r="H916" s="33" t="s">
        <v>1299</v>
      </c>
      <c r="I916" s="33" t="s">
        <v>886</v>
      </c>
      <c r="J916" s="44">
        <v>44421</v>
      </c>
      <c r="K916" s="35" t="s">
        <v>1122</v>
      </c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F916" s="27"/>
      <c r="AG916" s="27"/>
      <c r="AH916" s="27"/>
      <c r="AI916" s="27"/>
      <c r="AJ916" s="27"/>
      <c r="AK916" s="27"/>
      <c r="AL916" s="27"/>
      <c r="AM916" s="27"/>
      <c r="AN916" s="27"/>
      <c r="AO916" s="27"/>
      <c r="AP916" s="27"/>
      <c r="AQ916" s="27"/>
      <c r="AR916" s="27"/>
      <c r="AS916" s="27"/>
      <c r="AT916" s="27"/>
      <c r="AU916" s="27"/>
    </row>
    <row r="917" spans="1:47" ht="15.75" customHeight="1">
      <c r="A917" s="44">
        <v>44686</v>
      </c>
      <c r="B917" s="33">
        <v>3600186</v>
      </c>
      <c r="C917" s="10" t="s">
        <v>48</v>
      </c>
      <c r="D917" s="33" t="s">
        <v>1028</v>
      </c>
      <c r="E917" s="90">
        <v>1122976.82</v>
      </c>
      <c r="F917" s="10" t="s">
        <v>1781</v>
      </c>
      <c r="G917" s="33" t="s">
        <v>835</v>
      </c>
      <c r="H917" s="33" t="s">
        <v>1299</v>
      </c>
      <c r="I917" s="33" t="s">
        <v>906</v>
      </c>
      <c r="J917" s="44">
        <v>44454</v>
      </c>
      <c r="K917" s="35" t="s">
        <v>1179</v>
      </c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F917" s="27"/>
      <c r="AG917" s="27"/>
      <c r="AH917" s="27"/>
      <c r="AI917" s="27"/>
      <c r="AJ917" s="27"/>
      <c r="AK917" s="27"/>
      <c r="AL917" s="27"/>
      <c r="AM917" s="27"/>
      <c r="AN917" s="27"/>
      <c r="AO917" s="27"/>
      <c r="AP917" s="27"/>
      <c r="AQ917" s="27"/>
      <c r="AR917" s="27"/>
      <c r="AS917" s="27"/>
      <c r="AT917" s="27"/>
      <c r="AU917" s="27"/>
    </row>
    <row r="918" spans="1:47" ht="15.75" customHeight="1">
      <c r="A918" s="44">
        <v>44686</v>
      </c>
      <c r="B918" s="33" t="s">
        <v>1782</v>
      </c>
      <c r="C918" s="10" t="s">
        <v>48</v>
      </c>
      <c r="D918" s="33" t="s">
        <v>1037</v>
      </c>
      <c r="E918" s="90">
        <v>50000.87</v>
      </c>
      <c r="F918" s="10" t="s">
        <v>1783</v>
      </c>
      <c r="G918" s="33" t="s">
        <v>835</v>
      </c>
      <c r="H918" s="33" t="s">
        <v>1299</v>
      </c>
      <c r="I918" s="33" t="s">
        <v>886</v>
      </c>
      <c r="J918" s="44">
        <v>44379</v>
      </c>
      <c r="K918" s="35" t="s">
        <v>1122</v>
      </c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F918" s="27"/>
      <c r="AG918" s="27"/>
      <c r="AH918" s="27"/>
      <c r="AI918" s="27"/>
      <c r="AJ918" s="27"/>
      <c r="AK918" s="27"/>
      <c r="AL918" s="27"/>
      <c r="AM918" s="27"/>
      <c r="AN918" s="27"/>
      <c r="AO918" s="27"/>
      <c r="AP918" s="27"/>
      <c r="AQ918" s="27"/>
      <c r="AR918" s="27"/>
      <c r="AS918" s="27"/>
      <c r="AT918" s="27"/>
      <c r="AU918" s="27"/>
    </row>
    <row r="919" spans="1:47" ht="15.75" customHeight="1">
      <c r="A919" s="44">
        <v>44686</v>
      </c>
      <c r="B919" s="33">
        <v>4920156</v>
      </c>
      <c r="C919" s="10" t="s">
        <v>48</v>
      </c>
      <c r="D919" s="33" t="s">
        <v>1037</v>
      </c>
      <c r="E919" s="90">
        <v>10000</v>
      </c>
      <c r="F919" s="10" t="s">
        <v>1184</v>
      </c>
      <c r="G919" s="33" t="s">
        <v>904</v>
      </c>
      <c r="H919" s="33" t="s">
        <v>86</v>
      </c>
      <c r="I919" s="33" t="s">
        <v>912</v>
      </c>
      <c r="J919" s="44">
        <v>44263</v>
      </c>
      <c r="K919" s="35" t="s">
        <v>1041</v>
      </c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F919" s="27"/>
      <c r="AG919" s="27"/>
      <c r="AH919" s="27"/>
      <c r="AI919" s="27"/>
      <c r="AJ919" s="27"/>
      <c r="AK919" s="27"/>
      <c r="AL919" s="27"/>
      <c r="AM919" s="27"/>
      <c r="AN919" s="27"/>
      <c r="AO919" s="27"/>
      <c r="AP919" s="27"/>
      <c r="AQ919" s="27"/>
      <c r="AR919" s="27"/>
      <c r="AS919" s="27"/>
      <c r="AT919" s="27"/>
      <c r="AU919" s="27"/>
    </row>
    <row r="920" spans="1:47" ht="15.75" customHeight="1">
      <c r="A920" s="44">
        <v>44687</v>
      </c>
      <c r="B920" s="10" t="s">
        <v>1400</v>
      </c>
      <c r="C920" s="10" t="s">
        <v>1027</v>
      </c>
      <c r="D920" s="33" t="s">
        <v>1037</v>
      </c>
      <c r="E920" s="90">
        <v>10000</v>
      </c>
      <c r="F920" s="33" t="s">
        <v>1401</v>
      </c>
      <c r="G920" s="33" t="s">
        <v>835</v>
      </c>
      <c r="H920" s="33" t="s">
        <v>1176</v>
      </c>
      <c r="I920" s="33" t="s">
        <v>971</v>
      </c>
      <c r="J920" s="44">
        <v>44328</v>
      </c>
      <c r="K920" s="35" t="s">
        <v>1122</v>
      </c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F920" s="27"/>
      <c r="AG920" s="27"/>
      <c r="AH920" s="27"/>
      <c r="AI920" s="27"/>
      <c r="AJ920" s="27"/>
      <c r="AK920" s="27"/>
      <c r="AL920" s="27"/>
      <c r="AM920" s="27"/>
      <c r="AN920" s="27"/>
      <c r="AO920" s="27"/>
      <c r="AP920" s="27"/>
      <c r="AQ920" s="27"/>
      <c r="AR920" s="27"/>
      <c r="AS920" s="27"/>
      <c r="AT920" s="27"/>
      <c r="AU920" s="27"/>
    </row>
    <row r="921" spans="1:47" ht="15.75" customHeight="1">
      <c r="A921" s="44">
        <v>44687</v>
      </c>
      <c r="B921" s="10" t="s">
        <v>1562</v>
      </c>
      <c r="C921" s="10" t="s">
        <v>1027</v>
      </c>
      <c r="D921" s="33" t="s">
        <v>1037</v>
      </c>
      <c r="E921" s="90">
        <v>100000</v>
      </c>
      <c r="F921" s="33" t="s">
        <v>1563</v>
      </c>
      <c r="G921" s="33" t="s">
        <v>835</v>
      </c>
      <c r="H921" s="33" t="s">
        <v>1176</v>
      </c>
      <c r="I921" s="33" t="s">
        <v>973</v>
      </c>
      <c r="J921" s="44">
        <v>44323</v>
      </c>
      <c r="K921" s="35" t="s">
        <v>1438</v>
      </c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F921" s="27"/>
      <c r="AG921" s="27"/>
      <c r="AH921" s="27"/>
      <c r="AI921" s="27"/>
      <c r="AJ921" s="27"/>
      <c r="AK921" s="27"/>
      <c r="AL921" s="27"/>
      <c r="AM921" s="27"/>
      <c r="AN921" s="27"/>
      <c r="AO921" s="27"/>
      <c r="AP921" s="27"/>
      <c r="AQ921" s="27"/>
      <c r="AR921" s="27"/>
      <c r="AS921" s="27"/>
      <c r="AT921" s="27"/>
      <c r="AU921" s="27"/>
    </row>
    <row r="922" spans="1:47" ht="15.75" customHeight="1">
      <c r="A922" s="44">
        <v>44687</v>
      </c>
      <c r="B922" s="33">
        <v>4862815</v>
      </c>
      <c r="C922" s="10" t="s">
        <v>48</v>
      </c>
      <c r="D922" s="33" t="s">
        <v>1037</v>
      </c>
      <c r="E922" s="90">
        <v>70000</v>
      </c>
      <c r="F922" s="10" t="s">
        <v>1784</v>
      </c>
      <c r="G922" s="33" t="s">
        <v>835</v>
      </c>
      <c r="H922" s="33" t="s">
        <v>1299</v>
      </c>
      <c r="I922" s="33" t="s">
        <v>886</v>
      </c>
      <c r="J922" s="44">
        <v>44251</v>
      </c>
      <c r="K922" s="35" t="s">
        <v>1030</v>
      </c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F922" s="27"/>
      <c r="AG922" s="27"/>
      <c r="AH922" s="27"/>
      <c r="AI922" s="27"/>
      <c r="AJ922" s="27"/>
      <c r="AK922" s="27"/>
      <c r="AL922" s="27"/>
      <c r="AM922" s="27"/>
      <c r="AN922" s="27"/>
      <c r="AO922" s="27"/>
      <c r="AP922" s="27"/>
      <c r="AQ922" s="27"/>
      <c r="AR922" s="27"/>
      <c r="AS922" s="27"/>
      <c r="AT922" s="27"/>
      <c r="AU922" s="27"/>
    </row>
    <row r="923" spans="1:47" ht="15.75" customHeight="1">
      <c r="A923" s="44">
        <v>44691</v>
      </c>
      <c r="B923" s="33">
        <v>4345500</v>
      </c>
      <c r="C923" s="10" t="s">
        <v>1027</v>
      </c>
      <c r="D923" s="33" t="s">
        <v>1037</v>
      </c>
      <c r="E923" s="90">
        <v>35000</v>
      </c>
      <c r="F923" s="10" t="s">
        <v>1049</v>
      </c>
      <c r="G923" s="33" t="s">
        <v>830</v>
      </c>
      <c r="H923" s="33" t="s">
        <v>86</v>
      </c>
      <c r="I923" s="33" t="s">
        <v>878</v>
      </c>
      <c r="J923" s="44">
        <v>43703</v>
      </c>
      <c r="K923" s="35" t="s">
        <v>1033</v>
      </c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F923" s="27"/>
      <c r="AG923" s="27"/>
      <c r="AH923" s="27"/>
      <c r="AI923" s="27"/>
      <c r="AJ923" s="27"/>
      <c r="AK923" s="27"/>
      <c r="AL923" s="27"/>
      <c r="AM923" s="27"/>
      <c r="AN923" s="27"/>
      <c r="AO923" s="27"/>
      <c r="AP923" s="27"/>
      <c r="AQ923" s="27"/>
      <c r="AR923" s="27"/>
      <c r="AS923" s="27"/>
      <c r="AT923" s="27"/>
      <c r="AU923" s="27"/>
    </row>
    <row r="924" spans="1:47" ht="15.75" customHeight="1">
      <c r="A924" s="44">
        <v>44691</v>
      </c>
      <c r="B924" s="10">
        <v>3952119</v>
      </c>
      <c r="C924" s="10" t="s">
        <v>48</v>
      </c>
      <c r="D924" s="33" t="s">
        <v>1037</v>
      </c>
      <c r="E924" s="90">
        <v>7000</v>
      </c>
      <c r="F924" s="33" t="s">
        <v>1785</v>
      </c>
      <c r="G924" s="33" t="s">
        <v>835</v>
      </c>
      <c r="H924" s="33" t="s">
        <v>86</v>
      </c>
      <c r="I924" s="33" t="s">
        <v>1000</v>
      </c>
      <c r="J924" s="44">
        <v>44335</v>
      </c>
      <c r="K924" s="35" t="s">
        <v>1438</v>
      </c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F924" s="27"/>
      <c r="AG924" s="27"/>
      <c r="AH924" s="27"/>
      <c r="AI924" s="27"/>
      <c r="AJ924" s="27"/>
      <c r="AK924" s="27"/>
      <c r="AL924" s="27"/>
      <c r="AM924" s="27"/>
      <c r="AN924" s="27"/>
      <c r="AO924" s="27"/>
      <c r="AP924" s="27"/>
      <c r="AQ924" s="27"/>
      <c r="AR924" s="27"/>
      <c r="AS924" s="27"/>
      <c r="AT924" s="27"/>
      <c r="AU924" s="27"/>
    </row>
    <row r="925" spans="1:47" ht="15.75" customHeight="1">
      <c r="A925" s="44">
        <v>44691</v>
      </c>
      <c r="B925" s="10">
        <v>5681841</v>
      </c>
      <c r="C925" s="10" t="s">
        <v>48</v>
      </c>
      <c r="D925" s="33" t="s">
        <v>1037</v>
      </c>
      <c r="E925" s="90">
        <v>50000</v>
      </c>
      <c r="F925" s="33" t="s">
        <v>1786</v>
      </c>
      <c r="G925" s="33" t="s">
        <v>835</v>
      </c>
      <c r="H925" s="33" t="s">
        <v>1299</v>
      </c>
      <c r="I925" s="33" t="s">
        <v>963</v>
      </c>
      <c r="J925" s="44">
        <v>44469</v>
      </c>
      <c r="K925" s="35" t="s">
        <v>1054</v>
      </c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F925" s="27"/>
      <c r="AG925" s="27"/>
      <c r="AH925" s="27"/>
      <c r="AI925" s="27"/>
      <c r="AJ925" s="27"/>
      <c r="AK925" s="27"/>
      <c r="AL925" s="27"/>
      <c r="AM925" s="27"/>
      <c r="AN925" s="27"/>
      <c r="AO925" s="27"/>
      <c r="AP925" s="27"/>
      <c r="AQ925" s="27"/>
      <c r="AR925" s="27"/>
      <c r="AS925" s="27"/>
      <c r="AT925" s="27"/>
      <c r="AU925" s="27"/>
    </row>
    <row r="926" spans="1:47" ht="15.75" customHeight="1">
      <c r="A926" s="44">
        <v>44691</v>
      </c>
      <c r="B926" s="10">
        <v>322629</v>
      </c>
      <c r="C926" s="10" t="s">
        <v>1027</v>
      </c>
      <c r="D926" s="33" t="s">
        <v>1037</v>
      </c>
      <c r="E926" s="90">
        <v>520000</v>
      </c>
      <c r="F926" s="33" t="s">
        <v>1787</v>
      </c>
      <c r="G926" s="33" t="s">
        <v>835</v>
      </c>
      <c r="H926" s="33" t="s">
        <v>1176</v>
      </c>
      <c r="I926" s="33" t="s">
        <v>973</v>
      </c>
      <c r="J926" s="44">
        <v>44267</v>
      </c>
      <c r="K926" s="35" t="s">
        <v>1041</v>
      </c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F926" s="27"/>
      <c r="AG926" s="27"/>
      <c r="AH926" s="27"/>
      <c r="AI926" s="27"/>
      <c r="AJ926" s="27"/>
      <c r="AK926" s="27"/>
      <c r="AL926" s="27"/>
      <c r="AM926" s="27"/>
      <c r="AN926" s="27"/>
      <c r="AO926" s="27"/>
      <c r="AP926" s="27"/>
      <c r="AQ926" s="27"/>
      <c r="AR926" s="27"/>
      <c r="AS926" s="27"/>
      <c r="AT926" s="27"/>
      <c r="AU926" s="27"/>
    </row>
    <row r="927" spans="1:47" ht="15.75" customHeight="1">
      <c r="A927" s="44">
        <v>44691</v>
      </c>
      <c r="B927" s="10" t="s">
        <v>1398</v>
      </c>
      <c r="C927" s="10" t="s">
        <v>1027</v>
      </c>
      <c r="D927" s="33" t="s">
        <v>1037</v>
      </c>
      <c r="E927" s="90">
        <v>30995.22</v>
      </c>
      <c r="F927" s="33" t="s">
        <v>1399</v>
      </c>
      <c r="G927" s="33" t="s">
        <v>835</v>
      </c>
      <c r="H927" s="33" t="s">
        <v>1176</v>
      </c>
      <c r="I927" s="33" t="s">
        <v>973</v>
      </c>
      <c r="J927" s="44">
        <v>44280</v>
      </c>
      <c r="K927" s="35" t="s">
        <v>1041</v>
      </c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F927" s="27"/>
      <c r="AG927" s="27"/>
      <c r="AH927" s="27"/>
      <c r="AI927" s="27"/>
      <c r="AJ927" s="27"/>
      <c r="AK927" s="27"/>
      <c r="AL927" s="27"/>
      <c r="AM927" s="27"/>
      <c r="AN927" s="27"/>
      <c r="AO927" s="27"/>
      <c r="AP927" s="27"/>
      <c r="AQ927" s="27"/>
      <c r="AR927" s="27"/>
      <c r="AS927" s="27"/>
      <c r="AT927" s="27"/>
      <c r="AU927" s="27"/>
    </row>
    <row r="928" spans="1:47" ht="15.75" customHeight="1">
      <c r="A928" s="44">
        <v>44692</v>
      </c>
      <c r="B928" s="10">
        <v>461432</v>
      </c>
      <c r="C928" s="10" t="s">
        <v>1027</v>
      </c>
      <c r="D928" s="33" t="s">
        <v>1037</v>
      </c>
      <c r="E928" s="90">
        <v>89300</v>
      </c>
      <c r="F928" s="33" t="s">
        <v>1788</v>
      </c>
      <c r="G928" s="33" t="s">
        <v>835</v>
      </c>
      <c r="H928" s="33" t="s">
        <v>1176</v>
      </c>
      <c r="I928" s="33" t="s">
        <v>971</v>
      </c>
      <c r="J928" s="44">
        <v>44319</v>
      </c>
      <c r="K928" s="35" t="s">
        <v>1030</v>
      </c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F928" s="27"/>
      <c r="AG928" s="27"/>
      <c r="AH928" s="27"/>
      <c r="AI928" s="27"/>
      <c r="AJ928" s="27"/>
      <c r="AK928" s="27"/>
      <c r="AL928" s="27"/>
      <c r="AM928" s="27"/>
      <c r="AN928" s="27"/>
      <c r="AO928" s="27"/>
      <c r="AP928" s="27"/>
      <c r="AQ928" s="27"/>
      <c r="AR928" s="27"/>
      <c r="AS928" s="27"/>
      <c r="AT928" s="27"/>
      <c r="AU928" s="27"/>
    </row>
    <row r="929" spans="1:47" ht="15.75" customHeight="1">
      <c r="A929" s="44">
        <v>44692</v>
      </c>
      <c r="B929" s="57" t="s">
        <v>1658</v>
      </c>
      <c r="C929" s="10" t="s">
        <v>48</v>
      </c>
      <c r="D929" s="33" t="s">
        <v>1037</v>
      </c>
      <c r="E929" s="90">
        <v>30000</v>
      </c>
      <c r="F929" s="33" t="s">
        <v>1659</v>
      </c>
      <c r="G929" s="54" t="s">
        <v>835</v>
      </c>
      <c r="H929" s="33" t="s">
        <v>86</v>
      </c>
      <c r="I929" s="44" t="s">
        <v>957</v>
      </c>
      <c r="J929" s="44">
        <v>44594</v>
      </c>
      <c r="K929" s="33" t="s">
        <v>1179</v>
      </c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F929" s="27"/>
      <c r="AG929" s="27"/>
      <c r="AH929" s="27"/>
      <c r="AI929" s="27"/>
      <c r="AJ929" s="27"/>
      <c r="AK929" s="27"/>
      <c r="AL929" s="27"/>
      <c r="AM929" s="27"/>
      <c r="AN929" s="27"/>
      <c r="AO929" s="27"/>
      <c r="AP929" s="27"/>
      <c r="AQ929" s="27"/>
      <c r="AR929" s="27"/>
      <c r="AS929" s="27"/>
      <c r="AT929" s="27"/>
      <c r="AU929" s="27"/>
    </row>
    <row r="930" spans="1:47" ht="15.75" customHeight="1">
      <c r="A930" s="44">
        <v>44693</v>
      </c>
      <c r="B930" s="10">
        <v>2214585</v>
      </c>
      <c r="C930" s="10" t="s">
        <v>48</v>
      </c>
      <c r="D930" s="33" t="s">
        <v>1037</v>
      </c>
      <c r="E930" s="90">
        <v>296037.19</v>
      </c>
      <c r="F930" s="33" t="s">
        <v>1789</v>
      </c>
      <c r="G930" s="33" t="s">
        <v>904</v>
      </c>
      <c r="H930" s="33" t="s">
        <v>86</v>
      </c>
      <c r="I930" s="33" t="s">
        <v>880</v>
      </c>
      <c r="J930" s="44">
        <v>44085</v>
      </c>
      <c r="K930" s="35" t="s">
        <v>1122</v>
      </c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F930" s="27"/>
      <c r="AG930" s="27"/>
      <c r="AH930" s="27"/>
      <c r="AI930" s="27"/>
      <c r="AJ930" s="27"/>
      <c r="AK930" s="27"/>
      <c r="AL930" s="27"/>
      <c r="AM930" s="27"/>
      <c r="AN930" s="27"/>
      <c r="AO930" s="27"/>
      <c r="AP930" s="27"/>
      <c r="AQ930" s="27"/>
      <c r="AR930" s="27"/>
      <c r="AS930" s="27"/>
      <c r="AT930" s="27"/>
      <c r="AU930" s="27"/>
    </row>
    <row r="931" spans="1:47" ht="15.75" customHeight="1">
      <c r="A931" s="44">
        <v>44693</v>
      </c>
      <c r="B931" s="10">
        <v>4886679</v>
      </c>
      <c r="C931" s="10" t="s">
        <v>48</v>
      </c>
      <c r="D931" s="33" t="s">
        <v>1037</v>
      </c>
      <c r="E931" s="90">
        <v>187153.1</v>
      </c>
      <c r="F931" s="33" t="s">
        <v>1790</v>
      </c>
      <c r="G931" s="33" t="s">
        <v>904</v>
      </c>
      <c r="H931" s="33" t="s">
        <v>86</v>
      </c>
      <c r="I931" s="33" t="s">
        <v>849</v>
      </c>
      <c r="J931" s="33">
        <v>0</v>
      </c>
      <c r="K931" s="35" t="s">
        <v>1438</v>
      </c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F931" s="27"/>
      <c r="AG931" s="27"/>
      <c r="AH931" s="27"/>
      <c r="AI931" s="27"/>
      <c r="AJ931" s="27"/>
      <c r="AK931" s="27"/>
      <c r="AL931" s="27"/>
      <c r="AM931" s="27"/>
      <c r="AN931" s="27"/>
      <c r="AO931" s="27"/>
      <c r="AP931" s="27"/>
      <c r="AQ931" s="27"/>
      <c r="AR931" s="27"/>
      <c r="AS931" s="27"/>
      <c r="AT931" s="27"/>
      <c r="AU931" s="27"/>
    </row>
    <row r="932" spans="1:47" ht="15.75" customHeight="1">
      <c r="A932" s="44">
        <v>44693</v>
      </c>
      <c r="B932" s="10">
        <v>4084071</v>
      </c>
      <c r="C932" s="10" t="s">
        <v>48</v>
      </c>
      <c r="D932" s="33" t="s">
        <v>1037</v>
      </c>
      <c r="E932" s="90">
        <v>15000</v>
      </c>
      <c r="F932" s="33" t="s">
        <v>1442</v>
      </c>
      <c r="G932" s="33" t="s">
        <v>835</v>
      </c>
      <c r="H932" s="33" t="s">
        <v>86</v>
      </c>
      <c r="I932" s="33" t="s">
        <v>998</v>
      </c>
      <c r="J932" s="44">
        <v>44326</v>
      </c>
      <c r="K932" s="35" t="s">
        <v>1041</v>
      </c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F932" s="27"/>
      <c r="AG932" s="27"/>
      <c r="AH932" s="27"/>
      <c r="AI932" s="27"/>
      <c r="AJ932" s="27"/>
      <c r="AK932" s="27"/>
      <c r="AL932" s="27"/>
      <c r="AM932" s="27"/>
      <c r="AN932" s="27"/>
      <c r="AO932" s="27"/>
      <c r="AP932" s="27"/>
      <c r="AQ932" s="27"/>
      <c r="AR932" s="27"/>
      <c r="AS932" s="27"/>
      <c r="AT932" s="27"/>
      <c r="AU932" s="27"/>
    </row>
    <row r="933" spans="1:47" ht="15.75" customHeight="1">
      <c r="A933" s="44">
        <v>44693</v>
      </c>
      <c r="B933" s="38" t="s">
        <v>1306</v>
      </c>
      <c r="C933" s="46" t="s">
        <v>1027</v>
      </c>
      <c r="D933" s="33" t="s">
        <v>1037</v>
      </c>
      <c r="E933" s="98">
        <v>10000</v>
      </c>
      <c r="F933" s="33" t="s">
        <v>1307</v>
      </c>
      <c r="G933" s="44" t="s">
        <v>835</v>
      </c>
      <c r="H933" s="44" t="s">
        <v>1176</v>
      </c>
      <c r="I933" s="44" t="s">
        <v>975</v>
      </c>
      <c r="J933" s="44">
        <v>44266</v>
      </c>
      <c r="K933" s="44" t="s">
        <v>1054</v>
      </c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F933" s="27"/>
      <c r="AG933" s="27"/>
      <c r="AH933" s="27"/>
      <c r="AI933" s="27"/>
      <c r="AJ933" s="27"/>
      <c r="AK933" s="27"/>
      <c r="AL933" s="27"/>
      <c r="AM933" s="27"/>
      <c r="AN933" s="27"/>
      <c r="AO933" s="27"/>
      <c r="AP933" s="27"/>
      <c r="AQ933" s="27"/>
      <c r="AR933" s="27"/>
      <c r="AS933" s="27"/>
      <c r="AT933" s="27"/>
      <c r="AU933" s="27"/>
    </row>
    <row r="934" spans="1:47" ht="15.75" customHeight="1">
      <c r="A934" s="44">
        <v>44694</v>
      </c>
      <c r="B934" s="10">
        <v>4401235</v>
      </c>
      <c r="C934" s="10" t="s">
        <v>48</v>
      </c>
      <c r="D934" s="33" t="s">
        <v>1037</v>
      </c>
      <c r="E934" s="90">
        <v>59000</v>
      </c>
      <c r="F934" s="33" t="s">
        <v>1791</v>
      </c>
      <c r="G934" s="46" t="s">
        <v>835</v>
      </c>
      <c r="H934" s="46" t="s">
        <v>86</v>
      </c>
      <c r="I934" s="46" t="s">
        <v>997</v>
      </c>
      <c r="J934" s="44">
        <v>44089</v>
      </c>
      <c r="K934" s="35" t="s">
        <v>1179</v>
      </c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F934" s="27"/>
      <c r="AG934" s="27"/>
      <c r="AH934" s="27"/>
      <c r="AI934" s="27"/>
      <c r="AJ934" s="27"/>
      <c r="AK934" s="27"/>
      <c r="AL934" s="27"/>
      <c r="AM934" s="27"/>
      <c r="AN934" s="27"/>
      <c r="AO934" s="27"/>
      <c r="AP934" s="27"/>
      <c r="AQ934" s="27"/>
      <c r="AR934" s="27"/>
      <c r="AS934" s="27"/>
      <c r="AT934" s="27"/>
      <c r="AU934" s="27"/>
    </row>
    <row r="935" spans="1:47" ht="15.75" customHeight="1">
      <c r="A935" s="44">
        <v>44694</v>
      </c>
      <c r="B935" s="10">
        <v>7438369</v>
      </c>
      <c r="C935" s="10" t="s">
        <v>48</v>
      </c>
      <c r="D935" s="33" t="s">
        <v>1028</v>
      </c>
      <c r="E935" s="90">
        <v>28617.08</v>
      </c>
      <c r="F935" s="33" t="s">
        <v>1742</v>
      </c>
      <c r="G935" s="33" t="s">
        <v>904</v>
      </c>
      <c r="H935" s="33" t="s">
        <v>86</v>
      </c>
      <c r="I935" s="33" t="s">
        <v>853</v>
      </c>
      <c r="J935" s="44">
        <v>44551</v>
      </c>
      <c r="K935" s="35" t="s">
        <v>1030</v>
      </c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F935" s="27"/>
      <c r="AG935" s="27"/>
      <c r="AH935" s="27"/>
      <c r="AI935" s="27"/>
      <c r="AJ935" s="27"/>
      <c r="AK935" s="27"/>
      <c r="AL935" s="27"/>
      <c r="AM935" s="27"/>
      <c r="AN935" s="27"/>
      <c r="AO935" s="27"/>
      <c r="AP935" s="27"/>
      <c r="AQ935" s="27"/>
      <c r="AR935" s="27"/>
      <c r="AS935" s="27"/>
      <c r="AT935" s="27"/>
      <c r="AU935" s="27"/>
    </row>
    <row r="936" spans="1:47" ht="15.75" customHeight="1">
      <c r="A936" s="44">
        <v>44694</v>
      </c>
      <c r="B936" s="10">
        <v>7542389</v>
      </c>
      <c r="C936" s="10" t="s">
        <v>48</v>
      </c>
      <c r="D936" s="33" t="s">
        <v>1028</v>
      </c>
      <c r="E936" s="90">
        <v>131457.67000000001</v>
      </c>
      <c r="F936" s="33" t="s">
        <v>1742</v>
      </c>
      <c r="G936" s="33" t="s">
        <v>904</v>
      </c>
      <c r="H936" s="33" t="s">
        <v>86</v>
      </c>
      <c r="I936" s="33" t="s">
        <v>853</v>
      </c>
      <c r="J936" s="44">
        <v>44579</v>
      </c>
      <c r="K936" s="35" t="s">
        <v>1179</v>
      </c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F936" s="27"/>
      <c r="AG936" s="27"/>
      <c r="AH936" s="27"/>
      <c r="AI936" s="27"/>
      <c r="AJ936" s="27"/>
      <c r="AK936" s="27"/>
      <c r="AL936" s="27"/>
      <c r="AM936" s="27"/>
      <c r="AN936" s="27"/>
      <c r="AO936" s="27"/>
      <c r="AP936" s="27"/>
      <c r="AQ936" s="27"/>
      <c r="AR936" s="27"/>
      <c r="AS936" s="27"/>
      <c r="AT936" s="27"/>
      <c r="AU936" s="27"/>
    </row>
    <row r="937" spans="1:47" ht="15.75" customHeight="1">
      <c r="A937" s="44">
        <v>44694</v>
      </c>
      <c r="B937" s="10">
        <v>461432</v>
      </c>
      <c r="C937" s="10" t="s">
        <v>1027</v>
      </c>
      <c r="D937" s="33" t="s">
        <v>1037</v>
      </c>
      <c r="E937" s="90">
        <v>1000</v>
      </c>
      <c r="F937" s="33" t="s">
        <v>1788</v>
      </c>
      <c r="G937" s="33" t="s">
        <v>835</v>
      </c>
      <c r="H937" s="33" t="s">
        <v>1176</v>
      </c>
      <c r="I937" s="33" t="s">
        <v>971</v>
      </c>
      <c r="J937" s="44">
        <v>44319</v>
      </c>
      <c r="K937" s="35" t="s">
        <v>1030</v>
      </c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F937" s="27"/>
      <c r="AG937" s="27"/>
      <c r="AH937" s="27"/>
      <c r="AI937" s="27"/>
      <c r="AJ937" s="27"/>
      <c r="AK937" s="27"/>
      <c r="AL937" s="27"/>
      <c r="AM937" s="27"/>
      <c r="AN937" s="27"/>
      <c r="AO937" s="27"/>
      <c r="AP937" s="27"/>
      <c r="AQ937" s="27"/>
      <c r="AR937" s="27"/>
      <c r="AS937" s="27"/>
      <c r="AT937" s="27"/>
      <c r="AU937" s="27"/>
    </row>
    <row r="938" spans="1:47" ht="15.75" customHeight="1">
      <c r="A938" s="44">
        <v>44694</v>
      </c>
      <c r="B938" s="33" t="s">
        <v>1665</v>
      </c>
      <c r="C938" s="10" t="s">
        <v>1027</v>
      </c>
      <c r="D938" s="33" t="s">
        <v>1037</v>
      </c>
      <c r="E938" s="90">
        <v>20000</v>
      </c>
      <c r="F938" s="10" t="s">
        <v>1714</v>
      </c>
      <c r="G938" s="33" t="s">
        <v>835</v>
      </c>
      <c r="H938" s="33" t="s">
        <v>1176</v>
      </c>
      <c r="I938" s="33" t="s">
        <v>973</v>
      </c>
      <c r="J938" s="44">
        <v>44263</v>
      </c>
      <c r="K938" s="35" t="s">
        <v>1054</v>
      </c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F938" s="27"/>
      <c r="AG938" s="27"/>
      <c r="AH938" s="27"/>
      <c r="AI938" s="27"/>
      <c r="AJ938" s="27"/>
      <c r="AK938" s="27"/>
      <c r="AL938" s="27"/>
      <c r="AM938" s="27"/>
      <c r="AN938" s="27"/>
      <c r="AO938" s="27"/>
      <c r="AP938" s="27"/>
      <c r="AQ938" s="27"/>
      <c r="AR938" s="27"/>
      <c r="AS938" s="27"/>
      <c r="AT938" s="27"/>
      <c r="AU938" s="27"/>
    </row>
    <row r="939" spans="1:47" ht="15.75" customHeight="1">
      <c r="A939" s="44">
        <v>44698</v>
      </c>
      <c r="B939" s="10">
        <v>320910</v>
      </c>
      <c r="C939" s="10" t="s">
        <v>1027</v>
      </c>
      <c r="D939" s="33" t="s">
        <v>1037</v>
      </c>
      <c r="E939" s="90">
        <v>54000</v>
      </c>
      <c r="F939" s="33" t="s">
        <v>1792</v>
      </c>
      <c r="G939" s="33" t="s">
        <v>835</v>
      </c>
      <c r="H939" s="33" t="s">
        <v>1176</v>
      </c>
      <c r="I939" s="33" t="s">
        <v>973</v>
      </c>
      <c r="J939" s="44">
        <v>44328</v>
      </c>
      <c r="K939" s="35" t="s">
        <v>1041</v>
      </c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F939" s="27"/>
      <c r="AG939" s="27"/>
      <c r="AH939" s="27"/>
      <c r="AI939" s="27"/>
      <c r="AJ939" s="27"/>
      <c r="AK939" s="27"/>
      <c r="AL939" s="27"/>
      <c r="AM939" s="27"/>
      <c r="AN939" s="27"/>
      <c r="AO939" s="27"/>
      <c r="AP939" s="27"/>
      <c r="AQ939" s="27"/>
      <c r="AR939" s="27"/>
      <c r="AS939" s="27"/>
      <c r="AT939" s="27"/>
      <c r="AU939" s="27"/>
    </row>
    <row r="940" spans="1:47" ht="15.75" customHeight="1">
      <c r="A940" s="45">
        <v>44701</v>
      </c>
      <c r="B940" s="38" t="s">
        <v>1498</v>
      </c>
      <c r="C940" s="10" t="s">
        <v>1027</v>
      </c>
      <c r="D940" s="46" t="s">
        <v>1028</v>
      </c>
      <c r="E940" s="47">
        <v>120119.71</v>
      </c>
      <c r="F940" s="46" t="s">
        <v>1500</v>
      </c>
      <c r="G940" s="46" t="s">
        <v>835</v>
      </c>
      <c r="H940" s="46" t="s">
        <v>1176</v>
      </c>
      <c r="I940" s="46" t="s">
        <v>971</v>
      </c>
      <c r="J940" s="45">
        <v>44391</v>
      </c>
      <c r="K940" s="10" t="s">
        <v>1041</v>
      </c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F940" s="27"/>
      <c r="AG940" s="27"/>
      <c r="AH940" s="27"/>
      <c r="AI940" s="27"/>
      <c r="AJ940" s="27"/>
      <c r="AK940" s="27"/>
      <c r="AL940" s="27"/>
      <c r="AM940" s="27"/>
      <c r="AN940" s="27"/>
      <c r="AO940" s="27"/>
      <c r="AP940" s="27"/>
      <c r="AQ940" s="27"/>
      <c r="AR940" s="27"/>
      <c r="AS940" s="27"/>
      <c r="AT940" s="27"/>
      <c r="AU940" s="27"/>
    </row>
    <row r="941" spans="1:47" ht="15.75" customHeight="1">
      <c r="A941" s="44">
        <v>44704</v>
      </c>
      <c r="B941" s="10">
        <v>461432</v>
      </c>
      <c r="C941" s="10" t="s">
        <v>1027</v>
      </c>
      <c r="D941" s="33" t="s">
        <v>1037</v>
      </c>
      <c r="E941" s="90">
        <v>12200</v>
      </c>
      <c r="F941" s="33" t="s">
        <v>1788</v>
      </c>
      <c r="G941" s="33" t="s">
        <v>835</v>
      </c>
      <c r="H941" s="33" t="s">
        <v>1176</v>
      </c>
      <c r="I941" s="33" t="s">
        <v>971</v>
      </c>
      <c r="J941" s="44">
        <v>44319</v>
      </c>
      <c r="K941" s="35" t="s">
        <v>1030</v>
      </c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F941" s="27"/>
      <c r="AG941" s="27"/>
      <c r="AH941" s="27"/>
      <c r="AI941" s="27"/>
      <c r="AJ941" s="27"/>
      <c r="AK941" s="27"/>
      <c r="AL941" s="27"/>
      <c r="AM941" s="27"/>
      <c r="AN941" s="27"/>
      <c r="AO941" s="27"/>
      <c r="AP941" s="27"/>
      <c r="AQ941" s="27"/>
      <c r="AR941" s="27"/>
      <c r="AS941" s="27"/>
      <c r="AT941" s="27"/>
      <c r="AU941" s="27"/>
    </row>
    <row r="942" spans="1:47" ht="15.75" customHeight="1">
      <c r="A942" s="44">
        <v>44704</v>
      </c>
      <c r="B942" s="10">
        <v>5593800</v>
      </c>
      <c r="C942" s="10" t="s">
        <v>48</v>
      </c>
      <c r="D942" s="33" t="s">
        <v>1028</v>
      </c>
      <c r="E942" s="90">
        <v>97983.24</v>
      </c>
      <c r="F942" s="33" t="s">
        <v>1793</v>
      </c>
      <c r="G942" s="33" t="s">
        <v>835</v>
      </c>
      <c r="H942" s="33" t="s">
        <v>1299</v>
      </c>
      <c r="I942" s="33" t="s">
        <v>886</v>
      </c>
      <c r="J942" s="44">
        <v>44344</v>
      </c>
      <c r="K942" s="10" t="s">
        <v>1122</v>
      </c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F942" s="27"/>
      <c r="AG942" s="27"/>
      <c r="AH942" s="27"/>
      <c r="AI942" s="27"/>
      <c r="AJ942" s="27"/>
      <c r="AK942" s="27"/>
      <c r="AL942" s="27"/>
      <c r="AM942" s="27"/>
      <c r="AN942" s="27"/>
      <c r="AO942" s="27"/>
      <c r="AP942" s="27"/>
      <c r="AQ942" s="27"/>
      <c r="AR942" s="27"/>
      <c r="AS942" s="27"/>
      <c r="AT942" s="27"/>
      <c r="AU942" s="27"/>
    </row>
    <row r="943" spans="1:47" ht="15.75" customHeight="1">
      <c r="A943" s="44">
        <v>44704</v>
      </c>
      <c r="B943" s="10">
        <v>6986262</v>
      </c>
      <c r="C943" s="10" t="s">
        <v>48</v>
      </c>
      <c r="D943" s="33" t="s">
        <v>1037</v>
      </c>
      <c r="E943" s="90">
        <v>20000</v>
      </c>
      <c r="F943" s="33" t="s">
        <v>1689</v>
      </c>
      <c r="G943" s="33" t="s">
        <v>835</v>
      </c>
      <c r="H943" s="33" t="s">
        <v>1299</v>
      </c>
      <c r="I943" s="33" t="s">
        <v>906</v>
      </c>
      <c r="J943" s="44">
        <v>44503</v>
      </c>
      <c r="K943" s="10" t="s">
        <v>1438</v>
      </c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F943" s="27"/>
      <c r="AG943" s="27"/>
      <c r="AH943" s="27"/>
      <c r="AI943" s="27"/>
      <c r="AJ943" s="27"/>
      <c r="AK943" s="27"/>
      <c r="AL943" s="27"/>
      <c r="AM943" s="27"/>
      <c r="AN943" s="27"/>
      <c r="AO943" s="27"/>
      <c r="AP943" s="27"/>
      <c r="AQ943" s="27"/>
      <c r="AR943" s="27"/>
      <c r="AS943" s="27"/>
      <c r="AT943" s="27"/>
      <c r="AU943" s="27"/>
    </row>
    <row r="944" spans="1:47" ht="15.75" customHeight="1">
      <c r="A944" s="44">
        <v>44705</v>
      </c>
      <c r="B944" s="65" t="s">
        <v>1794</v>
      </c>
      <c r="C944" s="63" t="s">
        <v>48</v>
      </c>
      <c r="D944" s="59" t="s">
        <v>1037</v>
      </c>
      <c r="E944" s="106">
        <v>150000</v>
      </c>
      <c r="F944" s="59" t="s">
        <v>1795</v>
      </c>
      <c r="G944" s="59" t="s">
        <v>835</v>
      </c>
      <c r="H944" s="59" t="s">
        <v>1299</v>
      </c>
      <c r="I944" s="59" t="s">
        <v>989</v>
      </c>
      <c r="J944" s="66">
        <v>44130</v>
      </c>
      <c r="K944" s="63" t="s">
        <v>1041</v>
      </c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F944" s="27"/>
      <c r="AG944" s="27"/>
      <c r="AH944" s="27"/>
      <c r="AI944" s="27"/>
      <c r="AJ944" s="27"/>
      <c r="AK944" s="27"/>
      <c r="AL944" s="27"/>
      <c r="AM944" s="27"/>
      <c r="AN944" s="27"/>
      <c r="AO944" s="27"/>
      <c r="AP944" s="27"/>
      <c r="AQ944" s="27"/>
      <c r="AR944" s="27"/>
      <c r="AS944" s="27"/>
      <c r="AT944" s="27"/>
      <c r="AU944" s="27"/>
    </row>
    <row r="945" spans="1:47" ht="15.75" customHeight="1">
      <c r="A945" s="44">
        <v>44707</v>
      </c>
      <c r="B945" s="63">
        <v>6866947</v>
      </c>
      <c r="C945" s="63" t="s">
        <v>48</v>
      </c>
      <c r="D945" s="59" t="s">
        <v>1037</v>
      </c>
      <c r="E945" s="106">
        <v>5000</v>
      </c>
      <c r="F945" s="59" t="s">
        <v>1796</v>
      </c>
      <c r="G945" s="59" t="s">
        <v>835</v>
      </c>
      <c r="H945" s="59" t="s">
        <v>1299</v>
      </c>
      <c r="I945" s="59" t="s">
        <v>886</v>
      </c>
      <c r="J945" s="66">
        <v>44497</v>
      </c>
      <c r="K945" s="63" t="s">
        <v>1054</v>
      </c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F945" s="27"/>
      <c r="AG945" s="27"/>
      <c r="AH945" s="27"/>
      <c r="AI945" s="27"/>
      <c r="AJ945" s="27"/>
      <c r="AK945" s="27"/>
      <c r="AL945" s="27"/>
      <c r="AM945" s="27"/>
      <c r="AN945" s="27"/>
      <c r="AO945" s="27"/>
      <c r="AP945" s="27"/>
      <c r="AQ945" s="27"/>
      <c r="AR945" s="27"/>
      <c r="AS945" s="27"/>
      <c r="AT945" s="27"/>
      <c r="AU945" s="27"/>
    </row>
    <row r="946" spans="1:47" ht="15.75" customHeight="1">
      <c r="A946" s="44">
        <v>44707</v>
      </c>
      <c r="B946" s="63">
        <v>385035</v>
      </c>
      <c r="C946" s="63" t="s">
        <v>1027</v>
      </c>
      <c r="D946" s="59" t="s">
        <v>1037</v>
      </c>
      <c r="E946" s="106">
        <v>53252</v>
      </c>
      <c r="F946" s="59" t="s">
        <v>1797</v>
      </c>
      <c r="G946" s="59" t="s">
        <v>830</v>
      </c>
      <c r="H946" s="59" t="s">
        <v>86</v>
      </c>
      <c r="I946" s="59" t="s">
        <v>878</v>
      </c>
      <c r="J946" s="66">
        <v>43811</v>
      </c>
      <c r="K946" s="107" t="s">
        <v>1054</v>
      </c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F946" s="27"/>
      <c r="AG946" s="27"/>
      <c r="AH946" s="27"/>
      <c r="AI946" s="27"/>
      <c r="AJ946" s="27"/>
      <c r="AK946" s="27"/>
      <c r="AL946" s="27"/>
      <c r="AM946" s="27"/>
      <c r="AN946" s="27"/>
      <c r="AO946" s="27"/>
      <c r="AP946" s="27"/>
      <c r="AQ946" s="27"/>
      <c r="AR946" s="27"/>
      <c r="AS946" s="27"/>
      <c r="AT946" s="27"/>
      <c r="AU946" s="27"/>
    </row>
    <row r="947" spans="1:47" ht="15.75" customHeight="1">
      <c r="A947" s="44">
        <v>44707</v>
      </c>
      <c r="B947" s="63">
        <v>798500</v>
      </c>
      <c r="C947" s="63" t="s">
        <v>1027</v>
      </c>
      <c r="D947" s="59" t="s">
        <v>1037</v>
      </c>
      <c r="E947" s="106">
        <v>15000</v>
      </c>
      <c r="F947" s="59" t="s">
        <v>1798</v>
      </c>
      <c r="G947" s="59" t="s">
        <v>835</v>
      </c>
      <c r="H947" s="59" t="s">
        <v>1176</v>
      </c>
      <c r="I947" s="59" t="s">
        <v>975</v>
      </c>
      <c r="J947" s="60">
        <v>44299</v>
      </c>
      <c r="K947" s="107" t="s">
        <v>1041</v>
      </c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F947" s="27"/>
      <c r="AG947" s="27"/>
      <c r="AH947" s="27"/>
      <c r="AI947" s="27"/>
      <c r="AJ947" s="27"/>
      <c r="AK947" s="27"/>
      <c r="AL947" s="27"/>
      <c r="AM947" s="27"/>
      <c r="AN947" s="27"/>
      <c r="AO947" s="27"/>
      <c r="AP947" s="27"/>
      <c r="AQ947" s="27"/>
      <c r="AR947" s="27"/>
      <c r="AS947" s="27"/>
      <c r="AT947" s="27"/>
      <c r="AU947" s="27"/>
    </row>
    <row r="948" spans="1:47" ht="15.75" customHeight="1">
      <c r="A948" s="44">
        <v>44713</v>
      </c>
      <c r="B948" s="63">
        <v>4681835</v>
      </c>
      <c r="C948" s="63" t="s">
        <v>48</v>
      </c>
      <c r="D948" s="59" t="s">
        <v>1028</v>
      </c>
      <c r="E948" s="106">
        <v>93639.74</v>
      </c>
      <c r="F948" s="59" t="s">
        <v>1799</v>
      </c>
      <c r="G948" s="59" t="s">
        <v>904</v>
      </c>
      <c r="H948" s="59" t="s">
        <v>86</v>
      </c>
      <c r="I948" s="59" t="s">
        <v>880</v>
      </c>
      <c r="J948" s="60">
        <v>44204</v>
      </c>
      <c r="K948" s="107" t="s">
        <v>1122</v>
      </c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F948" s="27"/>
      <c r="AG948" s="27"/>
      <c r="AH948" s="27"/>
      <c r="AI948" s="27"/>
      <c r="AJ948" s="27"/>
      <c r="AK948" s="27"/>
      <c r="AL948" s="27"/>
      <c r="AM948" s="27"/>
      <c r="AN948" s="27"/>
      <c r="AO948" s="27"/>
      <c r="AP948" s="27"/>
      <c r="AQ948" s="27"/>
      <c r="AR948" s="27"/>
      <c r="AS948" s="27"/>
      <c r="AT948" s="27"/>
      <c r="AU948" s="27"/>
    </row>
    <row r="949" spans="1:47" ht="15.75" customHeight="1">
      <c r="A949" s="45">
        <v>44713</v>
      </c>
      <c r="B949" s="67" t="s">
        <v>1388</v>
      </c>
      <c r="C949" s="63" t="s">
        <v>48</v>
      </c>
      <c r="D949" s="68" t="s">
        <v>1037</v>
      </c>
      <c r="E949" s="69">
        <v>4000</v>
      </c>
      <c r="F949" s="68" t="s">
        <v>1389</v>
      </c>
      <c r="G949" s="68" t="s">
        <v>835</v>
      </c>
      <c r="H949" s="68" t="s">
        <v>1299</v>
      </c>
      <c r="I949" s="68" t="s">
        <v>886</v>
      </c>
      <c r="J949" s="70">
        <v>44407</v>
      </c>
      <c r="K949" s="63" t="s">
        <v>1340</v>
      </c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F949" s="27"/>
      <c r="AG949" s="27"/>
      <c r="AH949" s="27"/>
      <c r="AI949" s="27"/>
      <c r="AJ949" s="27"/>
      <c r="AK949" s="27"/>
      <c r="AL949" s="27"/>
      <c r="AM949" s="27"/>
      <c r="AN949" s="27"/>
      <c r="AO949" s="27"/>
      <c r="AP949" s="27"/>
      <c r="AQ949" s="27"/>
      <c r="AR949" s="27"/>
      <c r="AS949" s="27"/>
      <c r="AT949" s="27"/>
      <c r="AU949" s="27"/>
    </row>
    <row r="950" spans="1:47" ht="15.75" customHeight="1">
      <c r="A950" s="44">
        <v>44714</v>
      </c>
      <c r="B950" s="63">
        <v>2956150</v>
      </c>
      <c r="C950" s="63" t="s">
        <v>1076</v>
      </c>
      <c r="D950" s="59" t="s">
        <v>1037</v>
      </c>
      <c r="E950" s="106">
        <v>3000</v>
      </c>
      <c r="F950" s="59" t="s">
        <v>1165</v>
      </c>
      <c r="G950" s="59" t="s">
        <v>835</v>
      </c>
      <c r="H950" s="59" t="s">
        <v>86</v>
      </c>
      <c r="I950" s="59" t="s">
        <v>851</v>
      </c>
      <c r="J950" s="60">
        <v>44062</v>
      </c>
      <c r="K950" s="107" t="s">
        <v>1041</v>
      </c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F950" s="27"/>
      <c r="AG950" s="27"/>
      <c r="AH950" s="27"/>
      <c r="AI950" s="27"/>
      <c r="AJ950" s="27"/>
      <c r="AK950" s="27"/>
      <c r="AL950" s="27"/>
      <c r="AM950" s="27"/>
      <c r="AN950" s="27"/>
      <c r="AO950" s="27"/>
      <c r="AP950" s="27"/>
      <c r="AQ950" s="27"/>
      <c r="AR950" s="27"/>
      <c r="AS950" s="27"/>
      <c r="AT950" s="27"/>
      <c r="AU950" s="27"/>
    </row>
    <row r="951" spans="1:47" ht="15.75" customHeight="1">
      <c r="A951" s="45">
        <v>44715</v>
      </c>
      <c r="B951" s="67">
        <v>3553004</v>
      </c>
      <c r="C951" s="63" t="s">
        <v>48</v>
      </c>
      <c r="D951" s="68" t="s">
        <v>1062</v>
      </c>
      <c r="E951" s="69">
        <v>73682.14</v>
      </c>
      <c r="F951" s="68" t="s">
        <v>1800</v>
      </c>
      <c r="G951" s="68" t="s">
        <v>830</v>
      </c>
      <c r="H951" s="68" t="s">
        <v>86</v>
      </c>
      <c r="I951" s="68" t="s">
        <v>830</v>
      </c>
      <c r="J951" s="70">
        <v>43742</v>
      </c>
      <c r="K951" s="63" t="s">
        <v>1033</v>
      </c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F951" s="27"/>
      <c r="AG951" s="27"/>
      <c r="AH951" s="27"/>
      <c r="AI951" s="27"/>
      <c r="AJ951" s="27"/>
      <c r="AK951" s="27"/>
      <c r="AL951" s="27"/>
      <c r="AM951" s="27"/>
      <c r="AN951" s="27"/>
      <c r="AO951" s="27"/>
      <c r="AP951" s="27"/>
      <c r="AQ951" s="27"/>
      <c r="AR951" s="27"/>
      <c r="AS951" s="27"/>
      <c r="AT951" s="27"/>
      <c r="AU951" s="27"/>
    </row>
    <row r="952" spans="1:47" ht="15.75" customHeight="1">
      <c r="A952" s="45">
        <v>44718</v>
      </c>
      <c r="B952" s="67" t="s">
        <v>1801</v>
      </c>
      <c r="C952" s="63" t="s">
        <v>48</v>
      </c>
      <c r="D952" s="68" t="s">
        <v>1028</v>
      </c>
      <c r="E952" s="69" t="s">
        <v>1802</v>
      </c>
      <c r="F952" s="68" t="s">
        <v>1803</v>
      </c>
      <c r="G952" s="68" t="s">
        <v>835</v>
      </c>
      <c r="H952" s="68" t="s">
        <v>1299</v>
      </c>
      <c r="I952" s="68" t="s">
        <v>886</v>
      </c>
      <c r="J952" s="70">
        <v>44405</v>
      </c>
      <c r="K952" s="63" t="s">
        <v>1030</v>
      </c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F952" s="27"/>
      <c r="AG952" s="27"/>
      <c r="AH952" s="27"/>
      <c r="AI952" s="27"/>
      <c r="AJ952" s="27"/>
      <c r="AK952" s="27"/>
      <c r="AL952" s="27"/>
      <c r="AM952" s="27"/>
      <c r="AN952" s="27"/>
      <c r="AO952" s="27"/>
      <c r="AP952" s="27"/>
      <c r="AQ952" s="27"/>
      <c r="AR952" s="27"/>
      <c r="AS952" s="27"/>
      <c r="AT952" s="27"/>
      <c r="AU952" s="27"/>
    </row>
    <row r="953" spans="1:47" ht="15.75" customHeight="1">
      <c r="A953" s="45">
        <v>44718</v>
      </c>
      <c r="B953" s="67" t="s">
        <v>1441</v>
      </c>
      <c r="C953" s="63" t="s">
        <v>48</v>
      </c>
      <c r="D953" s="68" t="s">
        <v>1037</v>
      </c>
      <c r="E953" s="69">
        <v>127458.23</v>
      </c>
      <c r="F953" s="68" t="s">
        <v>1442</v>
      </c>
      <c r="G953" s="68" t="s">
        <v>835</v>
      </c>
      <c r="H953" s="68" t="s">
        <v>86</v>
      </c>
      <c r="I953" s="68" t="s">
        <v>998</v>
      </c>
      <c r="J953" s="70">
        <v>44326</v>
      </c>
      <c r="K953" s="63" t="s">
        <v>1179</v>
      </c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F953" s="27"/>
      <c r="AG953" s="27"/>
      <c r="AH953" s="27"/>
      <c r="AI953" s="27"/>
      <c r="AJ953" s="27"/>
      <c r="AK953" s="27"/>
      <c r="AL953" s="27"/>
      <c r="AM953" s="27"/>
      <c r="AN953" s="27"/>
      <c r="AO953" s="27"/>
      <c r="AP953" s="27"/>
      <c r="AQ953" s="27"/>
      <c r="AR953" s="27"/>
      <c r="AS953" s="27"/>
      <c r="AT953" s="27"/>
      <c r="AU953" s="27"/>
    </row>
    <row r="954" spans="1:47" ht="15.75" customHeight="1">
      <c r="A954" s="45">
        <v>44719</v>
      </c>
      <c r="B954" s="67" t="s">
        <v>1804</v>
      </c>
      <c r="C954" s="63" t="s">
        <v>48</v>
      </c>
      <c r="D954" s="68" t="s">
        <v>1062</v>
      </c>
      <c r="E954" s="69">
        <v>185758.05</v>
      </c>
      <c r="F954" s="68" t="s">
        <v>1805</v>
      </c>
      <c r="G954" s="68" t="s">
        <v>904</v>
      </c>
      <c r="H954" s="68" t="s">
        <v>86</v>
      </c>
      <c r="I954" s="68" t="s">
        <v>902</v>
      </c>
      <c r="J954" s="70">
        <v>44218</v>
      </c>
      <c r="K954" s="63" t="s">
        <v>1030</v>
      </c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F954" s="27"/>
      <c r="AG954" s="27"/>
      <c r="AH954" s="27"/>
      <c r="AI954" s="27"/>
      <c r="AJ954" s="27"/>
      <c r="AK954" s="27"/>
      <c r="AL954" s="27"/>
      <c r="AM954" s="27"/>
      <c r="AN954" s="27"/>
      <c r="AO954" s="27"/>
      <c r="AP954" s="27"/>
      <c r="AQ954" s="27"/>
      <c r="AR954" s="27"/>
      <c r="AS954" s="27"/>
      <c r="AT954" s="27"/>
      <c r="AU954" s="27"/>
    </row>
    <row r="955" spans="1:47" ht="15.75" customHeight="1">
      <c r="A955" s="45">
        <v>44719</v>
      </c>
      <c r="B955" s="67" t="s">
        <v>1806</v>
      </c>
      <c r="C955" s="63" t="s">
        <v>48</v>
      </c>
      <c r="D955" s="68" t="s">
        <v>1037</v>
      </c>
      <c r="E955" s="69">
        <v>470001.08</v>
      </c>
      <c r="F955" s="68" t="s">
        <v>1807</v>
      </c>
      <c r="G955" s="68" t="s">
        <v>904</v>
      </c>
      <c r="H955" s="68" t="s">
        <v>86</v>
      </c>
      <c r="I955" s="68" t="s">
        <v>890</v>
      </c>
      <c r="J955" s="70">
        <v>44103</v>
      </c>
      <c r="K955" s="63" t="s">
        <v>1054</v>
      </c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F955" s="27"/>
      <c r="AG955" s="27"/>
      <c r="AH955" s="27"/>
      <c r="AI955" s="27"/>
      <c r="AJ955" s="27"/>
      <c r="AK955" s="27"/>
      <c r="AL955" s="27"/>
      <c r="AM955" s="27"/>
      <c r="AN955" s="27"/>
      <c r="AO955" s="27"/>
      <c r="AP955" s="27"/>
      <c r="AQ955" s="27"/>
      <c r="AR955" s="27"/>
      <c r="AS955" s="27"/>
      <c r="AT955" s="27"/>
      <c r="AU955" s="27"/>
    </row>
    <row r="956" spans="1:47" ht="15.75" customHeight="1">
      <c r="A956" s="45">
        <v>44720</v>
      </c>
      <c r="B956" s="67" t="s">
        <v>1705</v>
      </c>
      <c r="C956" s="63" t="s">
        <v>48</v>
      </c>
      <c r="D956" s="68" t="s">
        <v>1037</v>
      </c>
      <c r="E956" s="69">
        <v>30000</v>
      </c>
      <c r="F956" s="68" t="s">
        <v>1706</v>
      </c>
      <c r="G956" s="68" t="s">
        <v>835</v>
      </c>
      <c r="H956" s="68" t="s">
        <v>1299</v>
      </c>
      <c r="I956" s="68" t="s">
        <v>1002</v>
      </c>
      <c r="J956" s="70">
        <v>44645</v>
      </c>
      <c r="K956" s="63" t="s">
        <v>1041</v>
      </c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F956" s="27"/>
      <c r="AG956" s="27"/>
      <c r="AH956" s="27"/>
      <c r="AI956" s="27"/>
      <c r="AJ956" s="27"/>
      <c r="AK956" s="27"/>
      <c r="AL956" s="27"/>
      <c r="AM956" s="27"/>
      <c r="AN956" s="27"/>
      <c r="AO956" s="27"/>
      <c r="AP956" s="27"/>
      <c r="AQ956" s="27"/>
      <c r="AR956" s="27"/>
      <c r="AS956" s="27"/>
      <c r="AT956" s="27"/>
      <c r="AU956" s="27"/>
    </row>
    <row r="957" spans="1:47" ht="15.75" customHeight="1">
      <c r="A957" s="45">
        <v>44721</v>
      </c>
      <c r="B957" s="67" t="s">
        <v>1582</v>
      </c>
      <c r="C957" s="63" t="s">
        <v>48</v>
      </c>
      <c r="D957" s="68" t="s">
        <v>1037</v>
      </c>
      <c r="E957" s="69">
        <v>20000</v>
      </c>
      <c r="F957" s="68" t="s">
        <v>1583</v>
      </c>
      <c r="G957" s="68" t="s">
        <v>835</v>
      </c>
      <c r="H957" s="68" t="s">
        <v>86</v>
      </c>
      <c r="I957" s="68" t="s">
        <v>920</v>
      </c>
      <c r="J957" s="70">
        <v>44399</v>
      </c>
      <c r="K957" s="63" t="s">
        <v>1041</v>
      </c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F957" s="27"/>
      <c r="AG957" s="27"/>
      <c r="AH957" s="27"/>
      <c r="AI957" s="27"/>
      <c r="AJ957" s="27"/>
      <c r="AK957" s="27"/>
      <c r="AL957" s="27"/>
      <c r="AM957" s="27"/>
      <c r="AN957" s="27"/>
      <c r="AO957" s="27"/>
      <c r="AP957" s="27"/>
      <c r="AQ957" s="27"/>
      <c r="AR957" s="27"/>
      <c r="AS957" s="27"/>
      <c r="AT957" s="27"/>
      <c r="AU957" s="27"/>
    </row>
    <row r="958" spans="1:47" ht="15.75" customHeight="1">
      <c r="A958" s="45">
        <v>44726</v>
      </c>
      <c r="B958" s="67" t="s">
        <v>1658</v>
      </c>
      <c r="C958" s="63" t="s">
        <v>48</v>
      </c>
      <c r="D958" s="68" t="s">
        <v>1037</v>
      </c>
      <c r="E958" s="69">
        <v>20000</v>
      </c>
      <c r="F958" s="68" t="s">
        <v>1659</v>
      </c>
      <c r="G958" s="68" t="s">
        <v>835</v>
      </c>
      <c r="H958" s="68" t="s">
        <v>86</v>
      </c>
      <c r="I958" s="68" t="s">
        <v>957</v>
      </c>
      <c r="J958" s="70">
        <v>44594</v>
      </c>
      <c r="K958" s="63" t="s">
        <v>1179</v>
      </c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F958" s="27"/>
      <c r="AG958" s="27"/>
      <c r="AH958" s="27"/>
      <c r="AI958" s="27"/>
      <c r="AJ958" s="27"/>
      <c r="AK958" s="27"/>
      <c r="AL958" s="27"/>
      <c r="AM958" s="27"/>
      <c r="AN958" s="27"/>
      <c r="AO958" s="27"/>
      <c r="AP958" s="27"/>
      <c r="AQ958" s="27"/>
      <c r="AR958" s="27"/>
      <c r="AS958" s="27"/>
      <c r="AT958" s="27"/>
      <c r="AU958" s="27"/>
    </row>
    <row r="959" spans="1:47" ht="15.75" customHeight="1">
      <c r="A959" s="45">
        <v>44727</v>
      </c>
      <c r="B959" s="67" t="s">
        <v>1808</v>
      </c>
      <c r="C959" s="63" t="s">
        <v>48</v>
      </c>
      <c r="D959" s="68" t="s">
        <v>1028</v>
      </c>
      <c r="E959" s="69">
        <v>9396.31</v>
      </c>
      <c r="F959" s="68" t="s">
        <v>1809</v>
      </c>
      <c r="G959" s="68" t="s">
        <v>835</v>
      </c>
      <c r="H959" s="68" t="s">
        <v>86</v>
      </c>
      <c r="I959" s="68" t="s">
        <v>999</v>
      </c>
      <c r="J959" s="70">
        <v>44323</v>
      </c>
      <c r="K959" s="63" t="s">
        <v>1179</v>
      </c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F959" s="27"/>
      <c r="AG959" s="27"/>
      <c r="AH959" s="27"/>
      <c r="AI959" s="27"/>
      <c r="AJ959" s="27"/>
      <c r="AK959" s="27"/>
      <c r="AL959" s="27"/>
      <c r="AM959" s="27"/>
      <c r="AN959" s="27"/>
      <c r="AO959" s="27"/>
      <c r="AP959" s="27"/>
      <c r="AQ959" s="27"/>
      <c r="AR959" s="27"/>
      <c r="AS959" s="27"/>
      <c r="AT959" s="27"/>
      <c r="AU959" s="27"/>
    </row>
    <row r="960" spans="1:47" ht="15.75" customHeight="1">
      <c r="A960" s="45">
        <v>44727</v>
      </c>
      <c r="B960" s="67" t="s">
        <v>1810</v>
      </c>
      <c r="C960" s="63" t="s">
        <v>48</v>
      </c>
      <c r="D960" s="68" t="s">
        <v>1037</v>
      </c>
      <c r="E960" s="69">
        <v>44000</v>
      </c>
      <c r="F960" s="68" t="s">
        <v>1811</v>
      </c>
      <c r="G960" s="68" t="s">
        <v>904</v>
      </c>
      <c r="H960" s="68" t="s">
        <v>86</v>
      </c>
      <c r="I960" s="68">
        <v>4551730</v>
      </c>
      <c r="J960" s="70">
        <v>44138</v>
      </c>
      <c r="K960" s="63" t="s">
        <v>1054</v>
      </c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F960" s="27"/>
      <c r="AG960" s="27"/>
      <c r="AH960" s="27"/>
      <c r="AI960" s="27"/>
      <c r="AJ960" s="27"/>
      <c r="AK960" s="27"/>
      <c r="AL960" s="27"/>
      <c r="AM960" s="27"/>
      <c r="AN960" s="27"/>
      <c r="AO960" s="27"/>
      <c r="AP960" s="27"/>
      <c r="AQ960" s="27"/>
      <c r="AR960" s="27"/>
      <c r="AS960" s="27"/>
      <c r="AT960" s="27"/>
      <c r="AU960" s="27"/>
    </row>
    <row r="961" spans="1:47" ht="15.75" customHeight="1">
      <c r="A961" s="45">
        <v>44732</v>
      </c>
      <c r="B961" s="67">
        <v>4068685</v>
      </c>
      <c r="C961" s="63" t="s">
        <v>48</v>
      </c>
      <c r="D961" s="68" t="s">
        <v>1037</v>
      </c>
      <c r="E961" s="69">
        <v>250000</v>
      </c>
      <c r="F961" s="68" t="s">
        <v>1795</v>
      </c>
      <c r="G961" s="68" t="s">
        <v>835</v>
      </c>
      <c r="H961" s="68" t="s">
        <v>1299</v>
      </c>
      <c r="I961" s="68" t="s">
        <v>989</v>
      </c>
      <c r="J961" s="70">
        <v>44130</v>
      </c>
      <c r="K961" s="63" t="s">
        <v>1041</v>
      </c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F961" s="27"/>
      <c r="AG961" s="27"/>
      <c r="AH961" s="27"/>
      <c r="AI961" s="27"/>
      <c r="AJ961" s="27"/>
      <c r="AK961" s="27"/>
      <c r="AL961" s="27"/>
      <c r="AM961" s="27"/>
      <c r="AN961" s="27"/>
      <c r="AO961" s="27"/>
      <c r="AP961" s="27"/>
      <c r="AQ961" s="27"/>
      <c r="AR961" s="27"/>
      <c r="AS961" s="27"/>
      <c r="AT961" s="27"/>
      <c r="AU961" s="27"/>
    </row>
    <row r="962" spans="1:47" ht="15.75" customHeight="1">
      <c r="A962" s="45">
        <v>44734</v>
      </c>
      <c r="B962" s="67" t="s">
        <v>1806</v>
      </c>
      <c r="C962" s="63" t="s">
        <v>48</v>
      </c>
      <c r="D962" s="68" t="s">
        <v>1037</v>
      </c>
      <c r="E962" s="69">
        <v>823824</v>
      </c>
      <c r="F962" s="68" t="s">
        <v>1807</v>
      </c>
      <c r="G962" s="68" t="s">
        <v>904</v>
      </c>
      <c r="H962" s="68" t="s">
        <v>86</v>
      </c>
      <c r="I962" s="68" t="s">
        <v>890</v>
      </c>
      <c r="J962" s="70">
        <v>44103</v>
      </c>
      <c r="K962" s="63" t="s">
        <v>1054</v>
      </c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F962" s="27"/>
      <c r="AG962" s="27"/>
      <c r="AH962" s="27"/>
      <c r="AI962" s="27"/>
      <c r="AJ962" s="27"/>
      <c r="AK962" s="27"/>
      <c r="AL962" s="27"/>
      <c r="AM962" s="27"/>
      <c r="AN962" s="27"/>
      <c r="AO962" s="27"/>
      <c r="AP962" s="27"/>
      <c r="AQ962" s="27"/>
      <c r="AR962" s="27"/>
      <c r="AS962" s="27"/>
      <c r="AT962" s="27"/>
      <c r="AU962" s="27"/>
    </row>
    <row r="963" spans="1:47" ht="15.75" customHeight="1">
      <c r="A963" s="45">
        <v>44735</v>
      </c>
      <c r="B963" s="67" t="s">
        <v>1148</v>
      </c>
      <c r="C963" s="63" t="s">
        <v>1027</v>
      </c>
      <c r="D963" s="68" t="s">
        <v>1028</v>
      </c>
      <c r="E963" s="69">
        <v>64448.81</v>
      </c>
      <c r="F963" s="68" t="s">
        <v>1149</v>
      </c>
      <c r="G963" s="68" t="s">
        <v>830</v>
      </c>
      <c r="H963" s="68" t="s">
        <v>86</v>
      </c>
      <c r="I963" s="68" t="s">
        <v>878</v>
      </c>
      <c r="J963" s="70">
        <v>43707</v>
      </c>
      <c r="K963" s="63" t="s">
        <v>1030</v>
      </c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F963" s="27"/>
      <c r="AG963" s="27"/>
      <c r="AH963" s="27"/>
      <c r="AI963" s="27"/>
      <c r="AJ963" s="27"/>
      <c r="AK963" s="27"/>
      <c r="AL963" s="27"/>
      <c r="AM963" s="27"/>
      <c r="AN963" s="27"/>
      <c r="AO963" s="27"/>
      <c r="AP963" s="27"/>
      <c r="AQ963" s="27"/>
      <c r="AR963" s="27"/>
      <c r="AS963" s="27"/>
      <c r="AT963" s="27"/>
      <c r="AU963" s="27"/>
    </row>
    <row r="964" spans="1:47" ht="15.75" customHeight="1">
      <c r="A964" s="45">
        <v>44739</v>
      </c>
      <c r="B964" s="67" t="s">
        <v>1812</v>
      </c>
      <c r="C964" s="63" t="s">
        <v>48</v>
      </c>
      <c r="D964" s="68" t="s">
        <v>1037</v>
      </c>
      <c r="E964" s="69">
        <v>10000</v>
      </c>
      <c r="F964" s="68" t="s">
        <v>1813</v>
      </c>
      <c r="G964" s="68" t="s">
        <v>835</v>
      </c>
      <c r="H964" s="68" t="s">
        <v>1299</v>
      </c>
      <c r="I964" s="68" t="s">
        <v>1002</v>
      </c>
      <c r="J964" s="70">
        <v>44715</v>
      </c>
      <c r="K964" s="63" t="s">
        <v>1054</v>
      </c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F964" s="27"/>
      <c r="AG964" s="27"/>
      <c r="AH964" s="27"/>
      <c r="AI964" s="27"/>
      <c r="AJ964" s="27"/>
      <c r="AK964" s="27"/>
      <c r="AL964" s="27"/>
      <c r="AM964" s="27"/>
      <c r="AN964" s="27"/>
      <c r="AO964" s="27"/>
      <c r="AP964" s="27"/>
      <c r="AQ964" s="27"/>
      <c r="AR964" s="27"/>
      <c r="AS964" s="27"/>
      <c r="AT964" s="27"/>
      <c r="AU964" s="27"/>
    </row>
    <row r="965" spans="1:47" ht="15.75" customHeight="1">
      <c r="A965" s="45">
        <v>44739</v>
      </c>
      <c r="B965" s="67" t="s">
        <v>1814</v>
      </c>
      <c r="C965" s="63" t="s">
        <v>48</v>
      </c>
      <c r="D965" s="68" t="s">
        <v>1037</v>
      </c>
      <c r="E965" s="69">
        <v>323000</v>
      </c>
      <c r="F965" s="68" t="s">
        <v>1815</v>
      </c>
      <c r="G965" s="68" t="s">
        <v>835</v>
      </c>
      <c r="H965" s="68" t="s">
        <v>1299</v>
      </c>
      <c r="I965" s="68" t="s">
        <v>1002</v>
      </c>
      <c r="J965" s="70">
        <v>44694</v>
      </c>
      <c r="K965" s="63" t="s">
        <v>1179</v>
      </c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F965" s="27"/>
      <c r="AG965" s="27"/>
      <c r="AH965" s="27"/>
      <c r="AI965" s="27"/>
      <c r="AJ965" s="27"/>
      <c r="AK965" s="27"/>
      <c r="AL965" s="27"/>
      <c r="AM965" s="27"/>
      <c r="AN965" s="27"/>
      <c r="AO965" s="27"/>
      <c r="AP965" s="27"/>
      <c r="AQ965" s="27"/>
      <c r="AR965" s="27"/>
      <c r="AS965" s="27"/>
      <c r="AT965" s="27"/>
      <c r="AU965" s="27"/>
    </row>
    <row r="966" spans="1:47" ht="15.75" customHeight="1">
      <c r="A966" s="45">
        <v>44740</v>
      </c>
      <c r="B966" s="67" t="s">
        <v>1336</v>
      </c>
      <c r="C966" s="63" t="s">
        <v>48</v>
      </c>
      <c r="D966" s="68" t="s">
        <v>1062</v>
      </c>
      <c r="E966" s="69">
        <v>3147.95</v>
      </c>
      <c r="F966" s="68" t="s">
        <v>1337</v>
      </c>
      <c r="G966" s="68" t="s">
        <v>904</v>
      </c>
      <c r="H966" s="68" t="s">
        <v>86</v>
      </c>
      <c r="I966" s="68" t="s">
        <v>902</v>
      </c>
      <c r="J966" s="70">
        <v>44145</v>
      </c>
      <c r="K966" s="63" t="s">
        <v>1122</v>
      </c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F966" s="27"/>
      <c r="AG966" s="27"/>
      <c r="AH966" s="27"/>
      <c r="AI966" s="27"/>
      <c r="AJ966" s="27"/>
      <c r="AK966" s="27"/>
      <c r="AL966" s="27"/>
      <c r="AM966" s="27"/>
      <c r="AN966" s="27"/>
      <c r="AO966" s="27"/>
      <c r="AP966" s="27"/>
      <c r="AQ966" s="27"/>
      <c r="AR966" s="27"/>
      <c r="AS966" s="27"/>
      <c r="AT966" s="27"/>
      <c r="AU966" s="27"/>
    </row>
    <row r="967" spans="1:47" ht="15.75" customHeight="1">
      <c r="A967" s="45">
        <v>44740</v>
      </c>
      <c r="B967" s="67" t="s">
        <v>1816</v>
      </c>
      <c r="C967" s="63" t="s">
        <v>48</v>
      </c>
      <c r="D967" s="68" t="s">
        <v>1037</v>
      </c>
      <c r="E967" s="69">
        <v>35000</v>
      </c>
      <c r="F967" s="68" t="s">
        <v>1817</v>
      </c>
      <c r="G967" s="68" t="s">
        <v>835</v>
      </c>
      <c r="H967" s="68" t="s">
        <v>1299</v>
      </c>
      <c r="I967" s="68" t="s">
        <v>900</v>
      </c>
      <c r="J967" s="70">
        <v>44445</v>
      </c>
      <c r="K967" s="63" t="s">
        <v>1179</v>
      </c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F967" s="27"/>
      <c r="AG967" s="27"/>
      <c r="AH967" s="27"/>
      <c r="AI967" s="27"/>
      <c r="AJ967" s="27"/>
      <c r="AK967" s="27"/>
      <c r="AL967" s="27"/>
      <c r="AM967" s="27"/>
      <c r="AN967" s="27"/>
      <c r="AO967" s="27"/>
      <c r="AP967" s="27"/>
      <c r="AQ967" s="27"/>
      <c r="AR967" s="27"/>
      <c r="AS967" s="27"/>
      <c r="AT967" s="27"/>
      <c r="AU967" s="27"/>
    </row>
    <row r="968" spans="1:47" ht="15.75" customHeight="1">
      <c r="A968" s="45">
        <v>44740</v>
      </c>
      <c r="B968" s="67" t="s">
        <v>1818</v>
      </c>
      <c r="C968" s="63" t="s">
        <v>48</v>
      </c>
      <c r="D968" s="68" t="s">
        <v>1028</v>
      </c>
      <c r="E968" s="69" t="s">
        <v>1819</v>
      </c>
      <c r="F968" s="68" t="s">
        <v>1820</v>
      </c>
      <c r="G968" s="68" t="s">
        <v>835</v>
      </c>
      <c r="H968" s="68" t="s">
        <v>1299</v>
      </c>
      <c r="I968" s="68" t="s">
        <v>886</v>
      </c>
      <c r="J968" s="70">
        <v>44466</v>
      </c>
      <c r="K968" s="63" t="s">
        <v>1030</v>
      </c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F968" s="27"/>
      <c r="AG968" s="27"/>
      <c r="AH968" s="27"/>
      <c r="AI968" s="27"/>
      <c r="AJ968" s="27"/>
      <c r="AK968" s="27"/>
      <c r="AL968" s="27"/>
      <c r="AM968" s="27"/>
      <c r="AN968" s="27"/>
      <c r="AO968" s="27"/>
      <c r="AP968" s="27"/>
      <c r="AQ968" s="27"/>
      <c r="AR968" s="27"/>
      <c r="AS968" s="27"/>
      <c r="AT968" s="27"/>
      <c r="AU968" s="27"/>
    </row>
    <row r="969" spans="1:47" ht="15.75" customHeight="1">
      <c r="A969" s="45">
        <v>44741</v>
      </c>
      <c r="B969" s="67" t="s">
        <v>1821</v>
      </c>
      <c r="C969" s="63" t="s">
        <v>48</v>
      </c>
      <c r="D969" s="68" t="s">
        <v>1037</v>
      </c>
      <c r="E969" s="69">
        <v>350000</v>
      </c>
      <c r="F969" s="68" t="s">
        <v>1822</v>
      </c>
      <c r="G969" s="68" t="s">
        <v>835</v>
      </c>
      <c r="H969" s="68" t="s">
        <v>1299</v>
      </c>
      <c r="I969" s="68" t="s">
        <v>963</v>
      </c>
      <c r="J969" s="70">
        <v>44568</v>
      </c>
      <c r="K969" s="63" t="s">
        <v>1823</v>
      </c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F969" s="27"/>
      <c r="AG969" s="27"/>
      <c r="AH969" s="27"/>
      <c r="AI969" s="27"/>
      <c r="AJ969" s="27"/>
      <c r="AK969" s="27"/>
      <c r="AL969" s="27"/>
      <c r="AM969" s="27"/>
      <c r="AN969" s="27"/>
      <c r="AO969" s="27"/>
      <c r="AP969" s="27"/>
      <c r="AQ969" s="27"/>
      <c r="AR969" s="27"/>
      <c r="AS969" s="27"/>
      <c r="AT969" s="27"/>
      <c r="AU969" s="27"/>
    </row>
    <row r="970" spans="1:47" ht="15.75" customHeight="1">
      <c r="A970" s="45">
        <v>44741</v>
      </c>
      <c r="B970" s="67" t="s">
        <v>1824</v>
      </c>
      <c r="C970" s="63" t="s">
        <v>48</v>
      </c>
      <c r="D970" s="68" t="s">
        <v>1037</v>
      </c>
      <c r="E970" s="69">
        <v>15000</v>
      </c>
      <c r="F970" s="68" t="s">
        <v>1825</v>
      </c>
      <c r="G970" s="68" t="s">
        <v>835</v>
      </c>
      <c r="H970" s="68" t="s">
        <v>1299</v>
      </c>
      <c r="I970" s="68" t="s">
        <v>989</v>
      </c>
      <c r="J970" s="70">
        <v>44679</v>
      </c>
      <c r="K970" s="63" t="s">
        <v>1041</v>
      </c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F970" s="27"/>
      <c r="AG970" s="27"/>
      <c r="AH970" s="27"/>
      <c r="AI970" s="27"/>
      <c r="AJ970" s="27"/>
      <c r="AK970" s="27"/>
      <c r="AL970" s="27"/>
      <c r="AM970" s="27"/>
      <c r="AN970" s="27"/>
      <c r="AO970" s="27"/>
      <c r="AP970" s="27"/>
      <c r="AQ970" s="27"/>
      <c r="AR970" s="27"/>
      <c r="AS970" s="27"/>
      <c r="AT970" s="27"/>
      <c r="AU970" s="27"/>
    </row>
    <row r="971" spans="1:47" ht="15.75" customHeight="1">
      <c r="A971" s="45">
        <v>44746</v>
      </c>
      <c r="B971" s="67" t="s">
        <v>1826</v>
      </c>
      <c r="C971" s="63" t="s">
        <v>1027</v>
      </c>
      <c r="D971" s="68" t="s">
        <v>1028</v>
      </c>
      <c r="E971" s="69">
        <v>53398.09</v>
      </c>
      <c r="F971" s="68" t="s">
        <v>1827</v>
      </c>
      <c r="G971" s="68" t="s">
        <v>835</v>
      </c>
      <c r="H971" s="68" t="s">
        <v>1176</v>
      </c>
      <c r="I971" s="68" t="s">
        <v>971</v>
      </c>
      <c r="J971" s="70">
        <v>44335</v>
      </c>
      <c r="K971" s="63" t="s">
        <v>1041</v>
      </c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F971" s="27"/>
      <c r="AG971" s="27"/>
      <c r="AH971" s="27"/>
      <c r="AI971" s="27"/>
      <c r="AJ971" s="27"/>
      <c r="AK971" s="27"/>
      <c r="AL971" s="27"/>
      <c r="AM971" s="27"/>
      <c r="AN971" s="27"/>
      <c r="AO971" s="27"/>
      <c r="AP971" s="27"/>
      <c r="AQ971" s="27"/>
      <c r="AR971" s="27"/>
      <c r="AS971" s="27"/>
      <c r="AT971" s="27"/>
      <c r="AU971" s="27"/>
    </row>
    <row r="972" spans="1:47" ht="15.75" customHeight="1">
      <c r="A972" s="45">
        <v>44753</v>
      </c>
      <c r="B972" s="67" t="s">
        <v>1828</v>
      </c>
      <c r="C972" s="63" t="s">
        <v>48</v>
      </c>
      <c r="D972" s="68" t="s">
        <v>1028</v>
      </c>
      <c r="E972" s="69">
        <v>102018.55</v>
      </c>
      <c r="F972" s="68" t="s">
        <v>1829</v>
      </c>
      <c r="G972" s="68" t="s">
        <v>835</v>
      </c>
      <c r="H972" s="68" t="s">
        <v>86</v>
      </c>
      <c r="I972" s="68" t="s">
        <v>1001</v>
      </c>
      <c r="J972" s="70">
        <v>44655</v>
      </c>
      <c r="K972" s="63" t="s">
        <v>1041</v>
      </c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F972" s="27"/>
      <c r="AG972" s="27"/>
      <c r="AH972" s="27"/>
      <c r="AI972" s="27"/>
      <c r="AJ972" s="27"/>
      <c r="AK972" s="27"/>
      <c r="AL972" s="27"/>
      <c r="AM972" s="27"/>
      <c r="AN972" s="27"/>
      <c r="AO972" s="27"/>
      <c r="AP972" s="27"/>
      <c r="AQ972" s="27"/>
      <c r="AR972" s="27"/>
      <c r="AS972" s="27"/>
      <c r="AT972" s="27"/>
      <c r="AU972" s="27"/>
    </row>
    <row r="973" spans="1:47" ht="15.75" customHeight="1">
      <c r="A973" s="45">
        <v>44753</v>
      </c>
      <c r="B973" s="67" t="s">
        <v>1183</v>
      </c>
      <c r="C973" s="63" t="s">
        <v>48</v>
      </c>
      <c r="D973" s="68" t="s">
        <v>1037</v>
      </c>
      <c r="E973" s="69">
        <v>5000</v>
      </c>
      <c r="F973" s="68" t="s">
        <v>1184</v>
      </c>
      <c r="G973" s="68" t="s">
        <v>835</v>
      </c>
      <c r="H973" s="68" t="s">
        <v>1299</v>
      </c>
      <c r="I973" s="68" t="s">
        <v>912</v>
      </c>
      <c r="J973" s="70">
        <v>44263</v>
      </c>
      <c r="K973" s="63" t="s">
        <v>1179</v>
      </c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F973" s="27"/>
      <c r="AG973" s="27"/>
      <c r="AH973" s="27"/>
      <c r="AI973" s="27"/>
      <c r="AJ973" s="27"/>
      <c r="AK973" s="27"/>
      <c r="AL973" s="27"/>
      <c r="AM973" s="27"/>
      <c r="AN973" s="27"/>
      <c r="AO973" s="27"/>
      <c r="AP973" s="27"/>
      <c r="AQ973" s="27"/>
      <c r="AR973" s="27"/>
      <c r="AS973" s="27"/>
      <c r="AT973" s="27"/>
      <c r="AU973" s="27"/>
    </row>
    <row r="974" spans="1:47" ht="15.75" customHeight="1">
      <c r="A974" s="45">
        <v>44754</v>
      </c>
      <c r="B974" s="67" t="s">
        <v>1812</v>
      </c>
      <c r="C974" s="63" t="s">
        <v>48</v>
      </c>
      <c r="D974" s="68" t="s">
        <v>1037</v>
      </c>
      <c r="E974" s="69">
        <v>10000</v>
      </c>
      <c r="F974" s="68" t="s">
        <v>1813</v>
      </c>
      <c r="G974" s="68" t="s">
        <v>835</v>
      </c>
      <c r="H974" s="68" t="s">
        <v>1299</v>
      </c>
      <c r="I974" s="68" t="s">
        <v>1002</v>
      </c>
      <c r="J974" s="70">
        <v>44715</v>
      </c>
      <c r="K974" s="63" t="s">
        <v>1054</v>
      </c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F974" s="27"/>
      <c r="AG974" s="27"/>
      <c r="AH974" s="27"/>
      <c r="AI974" s="27"/>
      <c r="AJ974" s="27"/>
      <c r="AK974" s="27"/>
      <c r="AL974" s="27"/>
      <c r="AM974" s="27"/>
      <c r="AN974" s="27"/>
      <c r="AO974" s="27"/>
      <c r="AP974" s="27"/>
      <c r="AQ974" s="27"/>
      <c r="AR974" s="27"/>
      <c r="AS974" s="27"/>
      <c r="AT974" s="27"/>
      <c r="AU974" s="27"/>
    </row>
    <row r="975" spans="1:47" ht="15.75" customHeight="1">
      <c r="A975" s="45">
        <v>44754</v>
      </c>
      <c r="B975" s="67" t="s">
        <v>1812</v>
      </c>
      <c r="C975" s="63" t="s">
        <v>48</v>
      </c>
      <c r="D975" s="68" t="s">
        <v>1037</v>
      </c>
      <c r="E975" s="69">
        <v>10000</v>
      </c>
      <c r="F975" s="68" t="s">
        <v>1813</v>
      </c>
      <c r="G975" s="68" t="s">
        <v>835</v>
      </c>
      <c r="H975" s="68" t="s">
        <v>1299</v>
      </c>
      <c r="I975" s="68" t="s">
        <v>1002</v>
      </c>
      <c r="J975" s="70">
        <v>44715</v>
      </c>
      <c r="K975" s="63" t="s">
        <v>1054</v>
      </c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F975" s="27"/>
      <c r="AG975" s="27"/>
      <c r="AH975" s="27"/>
      <c r="AI975" s="27"/>
      <c r="AJ975" s="27"/>
      <c r="AK975" s="27"/>
      <c r="AL975" s="27"/>
      <c r="AM975" s="27"/>
      <c r="AN975" s="27"/>
      <c r="AO975" s="27"/>
      <c r="AP975" s="27"/>
      <c r="AQ975" s="27"/>
      <c r="AR975" s="27"/>
      <c r="AS975" s="27"/>
      <c r="AT975" s="27"/>
      <c r="AU975" s="27"/>
    </row>
    <row r="976" spans="1:47" ht="15.75" customHeight="1">
      <c r="A976" s="45">
        <v>44756</v>
      </c>
      <c r="B976" s="67" t="s">
        <v>1745</v>
      </c>
      <c r="C976" s="63" t="s">
        <v>48</v>
      </c>
      <c r="D976" s="68" t="s">
        <v>1037</v>
      </c>
      <c r="E976" s="69">
        <v>7141.5</v>
      </c>
      <c r="F976" s="68" t="s">
        <v>1746</v>
      </c>
      <c r="G976" s="68" t="s">
        <v>835</v>
      </c>
      <c r="H976" s="68" t="s">
        <v>1299</v>
      </c>
      <c r="I976" s="68" t="s">
        <v>886</v>
      </c>
      <c r="J976" s="70">
        <v>44084</v>
      </c>
      <c r="K976" s="63" t="s">
        <v>1030</v>
      </c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F976" s="27"/>
      <c r="AG976" s="27"/>
      <c r="AH976" s="27"/>
      <c r="AI976" s="27"/>
      <c r="AJ976" s="27"/>
      <c r="AK976" s="27"/>
      <c r="AL976" s="27"/>
      <c r="AM976" s="27"/>
      <c r="AN976" s="27"/>
      <c r="AO976" s="27"/>
      <c r="AP976" s="27"/>
      <c r="AQ976" s="27"/>
      <c r="AR976" s="27"/>
      <c r="AS976" s="27"/>
      <c r="AT976" s="27"/>
      <c r="AU976" s="27"/>
    </row>
    <row r="977" spans="1:47" ht="15.75" customHeight="1">
      <c r="A977" s="45">
        <v>44760</v>
      </c>
      <c r="B977" s="67" t="s">
        <v>1830</v>
      </c>
      <c r="C977" s="63" t="s">
        <v>48</v>
      </c>
      <c r="D977" s="68" t="s">
        <v>1062</v>
      </c>
      <c r="E977" s="69">
        <v>39350.99</v>
      </c>
      <c r="F977" s="68" t="s">
        <v>1831</v>
      </c>
      <c r="G977" s="68" t="s">
        <v>835</v>
      </c>
      <c r="H977" s="68" t="s">
        <v>86</v>
      </c>
      <c r="I977" s="68" t="s">
        <v>1001</v>
      </c>
      <c r="J977" s="70">
        <v>44615</v>
      </c>
      <c r="K977" s="63" t="s">
        <v>1179</v>
      </c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F977" s="27"/>
      <c r="AG977" s="27"/>
      <c r="AH977" s="27"/>
      <c r="AI977" s="27"/>
      <c r="AJ977" s="27"/>
      <c r="AK977" s="27"/>
      <c r="AL977" s="27"/>
      <c r="AM977" s="27"/>
      <c r="AN977" s="27"/>
      <c r="AO977" s="27"/>
      <c r="AP977" s="27"/>
      <c r="AQ977" s="27"/>
      <c r="AR977" s="27"/>
      <c r="AS977" s="27"/>
      <c r="AT977" s="27"/>
      <c r="AU977" s="27"/>
    </row>
    <row r="978" spans="1:47" ht="15.75" customHeight="1">
      <c r="A978" s="45">
        <v>44760</v>
      </c>
      <c r="B978" s="67" t="s">
        <v>1782</v>
      </c>
      <c r="C978" s="63" t="s">
        <v>48</v>
      </c>
      <c r="D978" s="68" t="s">
        <v>1062</v>
      </c>
      <c r="E978" s="69">
        <v>10000</v>
      </c>
      <c r="F978" s="68" t="s">
        <v>1783</v>
      </c>
      <c r="G978" s="68" t="s">
        <v>835</v>
      </c>
      <c r="H978" s="68" t="s">
        <v>1299</v>
      </c>
      <c r="I978" s="68" t="s">
        <v>886</v>
      </c>
      <c r="J978" s="70">
        <v>44744</v>
      </c>
      <c r="K978" s="63" t="s">
        <v>1122</v>
      </c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F978" s="27"/>
      <c r="AG978" s="27"/>
      <c r="AH978" s="27"/>
      <c r="AI978" s="27"/>
      <c r="AJ978" s="27"/>
      <c r="AK978" s="27"/>
      <c r="AL978" s="27"/>
      <c r="AM978" s="27"/>
      <c r="AN978" s="27"/>
      <c r="AO978" s="27"/>
      <c r="AP978" s="27"/>
      <c r="AQ978" s="27"/>
      <c r="AR978" s="27"/>
      <c r="AS978" s="27"/>
      <c r="AT978" s="27"/>
      <c r="AU978" s="27"/>
    </row>
    <row r="979" spans="1:47" ht="15.75" customHeight="1">
      <c r="A979" s="45">
        <v>44760</v>
      </c>
      <c r="B979" s="67" t="s">
        <v>1782</v>
      </c>
      <c r="C979" s="63" t="s">
        <v>48</v>
      </c>
      <c r="D979" s="68" t="s">
        <v>1037</v>
      </c>
      <c r="E979" s="69">
        <v>10000</v>
      </c>
      <c r="F979" s="68" t="s">
        <v>1783</v>
      </c>
      <c r="G979" s="68" t="s">
        <v>835</v>
      </c>
      <c r="H979" s="68" t="s">
        <v>1299</v>
      </c>
      <c r="I979" s="68" t="s">
        <v>886</v>
      </c>
      <c r="J979" s="70" t="s">
        <v>1832</v>
      </c>
      <c r="K979" s="63" t="s">
        <v>1833</v>
      </c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F979" s="27"/>
      <c r="AG979" s="27"/>
      <c r="AH979" s="27"/>
      <c r="AI979" s="27"/>
      <c r="AJ979" s="27"/>
      <c r="AK979" s="27"/>
      <c r="AL979" s="27"/>
      <c r="AM979" s="27"/>
      <c r="AN979" s="27"/>
      <c r="AO979" s="27"/>
      <c r="AP979" s="27"/>
      <c r="AQ979" s="27"/>
      <c r="AR979" s="27"/>
      <c r="AS979" s="27"/>
      <c r="AT979" s="27"/>
      <c r="AU979" s="27"/>
    </row>
    <row r="980" spans="1:47" ht="15.75" customHeight="1">
      <c r="A980" s="45">
        <v>44760</v>
      </c>
      <c r="B980" s="67" t="s">
        <v>1834</v>
      </c>
      <c r="C980" s="63" t="s">
        <v>48</v>
      </c>
      <c r="D980" s="68" t="s">
        <v>1037</v>
      </c>
      <c r="E980" s="69">
        <v>15000</v>
      </c>
      <c r="F980" s="68" t="s">
        <v>1835</v>
      </c>
      <c r="G980" s="68" t="s">
        <v>835</v>
      </c>
      <c r="H980" s="68" t="s">
        <v>86</v>
      </c>
      <c r="I980" s="68" t="s">
        <v>872</v>
      </c>
      <c r="J980" s="70">
        <v>44462</v>
      </c>
      <c r="K980" s="63" t="s">
        <v>1122</v>
      </c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F980" s="27"/>
      <c r="AG980" s="27"/>
      <c r="AH980" s="27"/>
      <c r="AI980" s="27"/>
      <c r="AJ980" s="27"/>
      <c r="AK980" s="27"/>
      <c r="AL980" s="27"/>
      <c r="AM980" s="27"/>
      <c r="AN980" s="27"/>
      <c r="AO980" s="27"/>
      <c r="AP980" s="27"/>
      <c r="AQ980" s="27"/>
      <c r="AR980" s="27"/>
      <c r="AS980" s="27"/>
      <c r="AT980" s="27"/>
      <c r="AU980" s="27"/>
    </row>
    <row r="981" spans="1:47" ht="15.75" customHeight="1">
      <c r="A981" s="45">
        <v>44761</v>
      </c>
      <c r="B981" s="67" t="s">
        <v>1640</v>
      </c>
      <c r="C981" s="63" t="s">
        <v>48</v>
      </c>
      <c r="D981" s="68" t="s">
        <v>1037</v>
      </c>
      <c r="E981" s="69">
        <v>27000</v>
      </c>
      <c r="F981" s="68" t="s">
        <v>1641</v>
      </c>
      <c r="G981" s="68" t="s">
        <v>835</v>
      </c>
      <c r="H981" s="68" t="s">
        <v>86</v>
      </c>
      <c r="I981" s="68" t="s">
        <v>876</v>
      </c>
      <c r="J981" s="70">
        <v>44061</v>
      </c>
      <c r="K981" s="63" t="s">
        <v>1041</v>
      </c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F981" s="27"/>
      <c r="AG981" s="27"/>
      <c r="AH981" s="27"/>
      <c r="AI981" s="27"/>
      <c r="AJ981" s="27"/>
      <c r="AK981" s="27"/>
      <c r="AL981" s="27"/>
      <c r="AM981" s="27"/>
      <c r="AN981" s="27"/>
      <c r="AO981" s="27"/>
      <c r="AP981" s="27"/>
      <c r="AQ981" s="27"/>
      <c r="AR981" s="27"/>
      <c r="AS981" s="27"/>
      <c r="AT981" s="27"/>
      <c r="AU981" s="27"/>
    </row>
    <row r="982" spans="1:47" ht="15.75" customHeight="1">
      <c r="A982" s="45">
        <v>44763</v>
      </c>
      <c r="B982" s="67" t="s">
        <v>1237</v>
      </c>
      <c r="C982" s="63" t="s">
        <v>48</v>
      </c>
      <c r="D982" s="68" t="s">
        <v>1037</v>
      </c>
      <c r="E982" s="69">
        <v>120000</v>
      </c>
      <c r="F982" s="68" t="s">
        <v>1238</v>
      </c>
      <c r="G982" s="68" t="s">
        <v>904</v>
      </c>
      <c r="H982" s="68" t="s">
        <v>86</v>
      </c>
      <c r="I982" s="68" t="s">
        <v>894</v>
      </c>
      <c r="J982" s="70">
        <v>44134</v>
      </c>
      <c r="K982" s="63" t="s">
        <v>1122</v>
      </c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F982" s="27"/>
      <c r="AG982" s="27"/>
      <c r="AH982" s="27"/>
      <c r="AI982" s="27"/>
      <c r="AJ982" s="27"/>
      <c r="AK982" s="27"/>
      <c r="AL982" s="27"/>
      <c r="AM982" s="27"/>
      <c r="AN982" s="27"/>
      <c r="AO982" s="27"/>
      <c r="AP982" s="27"/>
      <c r="AQ982" s="27"/>
      <c r="AR982" s="27"/>
      <c r="AS982" s="27"/>
      <c r="AT982" s="27"/>
      <c r="AU982" s="27"/>
    </row>
    <row r="983" spans="1:47" ht="15.75" customHeight="1">
      <c r="A983" s="45">
        <v>44763</v>
      </c>
      <c r="B983" s="67" t="s">
        <v>1812</v>
      </c>
      <c r="C983" s="63" t="s">
        <v>48</v>
      </c>
      <c r="D983" s="68" t="s">
        <v>1037</v>
      </c>
      <c r="E983" s="69">
        <v>10000</v>
      </c>
      <c r="F983" s="68" t="s">
        <v>1813</v>
      </c>
      <c r="G983" s="68" t="s">
        <v>835</v>
      </c>
      <c r="H983" s="68" t="s">
        <v>1299</v>
      </c>
      <c r="I983" s="68" t="s">
        <v>1002</v>
      </c>
      <c r="J983" s="70">
        <v>44715</v>
      </c>
      <c r="K983" s="63" t="s">
        <v>1054</v>
      </c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F983" s="27"/>
      <c r="AG983" s="27"/>
      <c r="AH983" s="27"/>
      <c r="AI983" s="27"/>
      <c r="AJ983" s="27"/>
      <c r="AK983" s="27"/>
      <c r="AL983" s="27"/>
      <c r="AM983" s="27"/>
      <c r="AN983" s="27"/>
      <c r="AO983" s="27"/>
      <c r="AP983" s="27"/>
      <c r="AQ983" s="27"/>
      <c r="AR983" s="27"/>
      <c r="AS983" s="27"/>
      <c r="AT983" s="27"/>
      <c r="AU983" s="27"/>
    </row>
    <row r="984" spans="1:47" ht="15.75" customHeight="1">
      <c r="A984" s="45">
        <v>44764</v>
      </c>
      <c r="B984" s="67" t="s">
        <v>1836</v>
      </c>
      <c r="C984" s="63" t="s">
        <v>48</v>
      </c>
      <c r="D984" s="68" t="s">
        <v>1028</v>
      </c>
      <c r="E984" s="69">
        <v>82162.42</v>
      </c>
      <c r="F984" s="68" t="s">
        <v>1837</v>
      </c>
      <c r="G984" s="68" t="s">
        <v>835</v>
      </c>
      <c r="H984" s="68" t="s">
        <v>86</v>
      </c>
      <c r="I984" s="68" t="s">
        <v>951</v>
      </c>
      <c r="J984" s="70">
        <v>44623</v>
      </c>
      <c r="K984" s="63" t="s">
        <v>1179</v>
      </c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F984" s="27"/>
      <c r="AG984" s="27"/>
      <c r="AH984" s="27"/>
      <c r="AI984" s="27"/>
      <c r="AJ984" s="27"/>
      <c r="AK984" s="27"/>
      <c r="AL984" s="27"/>
      <c r="AM984" s="27"/>
      <c r="AN984" s="27"/>
      <c r="AO984" s="27"/>
      <c r="AP984" s="27"/>
      <c r="AQ984" s="27"/>
      <c r="AR984" s="27"/>
      <c r="AS984" s="27"/>
      <c r="AT984" s="27"/>
      <c r="AU984" s="27"/>
    </row>
    <row r="985" spans="1:47" ht="15.75" customHeight="1">
      <c r="A985" s="45">
        <v>44764</v>
      </c>
      <c r="B985" s="67" t="s">
        <v>1838</v>
      </c>
      <c r="C985" s="63" t="s">
        <v>48</v>
      </c>
      <c r="D985" s="68" t="s">
        <v>1028</v>
      </c>
      <c r="E985" s="69">
        <v>545597.31000000006</v>
      </c>
      <c r="F985" s="68" t="s">
        <v>1839</v>
      </c>
      <c r="G985" s="68" t="s">
        <v>835</v>
      </c>
      <c r="H985" s="68" t="s">
        <v>86</v>
      </c>
      <c r="I985" s="68" t="s">
        <v>951</v>
      </c>
      <c r="J985" s="70">
        <v>44434</v>
      </c>
      <c r="K985" s="63" t="s">
        <v>1179</v>
      </c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F985" s="27"/>
      <c r="AG985" s="27"/>
      <c r="AH985" s="27"/>
      <c r="AI985" s="27"/>
      <c r="AJ985" s="27"/>
      <c r="AK985" s="27"/>
      <c r="AL985" s="27"/>
      <c r="AM985" s="27"/>
      <c r="AN985" s="27"/>
      <c r="AO985" s="27"/>
      <c r="AP985" s="27"/>
      <c r="AQ985" s="27"/>
      <c r="AR985" s="27"/>
      <c r="AS985" s="27"/>
      <c r="AT985" s="27"/>
      <c r="AU985" s="27"/>
    </row>
    <row r="986" spans="1:47" ht="15.75" customHeight="1">
      <c r="A986" s="45">
        <v>44764</v>
      </c>
      <c r="B986" s="67" t="s">
        <v>1671</v>
      </c>
      <c r="C986" s="63" t="s">
        <v>48</v>
      </c>
      <c r="D986" s="68" t="s">
        <v>1037</v>
      </c>
      <c r="E986" s="69">
        <v>100000</v>
      </c>
      <c r="F986" s="68" t="s">
        <v>1672</v>
      </c>
      <c r="G986" s="68" t="s">
        <v>835</v>
      </c>
      <c r="H986" s="68" t="s">
        <v>1299</v>
      </c>
      <c r="I986" s="68" t="s">
        <v>1002</v>
      </c>
      <c r="J986" s="70">
        <v>44609</v>
      </c>
      <c r="K986" s="63" t="s">
        <v>1054</v>
      </c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F986" s="27"/>
      <c r="AG986" s="27"/>
      <c r="AH986" s="27"/>
      <c r="AI986" s="27"/>
      <c r="AJ986" s="27"/>
      <c r="AK986" s="27"/>
      <c r="AL986" s="27"/>
      <c r="AM986" s="27"/>
      <c r="AN986" s="27"/>
      <c r="AO986" s="27"/>
      <c r="AP986" s="27"/>
      <c r="AQ986" s="27"/>
      <c r="AR986" s="27"/>
      <c r="AS986" s="27"/>
      <c r="AT986" s="27"/>
      <c r="AU986" s="27"/>
    </row>
    <row r="987" spans="1:47" ht="15.75" customHeight="1">
      <c r="A987" s="45">
        <v>44765</v>
      </c>
      <c r="B987" s="67" t="s">
        <v>1840</v>
      </c>
      <c r="C987" s="63" t="s">
        <v>48</v>
      </c>
      <c r="D987" s="68" t="s">
        <v>1028</v>
      </c>
      <c r="E987" s="69">
        <v>674420.41</v>
      </c>
      <c r="F987" s="68" t="s">
        <v>1841</v>
      </c>
      <c r="G987" s="68" t="s">
        <v>835</v>
      </c>
      <c r="H987" s="68" t="s">
        <v>86</v>
      </c>
      <c r="I987" s="68" t="s">
        <v>951</v>
      </c>
      <c r="J987" s="70">
        <v>44370</v>
      </c>
      <c r="K987" s="63" t="s">
        <v>1179</v>
      </c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F987" s="27"/>
      <c r="AG987" s="27"/>
      <c r="AH987" s="27"/>
      <c r="AI987" s="27"/>
      <c r="AJ987" s="27"/>
      <c r="AK987" s="27"/>
      <c r="AL987" s="27"/>
      <c r="AM987" s="27"/>
      <c r="AN987" s="27"/>
      <c r="AO987" s="27"/>
      <c r="AP987" s="27"/>
      <c r="AQ987" s="27"/>
      <c r="AR987" s="27"/>
      <c r="AS987" s="27"/>
      <c r="AT987" s="27"/>
      <c r="AU987" s="27"/>
    </row>
    <row r="988" spans="1:47" ht="15.75" customHeight="1">
      <c r="A988" s="45">
        <v>44767</v>
      </c>
      <c r="B988" s="67" t="s">
        <v>1842</v>
      </c>
      <c r="C988" s="63" t="s">
        <v>48</v>
      </c>
      <c r="D988" s="68" t="s">
        <v>1062</v>
      </c>
      <c r="E988" s="69">
        <v>152231.41</v>
      </c>
      <c r="F988" s="68" t="s">
        <v>1843</v>
      </c>
      <c r="G988" s="68" t="s">
        <v>835</v>
      </c>
      <c r="H988" s="68" t="s">
        <v>1299</v>
      </c>
      <c r="I988" s="68" t="s">
        <v>886</v>
      </c>
      <c r="J988" s="70">
        <v>44251</v>
      </c>
      <c r="K988" s="63" t="s">
        <v>1030</v>
      </c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F988" s="27"/>
      <c r="AG988" s="27"/>
      <c r="AH988" s="27"/>
      <c r="AI988" s="27"/>
      <c r="AJ988" s="27"/>
      <c r="AK988" s="27"/>
      <c r="AL988" s="27"/>
      <c r="AM988" s="27"/>
      <c r="AN988" s="27"/>
      <c r="AO988" s="27"/>
      <c r="AP988" s="27"/>
      <c r="AQ988" s="27"/>
      <c r="AR988" s="27"/>
      <c r="AS988" s="27"/>
      <c r="AT988" s="27"/>
      <c r="AU988" s="27"/>
    </row>
    <row r="989" spans="1:47" ht="15.75" customHeight="1">
      <c r="A989" s="45">
        <v>44768</v>
      </c>
      <c r="B989" s="67" t="s">
        <v>1681</v>
      </c>
      <c r="C989" s="63" t="s">
        <v>48</v>
      </c>
      <c r="D989" s="68" t="s">
        <v>1037</v>
      </c>
      <c r="E989" s="69">
        <v>10000</v>
      </c>
      <c r="F989" s="68" t="s">
        <v>1682</v>
      </c>
      <c r="G989" s="68" t="s">
        <v>835</v>
      </c>
      <c r="H989" s="68" t="s">
        <v>1299</v>
      </c>
      <c r="I989" s="68" t="s">
        <v>1002</v>
      </c>
      <c r="J989" s="70">
        <v>44615</v>
      </c>
      <c r="K989" s="63" t="s">
        <v>1041</v>
      </c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F989" s="27"/>
      <c r="AG989" s="27"/>
      <c r="AH989" s="27"/>
      <c r="AI989" s="27"/>
      <c r="AJ989" s="27"/>
      <c r="AK989" s="27"/>
      <c r="AL989" s="27"/>
      <c r="AM989" s="27"/>
      <c r="AN989" s="27"/>
      <c r="AO989" s="27"/>
      <c r="AP989" s="27"/>
      <c r="AQ989" s="27"/>
      <c r="AR989" s="27"/>
      <c r="AS989" s="27"/>
      <c r="AT989" s="27"/>
      <c r="AU989" s="27"/>
    </row>
    <row r="990" spans="1:47" ht="15.75" customHeight="1">
      <c r="A990" s="45">
        <v>44768</v>
      </c>
      <c r="B990" s="67" t="s">
        <v>1844</v>
      </c>
      <c r="C990" s="63" t="s">
        <v>48</v>
      </c>
      <c r="D990" s="68" t="s">
        <v>1037</v>
      </c>
      <c r="E990" s="69">
        <v>20000</v>
      </c>
      <c r="F990" s="68" t="s">
        <v>1845</v>
      </c>
      <c r="G990" s="68" t="s">
        <v>835</v>
      </c>
      <c r="H990" s="68" t="s">
        <v>86</v>
      </c>
      <c r="I990" s="68" t="s">
        <v>872</v>
      </c>
      <c r="J990" s="70">
        <v>44460</v>
      </c>
      <c r="K990" s="63" t="s">
        <v>1179</v>
      </c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F990" s="27"/>
      <c r="AG990" s="27"/>
      <c r="AH990" s="27"/>
      <c r="AI990" s="27"/>
      <c r="AJ990" s="27"/>
      <c r="AK990" s="27"/>
      <c r="AL990" s="27"/>
      <c r="AM990" s="27"/>
      <c r="AN990" s="27"/>
      <c r="AO990" s="27"/>
      <c r="AP990" s="27"/>
      <c r="AQ990" s="27"/>
      <c r="AR990" s="27"/>
      <c r="AS990" s="27"/>
      <c r="AT990" s="27"/>
      <c r="AU990" s="27"/>
    </row>
    <row r="991" spans="1:47" ht="15.75" customHeight="1">
      <c r="A991" s="45">
        <v>44768</v>
      </c>
      <c r="B991" s="67" t="s">
        <v>1846</v>
      </c>
      <c r="C991" s="63" t="s">
        <v>48</v>
      </c>
      <c r="D991" s="68" t="s">
        <v>1037</v>
      </c>
      <c r="E991" s="69">
        <v>3000</v>
      </c>
      <c r="F991" s="68" t="s">
        <v>1847</v>
      </c>
      <c r="G991" s="68" t="s">
        <v>835</v>
      </c>
      <c r="H991" s="68" t="s">
        <v>86</v>
      </c>
      <c r="I991" s="68" t="s">
        <v>920</v>
      </c>
      <c r="J991" s="70">
        <v>44393</v>
      </c>
      <c r="K991" s="63" t="s">
        <v>1122</v>
      </c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F991" s="27"/>
      <c r="AG991" s="27"/>
      <c r="AH991" s="27"/>
      <c r="AI991" s="27"/>
      <c r="AJ991" s="27"/>
      <c r="AK991" s="27"/>
      <c r="AL991" s="27"/>
      <c r="AM991" s="27"/>
      <c r="AN991" s="27"/>
      <c r="AO991" s="27"/>
      <c r="AP991" s="27"/>
      <c r="AQ991" s="27"/>
      <c r="AR991" s="27"/>
      <c r="AS991" s="27"/>
      <c r="AT991" s="27"/>
      <c r="AU991" s="27"/>
    </row>
    <row r="992" spans="1:47" ht="15.75" customHeight="1">
      <c r="A992" s="45">
        <v>44768</v>
      </c>
      <c r="B992" s="67" t="s">
        <v>1848</v>
      </c>
      <c r="C992" s="63" t="s">
        <v>48</v>
      </c>
      <c r="D992" s="68" t="s">
        <v>1037</v>
      </c>
      <c r="E992" s="69">
        <v>5000</v>
      </c>
      <c r="F992" s="68" t="s">
        <v>1785</v>
      </c>
      <c r="G992" s="68" t="s">
        <v>835</v>
      </c>
      <c r="H992" s="68" t="s">
        <v>86</v>
      </c>
      <c r="I992" s="68" t="s">
        <v>884</v>
      </c>
      <c r="J992" s="70">
        <v>44335</v>
      </c>
      <c r="K992" s="63" t="s">
        <v>1438</v>
      </c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F992" s="27"/>
      <c r="AG992" s="27"/>
      <c r="AH992" s="27"/>
      <c r="AI992" s="27"/>
      <c r="AJ992" s="27"/>
      <c r="AK992" s="27"/>
      <c r="AL992" s="27"/>
      <c r="AM992" s="27"/>
      <c r="AN992" s="27"/>
      <c r="AO992" s="27"/>
      <c r="AP992" s="27"/>
      <c r="AQ992" s="27"/>
      <c r="AR992" s="27"/>
      <c r="AS992" s="27"/>
      <c r="AT992" s="27"/>
      <c r="AU992" s="27"/>
    </row>
    <row r="993" spans="1:47" ht="15.75" customHeight="1">
      <c r="A993" s="45">
        <v>44768</v>
      </c>
      <c r="B993" s="67" t="s">
        <v>1849</v>
      </c>
      <c r="C993" s="63" t="s">
        <v>48</v>
      </c>
      <c r="D993" s="68" t="s">
        <v>1037</v>
      </c>
      <c r="E993" s="69">
        <v>18000</v>
      </c>
      <c r="F993" s="68" t="s">
        <v>1689</v>
      </c>
      <c r="G993" s="68" t="s">
        <v>835</v>
      </c>
      <c r="H993" s="68" t="s">
        <v>1299</v>
      </c>
      <c r="I993" s="68" t="s">
        <v>906</v>
      </c>
      <c r="J993" s="70">
        <v>44503</v>
      </c>
      <c r="K993" s="63" t="s">
        <v>1438</v>
      </c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  <c r="AF993" s="27"/>
      <c r="AG993" s="27"/>
      <c r="AH993" s="27"/>
      <c r="AI993" s="27"/>
      <c r="AJ993" s="27"/>
      <c r="AK993" s="27"/>
      <c r="AL993" s="27"/>
      <c r="AM993" s="27"/>
      <c r="AN993" s="27"/>
      <c r="AO993" s="27"/>
      <c r="AP993" s="27"/>
      <c r="AQ993" s="27"/>
      <c r="AR993" s="27"/>
      <c r="AS993" s="27"/>
      <c r="AT993" s="27"/>
      <c r="AU993" s="27"/>
    </row>
    <row r="994" spans="1:47" ht="15.75" customHeight="1">
      <c r="A994" s="45">
        <v>44769</v>
      </c>
      <c r="B994" s="67" t="s">
        <v>1850</v>
      </c>
      <c r="C994" s="63" t="s">
        <v>48</v>
      </c>
      <c r="D994" s="68" t="s">
        <v>1028</v>
      </c>
      <c r="E994" s="69">
        <v>101231.24</v>
      </c>
      <c r="F994" s="68" t="s">
        <v>1851</v>
      </c>
      <c r="G994" s="68" t="s">
        <v>835</v>
      </c>
      <c r="H994" s="68" t="s">
        <v>1299</v>
      </c>
      <c r="I994" s="68" t="s">
        <v>906</v>
      </c>
      <c r="J994" s="70">
        <v>44462</v>
      </c>
      <c r="K994" s="63" t="s">
        <v>1041</v>
      </c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  <c r="AF994" s="27"/>
      <c r="AG994" s="27"/>
      <c r="AH994" s="27"/>
      <c r="AI994" s="27"/>
      <c r="AJ994" s="27"/>
      <c r="AK994" s="27"/>
      <c r="AL994" s="27"/>
      <c r="AM994" s="27"/>
      <c r="AN994" s="27"/>
      <c r="AO994" s="27"/>
      <c r="AP994" s="27"/>
      <c r="AQ994" s="27"/>
      <c r="AR994" s="27"/>
      <c r="AS994" s="27"/>
      <c r="AT994" s="27"/>
      <c r="AU994" s="27"/>
    </row>
    <row r="995" spans="1:47" ht="15.75" customHeight="1">
      <c r="A995" s="45">
        <v>44769</v>
      </c>
      <c r="B995" s="67" t="s">
        <v>1164</v>
      </c>
      <c r="C995" s="63" t="s">
        <v>1076</v>
      </c>
      <c r="D995" s="68" t="s">
        <v>1037</v>
      </c>
      <c r="E995" s="69">
        <v>8500</v>
      </c>
      <c r="F995" s="68" t="s">
        <v>1165</v>
      </c>
      <c r="G995" s="68" t="s">
        <v>835</v>
      </c>
      <c r="H995" s="68" t="s">
        <v>86</v>
      </c>
      <c r="I995" s="68" t="s">
        <v>851</v>
      </c>
      <c r="J995" s="70">
        <v>44062</v>
      </c>
      <c r="K995" s="63" t="s">
        <v>1041</v>
      </c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  <c r="AF995" s="27"/>
      <c r="AG995" s="27"/>
      <c r="AH995" s="27"/>
      <c r="AI995" s="27"/>
      <c r="AJ995" s="27"/>
      <c r="AK995" s="27"/>
      <c r="AL995" s="27"/>
      <c r="AM995" s="27"/>
      <c r="AN995" s="27"/>
      <c r="AO995" s="27"/>
      <c r="AP995" s="27"/>
      <c r="AQ995" s="27"/>
      <c r="AR995" s="27"/>
      <c r="AS995" s="27"/>
      <c r="AT995" s="27"/>
      <c r="AU995" s="27"/>
    </row>
    <row r="996" spans="1:47" ht="15.75" customHeight="1">
      <c r="A996" s="45">
        <v>44769</v>
      </c>
      <c r="B996" s="67" t="s">
        <v>1705</v>
      </c>
      <c r="C996" s="63" t="s">
        <v>48</v>
      </c>
      <c r="D996" s="68" t="s">
        <v>1037</v>
      </c>
      <c r="E996" s="69">
        <v>90000</v>
      </c>
      <c r="F996" s="68" t="s">
        <v>1706</v>
      </c>
      <c r="G996" s="68" t="s">
        <v>835</v>
      </c>
      <c r="H996" s="68" t="s">
        <v>1299</v>
      </c>
      <c r="I996" s="68" t="s">
        <v>1002</v>
      </c>
      <c r="J996" s="70">
        <v>44645</v>
      </c>
      <c r="K996" s="63" t="s">
        <v>1041</v>
      </c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  <c r="AF996" s="27"/>
      <c r="AG996" s="27"/>
      <c r="AH996" s="27"/>
      <c r="AI996" s="27"/>
      <c r="AJ996" s="27"/>
      <c r="AK996" s="27"/>
      <c r="AL996" s="27"/>
      <c r="AM996" s="27"/>
      <c r="AN996" s="27"/>
      <c r="AO996" s="27"/>
      <c r="AP996" s="27"/>
      <c r="AQ996" s="27"/>
      <c r="AR996" s="27"/>
      <c r="AS996" s="27"/>
      <c r="AT996" s="27"/>
      <c r="AU996" s="27"/>
    </row>
    <row r="997" spans="1:47" ht="15.75" customHeight="1">
      <c r="A997" s="45">
        <v>44769</v>
      </c>
      <c r="B997" s="67" t="s">
        <v>1852</v>
      </c>
      <c r="C997" s="63" t="s">
        <v>48</v>
      </c>
      <c r="D997" s="68" t="s">
        <v>1028</v>
      </c>
      <c r="E997" s="69">
        <v>5000</v>
      </c>
      <c r="F997" s="68" t="s">
        <v>1853</v>
      </c>
      <c r="G997" s="68" t="s">
        <v>835</v>
      </c>
      <c r="H997" s="68" t="s">
        <v>1299</v>
      </c>
      <c r="I997" s="68" t="s">
        <v>886</v>
      </c>
      <c r="J997" s="70">
        <v>44619</v>
      </c>
      <c r="K997" s="63" t="s">
        <v>1030</v>
      </c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  <c r="AF997" s="27"/>
      <c r="AG997" s="27"/>
      <c r="AH997" s="27"/>
      <c r="AI997" s="27"/>
      <c r="AJ997" s="27"/>
      <c r="AK997" s="27"/>
      <c r="AL997" s="27"/>
      <c r="AM997" s="27"/>
      <c r="AN997" s="27"/>
      <c r="AO997" s="27"/>
      <c r="AP997" s="27"/>
      <c r="AQ997" s="27"/>
      <c r="AR997" s="27"/>
      <c r="AS997" s="27"/>
      <c r="AT997" s="27"/>
      <c r="AU997" s="27"/>
    </row>
    <row r="998" spans="1:47" ht="15.75" customHeight="1">
      <c r="A998" s="45">
        <v>44769</v>
      </c>
      <c r="B998" s="71" t="s">
        <v>1854</v>
      </c>
      <c r="C998" s="68" t="s">
        <v>48</v>
      </c>
      <c r="D998" s="59" t="s">
        <v>1037</v>
      </c>
      <c r="E998" s="108">
        <v>55000</v>
      </c>
      <c r="F998" s="59" t="s">
        <v>1855</v>
      </c>
      <c r="G998" s="60" t="s">
        <v>835</v>
      </c>
      <c r="H998" s="60" t="s">
        <v>1299</v>
      </c>
      <c r="I998" s="60" t="s">
        <v>1002</v>
      </c>
      <c r="J998" s="60">
        <v>44613</v>
      </c>
      <c r="K998" s="60" t="s">
        <v>1856</v>
      </c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  <c r="AF998" s="27"/>
      <c r="AG998" s="27"/>
      <c r="AH998" s="27"/>
      <c r="AI998" s="27"/>
      <c r="AJ998" s="27"/>
      <c r="AK998" s="27"/>
      <c r="AL998" s="27"/>
      <c r="AM998" s="27"/>
      <c r="AN998" s="27"/>
      <c r="AO998" s="27"/>
      <c r="AP998" s="27"/>
      <c r="AQ998" s="27"/>
      <c r="AR998" s="27"/>
      <c r="AS998" s="27"/>
      <c r="AT998" s="27"/>
      <c r="AU998" s="27"/>
    </row>
    <row r="999" spans="1:47" ht="15.75" customHeight="1">
      <c r="A999" s="45">
        <v>44769</v>
      </c>
      <c r="B999" s="71" t="s">
        <v>1857</v>
      </c>
      <c r="C999" s="68" t="s">
        <v>48</v>
      </c>
      <c r="D999" s="59" t="s">
        <v>1037</v>
      </c>
      <c r="E999" s="108">
        <v>10000</v>
      </c>
      <c r="F999" s="59" t="s">
        <v>1858</v>
      </c>
      <c r="G999" s="60" t="s">
        <v>835</v>
      </c>
      <c r="H999" s="60" t="s">
        <v>1299</v>
      </c>
      <c r="I999" s="60" t="s">
        <v>886</v>
      </c>
      <c r="J999" s="60">
        <v>44824</v>
      </c>
      <c r="K999" s="60" t="s">
        <v>1179</v>
      </c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  <c r="AF999" s="27"/>
      <c r="AG999" s="27"/>
      <c r="AH999" s="27"/>
      <c r="AI999" s="27"/>
      <c r="AJ999" s="27"/>
      <c r="AK999" s="27"/>
      <c r="AL999" s="27"/>
      <c r="AM999" s="27"/>
      <c r="AN999" s="27"/>
      <c r="AO999" s="27"/>
      <c r="AP999" s="27"/>
      <c r="AQ999" s="27"/>
      <c r="AR999" s="27"/>
      <c r="AS999" s="27"/>
      <c r="AT999" s="27"/>
      <c r="AU999" s="27"/>
    </row>
    <row r="1000" spans="1:47" ht="15.75" customHeight="1">
      <c r="A1000" s="45">
        <v>44774</v>
      </c>
      <c r="B1000" s="67" t="s">
        <v>1183</v>
      </c>
      <c r="C1000" s="63" t="s">
        <v>48</v>
      </c>
      <c r="D1000" s="68" t="s">
        <v>1037</v>
      </c>
      <c r="E1000" s="69">
        <v>25000</v>
      </c>
      <c r="F1000" s="68" t="s">
        <v>1184</v>
      </c>
      <c r="G1000" s="68" t="s">
        <v>904</v>
      </c>
      <c r="H1000" s="68" t="s">
        <v>86</v>
      </c>
      <c r="I1000" s="68" t="s">
        <v>912</v>
      </c>
      <c r="J1000" s="70">
        <v>44263</v>
      </c>
      <c r="K1000" s="63" t="s">
        <v>1041</v>
      </c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  <c r="AF1000" s="27"/>
      <c r="AG1000" s="27"/>
      <c r="AH1000" s="27"/>
      <c r="AI1000" s="27"/>
      <c r="AJ1000" s="27"/>
      <c r="AK1000" s="27"/>
      <c r="AL1000" s="27"/>
      <c r="AM1000" s="27"/>
      <c r="AN1000" s="27"/>
      <c r="AO1000" s="27"/>
      <c r="AP1000" s="27"/>
      <c r="AQ1000" s="27"/>
      <c r="AR1000" s="27"/>
      <c r="AS1000" s="27"/>
      <c r="AT1000" s="27"/>
      <c r="AU1000" s="27"/>
    </row>
    <row r="1001" spans="1:47" ht="15.75" customHeight="1">
      <c r="A1001" s="45">
        <v>44774</v>
      </c>
      <c r="B1001" s="67" t="s">
        <v>1859</v>
      </c>
      <c r="C1001" s="63" t="s">
        <v>48</v>
      </c>
      <c r="D1001" s="68" t="s">
        <v>1028</v>
      </c>
      <c r="E1001" s="69">
        <v>120608.02</v>
      </c>
      <c r="F1001" s="68" t="s">
        <v>1860</v>
      </c>
      <c r="G1001" s="68" t="s">
        <v>835</v>
      </c>
      <c r="H1001" s="68" t="s">
        <v>86</v>
      </c>
      <c r="I1001" s="68" t="s">
        <v>951</v>
      </c>
      <c r="J1001" s="70">
        <v>44623</v>
      </c>
      <c r="K1001" s="63" t="s">
        <v>1179</v>
      </c>
      <c r="L1001" s="27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  <c r="Z1001" s="27"/>
      <c r="AA1001" s="27"/>
      <c r="AF1001" s="27"/>
      <c r="AG1001" s="27"/>
      <c r="AH1001" s="27"/>
      <c r="AI1001" s="27"/>
      <c r="AJ1001" s="27"/>
      <c r="AK1001" s="27"/>
      <c r="AL1001" s="27"/>
      <c r="AM1001" s="27"/>
      <c r="AN1001" s="27"/>
      <c r="AO1001" s="27"/>
      <c r="AP1001" s="27"/>
      <c r="AQ1001" s="27"/>
      <c r="AR1001" s="27"/>
      <c r="AS1001" s="27"/>
      <c r="AT1001" s="27"/>
      <c r="AU1001" s="27"/>
    </row>
    <row r="1002" spans="1:47" ht="15.75" customHeight="1">
      <c r="A1002" s="45">
        <v>44775</v>
      </c>
      <c r="B1002" s="67" t="s">
        <v>1861</v>
      </c>
      <c r="C1002" s="63" t="s">
        <v>48</v>
      </c>
      <c r="D1002" s="68" t="s">
        <v>1028</v>
      </c>
      <c r="E1002" s="69">
        <v>181532.44</v>
      </c>
      <c r="F1002" s="68" t="s">
        <v>1862</v>
      </c>
      <c r="G1002" s="68" t="s">
        <v>835</v>
      </c>
      <c r="H1002" s="68" t="s">
        <v>1299</v>
      </c>
      <c r="I1002" s="68" t="s">
        <v>947</v>
      </c>
      <c r="J1002" s="70">
        <v>44376</v>
      </c>
      <c r="K1002" s="63" t="s">
        <v>1030</v>
      </c>
      <c r="L1002" s="27"/>
      <c r="M1002" s="27"/>
      <c r="N1002" s="27"/>
      <c r="O1002" s="27"/>
      <c r="P1002" s="27"/>
      <c r="Q1002" s="27"/>
      <c r="R1002" s="27"/>
      <c r="S1002" s="27"/>
      <c r="T1002" s="27"/>
      <c r="U1002" s="27"/>
      <c r="V1002" s="27"/>
      <c r="W1002" s="27"/>
      <c r="X1002" s="27"/>
      <c r="Y1002" s="27"/>
      <c r="Z1002" s="27"/>
      <c r="AA1002" s="27"/>
      <c r="AF1002" s="27"/>
      <c r="AG1002" s="27"/>
      <c r="AH1002" s="27"/>
      <c r="AI1002" s="27"/>
      <c r="AJ1002" s="27"/>
      <c r="AK1002" s="27"/>
      <c r="AL1002" s="27"/>
      <c r="AM1002" s="27"/>
      <c r="AN1002" s="27"/>
      <c r="AO1002" s="27"/>
      <c r="AP1002" s="27"/>
      <c r="AQ1002" s="27"/>
      <c r="AR1002" s="27"/>
      <c r="AS1002" s="27"/>
      <c r="AT1002" s="27"/>
      <c r="AU1002" s="27"/>
    </row>
    <row r="1003" spans="1:47" ht="15.75" customHeight="1">
      <c r="A1003" s="45">
        <v>44776</v>
      </c>
      <c r="B1003" s="67" t="s">
        <v>1752</v>
      </c>
      <c r="C1003" s="63" t="s">
        <v>48</v>
      </c>
      <c r="D1003" s="68" t="s">
        <v>1037</v>
      </c>
      <c r="E1003" s="69">
        <v>200000</v>
      </c>
      <c r="F1003" s="68" t="s">
        <v>1753</v>
      </c>
      <c r="G1003" s="68" t="s">
        <v>835</v>
      </c>
      <c r="H1003" s="68" t="s">
        <v>1299</v>
      </c>
      <c r="I1003" s="68" t="s">
        <v>989</v>
      </c>
      <c r="J1003" s="70">
        <v>44454</v>
      </c>
      <c r="K1003" s="63" t="s">
        <v>1041</v>
      </c>
      <c r="L1003" s="27"/>
      <c r="M1003" s="27"/>
      <c r="N1003" s="27"/>
      <c r="O1003" s="27"/>
      <c r="P1003" s="27"/>
      <c r="Q1003" s="27"/>
      <c r="R1003" s="27"/>
      <c r="S1003" s="27"/>
      <c r="T1003" s="27"/>
      <c r="U1003" s="27"/>
      <c r="V1003" s="27"/>
      <c r="W1003" s="27"/>
      <c r="X1003" s="27"/>
      <c r="Y1003" s="27"/>
      <c r="Z1003" s="27"/>
      <c r="AA1003" s="27"/>
      <c r="AF1003" s="27"/>
      <c r="AG1003" s="27"/>
      <c r="AH1003" s="27"/>
      <c r="AI1003" s="27"/>
      <c r="AJ1003" s="27"/>
      <c r="AK1003" s="27"/>
      <c r="AL1003" s="27"/>
      <c r="AM1003" s="27"/>
      <c r="AN1003" s="27"/>
      <c r="AO1003" s="27"/>
      <c r="AP1003" s="27"/>
      <c r="AQ1003" s="27"/>
      <c r="AR1003" s="27"/>
      <c r="AS1003" s="27"/>
      <c r="AT1003" s="27"/>
      <c r="AU1003" s="27"/>
    </row>
    <row r="1004" spans="1:47" ht="15.75" customHeight="1">
      <c r="A1004" s="45">
        <v>44777</v>
      </c>
      <c r="B1004" s="67" t="s">
        <v>1863</v>
      </c>
      <c r="C1004" s="63" t="s">
        <v>48</v>
      </c>
      <c r="D1004" s="68" t="s">
        <v>1037</v>
      </c>
      <c r="E1004" s="69">
        <v>25000</v>
      </c>
      <c r="F1004" s="68" t="s">
        <v>1864</v>
      </c>
      <c r="G1004" s="68" t="s">
        <v>835</v>
      </c>
      <c r="H1004" s="68" t="s">
        <v>86</v>
      </c>
      <c r="I1004" s="68" t="s">
        <v>990</v>
      </c>
      <c r="J1004" s="70">
        <v>44385</v>
      </c>
      <c r="K1004" s="63" t="s">
        <v>1438</v>
      </c>
      <c r="L1004" s="27"/>
      <c r="M1004" s="27"/>
      <c r="N1004" s="27"/>
      <c r="O1004" s="27"/>
      <c r="P1004" s="27"/>
      <c r="Q1004" s="27"/>
      <c r="R1004" s="27"/>
      <c r="S1004" s="27"/>
      <c r="T1004" s="27"/>
      <c r="U1004" s="27"/>
      <c r="V1004" s="27"/>
      <c r="W1004" s="27"/>
      <c r="X1004" s="27"/>
      <c r="Y1004" s="27"/>
      <c r="Z1004" s="27"/>
      <c r="AA1004" s="27"/>
      <c r="AF1004" s="27"/>
      <c r="AG1004" s="27"/>
      <c r="AH1004" s="27"/>
      <c r="AI1004" s="27"/>
      <c r="AJ1004" s="27"/>
      <c r="AK1004" s="27"/>
      <c r="AL1004" s="27"/>
      <c r="AM1004" s="27"/>
      <c r="AN1004" s="27"/>
      <c r="AO1004" s="27"/>
      <c r="AP1004" s="27"/>
      <c r="AQ1004" s="27"/>
      <c r="AR1004" s="27"/>
      <c r="AS1004" s="27"/>
      <c r="AT1004" s="27"/>
      <c r="AU1004" s="27"/>
    </row>
    <row r="1005" spans="1:47" ht="15.75" customHeight="1">
      <c r="A1005" s="45">
        <v>44777</v>
      </c>
      <c r="B1005" s="67" t="s">
        <v>1842</v>
      </c>
      <c r="C1005" s="63" t="s">
        <v>48</v>
      </c>
      <c r="D1005" s="68" t="s">
        <v>1028</v>
      </c>
      <c r="E1005" s="69">
        <v>1473.07</v>
      </c>
      <c r="F1005" s="68" t="s">
        <v>1843</v>
      </c>
      <c r="G1005" s="68" t="s">
        <v>835</v>
      </c>
      <c r="H1005" s="68" t="s">
        <v>1299</v>
      </c>
      <c r="I1005" s="68" t="s">
        <v>886</v>
      </c>
      <c r="J1005" s="70">
        <v>44251</v>
      </c>
      <c r="K1005" s="63" t="s">
        <v>1030</v>
      </c>
      <c r="L1005" s="27"/>
      <c r="M1005" s="27"/>
      <c r="N1005" s="27"/>
      <c r="O1005" s="27"/>
      <c r="P1005" s="27"/>
      <c r="Q1005" s="27"/>
      <c r="R1005" s="27"/>
      <c r="S1005" s="27"/>
      <c r="T1005" s="27"/>
      <c r="U1005" s="27"/>
      <c r="V1005" s="27"/>
      <c r="W1005" s="27"/>
      <c r="X1005" s="27"/>
      <c r="Y1005" s="27"/>
      <c r="Z1005" s="27"/>
      <c r="AA1005" s="27"/>
      <c r="AF1005" s="27"/>
      <c r="AG1005" s="27"/>
      <c r="AH1005" s="27"/>
      <c r="AI1005" s="27"/>
      <c r="AJ1005" s="27"/>
      <c r="AK1005" s="27"/>
      <c r="AL1005" s="27"/>
      <c r="AM1005" s="27"/>
      <c r="AN1005" s="27"/>
      <c r="AO1005" s="27"/>
      <c r="AP1005" s="27"/>
      <c r="AQ1005" s="27"/>
      <c r="AR1005" s="27"/>
      <c r="AS1005" s="27"/>
      <c r="AT1005" s="27"/>
      <c r="AU1005" s="27"/>
    </row>
    <row r="1006" spans="1:47" ht="15.75" customHeight="1">
      <c r="A1006" s="45">
        <v>44777</v>
      </c>
      <c r="B1006" s="67" t="s">
        <v>1765</v>
      </c>
      <c r="C1006" s="63" t="s">
        <v>1027</v>
      </c>
      <c r="D1006" s="68" t="s">
        <v>1028</v>
      </c>
      <c r="E1006" s="69">
        <v>74385.52</v>
      </c>
      <c r="F1006" s="68" t="s">
        <v>1865</v>
      </c>
      <c r="G1006" s="68" t="s">
        <v>835</v>
      </c>
      <c r="H1006" s="68" t="s">
        <v>1176</v>
      </c>
      <c r="I1006" s="68" t="s">
        <v>975</v>
      </c>
      <c r="J1006" s="70">
        <v>44568</v>
      </c>
      <c r="K1006" s="63" t="s">
        <v>1179</v>
      </c>
      <c r="L1006" s="27"/>
      <c r="M1006" s="27"/>
      <c r="N1006" s="27"/>
      <c r="O1006" s="27"/>
      <c r="P1006" s="27"/>
      <c r="Q1006" s="27"/>
      <c r="R1006" s="27"/>
      <c r="S1006" s="27"/>
      <c r="T1006" s="27"/>
      <c r="U1006" s="27"/>
      <c r="V1006" s="27"/>
      <c r="W1006" s="27"/>
      <c r="X1006" s="27"/>
      <c r="Y1006" s="27"/>
      <c r="Z1006" s="27"/>
      <c r="AA1006" s="27"/>
      <c r="AF1006" s="27"/>
      <c r="AG1006" s="27"/>
      <c r="AH1006" s="27"/>
      <c r="AI1006" s="27"/>
      <c r="AJ1006" s="27"/>
      <c r="AK1006" s="27"/>
      <c r="AL1006" s="27"/>
      <c r="AM1006" s="27"/>
      <c r="AN1006" s="27"/>
      <c r="AO1006" s="27"/>
      <c r="AP1006" s="27"/>
      <c r="AQ1006" s="27"/>
      <c r="AR1006" s="27"/>
      <c r="AS1006" s="27"/>
      <c r="AT1006" s="27"/>
      <c r="AU1006" s="27"/>
    </row>
    <row r="1007" spans="1:47" ht="15.75" customHeight="1">
      <c r="A1007" s="45">
        <v>44781</v>
      </c>
      <c r="B1007" s="67" t="s">
        <v>1866</v>
      </c>
      <c r="C1007" s="63" t="s">
        <v>48</v>
      </c>
      <c r="D1007" s="68" t="s">
        <v>1037</v>
      </c>
      <c r="E1007" s="69">
        <v>7000</v>
      </c>
      <c r="F1007" s="68" t="s">
        <v>1867</v>
      </c>
      <c r="G1007" s="68" t="s">
        <v>835</v>
      </c>
      <c r="H1007" s="68" t="s">
        <v>1299</v>
      </c>
      <c r="I1007" s="68" t="s">
        <v>1002</v>
      </c>
      <c r="J1007" s="70">
        <v>44673</v>
      </c>
      <c r="K1007" s="63" t="s">
        <v>1054</v>
      </c>
      <c r="L1007" s="27"/>
      <c r="M1007" s="27"/>
      <c r="N1007" s="27"/>
      <c r="O1007" s="27"/>
      <c r="P1007" s="27"/>
      <c r="Q1007" s="27"/>
      <c r="R1007" s="27"/>
      <c r="S1007" s="27"/>
      <c r="T1007" s="27"/>
      <c r="U1007" s="27"/>
      <c r="V1007" s="27"/>
      <c r="W1007" s="27"/>
      <c r="X1007" s="27"/>
      <c r="Y1007" s="27"/>
      <c r="Z1007" s="27"/>
      <c r="AA1007" s="27"/>
      <c r="AF1007" s="27"/>
      <c r="AG1007" s="27"/>
      <c r="AH1007" s="27"/>
      <c r="AI1007" s="27"/>
      <c r="AJ1007" s="27"/>
      <c r="AK1007" s="27"/>
      <c r="AL1007" s="27"/>
      <c r="AM1007" s="27"/>
      <c r="AN1007" s="27"/>
      <c r="AO1007" s="27"/>
      <c r="AP1007" s="27"/>
      <c r="AQ1007" s="27"/>
      <c r="AR1007" s="27"/>
      <c r="AS1007" s="27"/>
      <c r="AT1007" s="27"/>
      <c r="AU1007" s="27"/>
    </row>
    <row r="1008" spans="1:47" ht="15.75" customHeight="1">
      <c r="A1008" s="45">
        <v>44781</v>
      </c>
      <c r="B1008" s="67" t="s">
        <v>1868</v>
      </c>
      <c r="C1008" s="63" t="s">
        <v>48</v>
      </c>
      <c r="D1008" s="68" t="s">
        <v>1028</v>
      </c>
      <c r="E1008" s="69">
        <v>157156.82</v>
      </c>
      <c r="F1008" s="68" t="s">
        <v>1869</v>
      </c>
      <c r="G1008" s="68" t="s">
        <v>835</v>
      </c>
      <c r="H1008" s="68" t="s">
        <v>86</v>
      </c>
      <c r="I1008" s="68" t="s">
        <v>992</v>
      </c>
      <c r="J1008" s="70">
        <v>44277</v>
      </c>
      <c r="K1008" s="63" t="s">
        <v>1054</v>
      </c>
      <c r="L1008" s="27"/>
      <c r="M1008" s="27"/>
      <c r="N1008" s="27"/>
      <c r="O1008" s="27"/>
      <c r="P1008" s="27"/>
      <c r="Q1008" s="27"/>
      <c r="R1008" s="27"/>
      <c r="S1008" s="27"/>
      <c r="T1008" s="27"/>
      <c r="U1008" s="27"/>
      <c r="V1008" s="27"/>
      <c r="W1008" s="27"/>
      <c r="X1008" s="27"/>
      <c r="Y1008" s="27"/>
      <c r="Z1008" s="27"/>
      <c r="AA1008" s="27"/>
      <c r="AF1008" s="27"/>
      <c r="AG1008" s="27"/>
      <c r="AH1008" s="27"/>
      <c r="AI1008" s="27"/>
      <c r="AJ1008" s="27"/>
      <c r="AK1008" s="27"/>
      <c r="AL1008" s="27"/>
      <c r="AM1008" s="27"/>
      <c r="AN1008" s="27"/>
      <c r="AO1008" s="27"/>
      <c r="AP1008" s="27"/>
      <c r="AQ1008" s="27"/>
      <c r="AR1008" s="27"/>
      <c r="AS1008" s="27"/>
      <c r="AT1008" s="27"/>
      <c r="AU1008" s="27"/>
    </row>
    <row r="1009" spans="1:47" ht="15.75" customHeight="1">
      <c r="A1009" s="45">
        <v>44781</v>
      </c>
      <c r="B1009" s="67" t="s">
        <v>1870</v>
      </c>
      <c r="C1009" s="63" t="s">
        <v>1027</v>
      </c>
      <c r="D1009" s="68" t="s">
        <v>1028</v>
      </c>
      <c r="E1009" s="69">
        <v>101893.24</v>
      </c>
      <c r="F1009" s="68" t="s">
        <v>1871</v>
      </c>
      <c r="G1009" s="68" t="s">
        <v>835</v>
      </c>
      <c r="H1009" s="68" t="s">
        <v>1176</v>
      </c>
      <c r="I1009" s="68" t="s">
        <v>973</v>
      </c>
      <c r="J1009" s="70">
        <v>44365</v>
      </c>
      <c r="K1009" s="63" t="s">
        <v>1041</v>
      </c>
      <c r="L1009" s="27"/>
      <c r="M1009" s="27"/>
      <c r="N1009" s="27"/>
      <c r="O1009" s="27"/>
      <c r="P1009" s="27"/>
      <c r="Q1009" s="27"/>
      <c r="R1009" s="27"/>
      <c r="S1009" s="27"/>
      <c r="T1009" s="27"/>
      <c r="U1009" s="27"/>
      <c r="V1009" s="27"/>
      <c r="W1009" s="27"/>
      <c r="X1009" s="27"/>
      <c r="Y1009" s="27"/>
      <c r="Z1009" s="27"/>
      <c r="AA1009" s="27"/>
      <c r="AF1009" s="27"/>
      <c r="AG1009" s="27"/>
      <c r="AH1009" s="27"/>
      <c r="AI1009" s="27"/>
      <c r="AJ1009" s="27"/>
      <c r="AK1009" s="27"/>
      <c r="AL1009" s="27"/>
      <c r="AM1009" s="27"/>
      <c r="AN1009" s="27"/>
      <c r="AO1009" s="27"/>
      <c r="AP1009" s="27"/>
      <c r="AQ1009" s="27"/>
      <c r="AR1009" s="27"/>
      <c r="AS1009" s="27"/>
      <c r="AT1009" s="27"/>
      <c r="AU1009" s="27"/>
    </row>
    <row r="1010" spans="1:47" ht="15.75" customHeight="1">
      <c r="A1010" s="45">
        <v>44783</v>
      </c>
      <c r="B1010" s="67" t="s">
        <v>1602</v>
      </c>
      <c r="C1010" s="63" t="s">
        <v>48</v>
      </c>
      <c r="D1010" s="68" t="s">
        <v>1037</v>
      </c>
      <c r="E1010" s="69">
        <v>5500</v>
      </c>
      <c r="F1010" s="68" t="s">
        <v>1603</v>
      </c>
      <c r="G1010" s="68" t="s">
        <v>835</v>
      </c>
      <c r="H1010" s="68" t="s">
        <v>86</v>
      </c>
      <c r="I1010" s="68" t="s">
        <v>920</v>
      </c>
      <c r="J1010" s="70">
        <v>44293</v>
      </c>
      <c r="K1010" s="63" t="s">
        <v>1122</v>
      </c>
      <c r="L1010" s="27"/>
      <c r="M1010" s="27"/>
      <c r="N1010" s="27"/>
      <c r="O1010" s="27"/>
      <c r="P1010" s="27"/>
      <c r="Q1010" s="27"/>
      <c r="R1010" s="27"/>
      <c r="S1010" s="27"/>
      <c r="T1010" s="27"/>
      <c r="U1010" s="27"/>
      <c r="V1010" s="27"/>
      <c r="W1010" s="27"/>
      <c r="X1010" s="27"/>
      <c r="Y1010" s="27"/>
      <c r="Z1010" s="27"/>
      <c r="AA1010" s="27"/>
      <c r="AF1010" s="27"/>
      <c r="AG1010" s="27"/>
      <c r="AH1010" s="27"/>
      <c r="AI1010" s="27"/>
      <c r="AJ1010" s="27"/>
      <c r="AK1010" s="27"/>
      <c r="AL1010" s="27"/>
      <c r="AM1010" s="27"/>
      <c r="AN1010" s="27"/>
      <c r="AO1010" s="27"/>
      <c r="AP1010" s="27"/>
      <c r="AQ1010" s="27"/>
      <c r="AR1010" s="27"/>
      <c r="AS1010" s="27"/>
      <c r="AT1010" s="27"/>
      <c r="AU1010" s="27"/>
    </row>
    <row r="1011" spans="1:47" ht="15.75" customHeight="1">
      <c r="A1011" s="45">
        <v>44783</v>
      </c>
      <c r="B1011" s="67" t="s">
        <v>1872</v>
      </c>
      <c r="C1011" s="63" t="s">
        <v>1027</v>
      </c>
      <c r="D1011" s="68" t="s">
        <v>1028</v>
      </c>
      <c r="E1011" s="69">
        <v>111338.29</v>
      </c>
      <c r="F1011" s="68" t="s">
        <v>1873</v>
      </c>
      <c r="G1011" s="68" t="s">
        <v>835</v>
      </c>
      <c r="H1011" s="68" t="s">
        <v>1176</v>
      </c>
      <c r="I1011" s="68" t="s">
        <v>971</v>
      </c>
      <c r="J1011" s="70">
        <v>44600</v>
      </c>
      <c r="K1011" s="63" t="s">
        <v>1054</v>
      </c>
      <c r="L1011" s="27"/>
      <c r="M1011" s="27"/>
      <c r="N1011" s="27"/>
      <c r="O1011" s="27"/>
      <c r="P1011" s="27"/>
      <c r="Q1011" s="27"/>
      <c r="R1011" s="27"/>
      <c r="S1011" s="27"/>
      <c r="T1011" s="27"/>
      <c r="U1011" s="27"/>
      <c r="V1011" s="27"/>
      <c r="W1011" s="27"/>
      <c r="X1011" s="27"/>
      <c r="Y1011" s="27"/>
      <c r="Z1011" s="27"/>
      <c r="AA1011" s="27"/>
      <c r="AF1011" s="27"/>
      <c r="AG1011" s="27"/>
      <c r="AH1011" s="27"/>
      <c r="AI1011" s="27"/>
      <c r="AJ1011" s="27"/>
      <c r="AK1011" s="27"/>
      <c r="AL1011" s="27"/>
      <c r="AM1011" s="27"/>
      <c r="AN1011" s="27"/>
      <c r="AO1011" s="27"/>
      <c r="AP1011" s="27"/>
      <c r="AQ1011" s="27"/>
      <c r="AR1011" s="27"/>
      <c r="AS1011" s="27"/>
      <c r="AT1011" s="27"/>
      <c r="AU1011" s="27"/>
    </row>
    <row r="1012" spans="1:47" ht="15.75" customHeight="1">
      <c r="A1012" s="45">
        <v>44784</v>
      </c>
      <c r="B1012" s="67" t="s">
        <v>1874</v>
      </c>
      <c r="C1012" s="63" t="s">
        <v>48</v>
      </c>
      <c r="D1012" s="68" t="s">
        <v>1028</v>
      </c>
      <c r="E1012" s="69" t="s">
        <v>1875</v>
      </c>
      <c r="F1012" s="68" t="s">
        <v>1876</v>
      </c>
      <c r="G1012" s="68" t="s">
        <v>904</v>
      </c>
      <c r="H1012" s="68" t="s">
        <v>86</v>
      </c>
      <c r="I1012" s="68" t="s">
        <v>965</v>
      </c>
      <c r="J1012" s="70">
        <v>44211</v>
      </c>
      <c r="K1012" s="63" t="s">
        <v>1030</v>
      </c>
      <c r="L1012" s="27"/>
      <c r="M1012" s="27"/>
      <c r="N1012" s="27"/>
      <c r="O1012" s="27"/>
      <c r="P1012" s="27"/>
      <c r="Q1012" s="27"/>
      <c r="R1012" s="27"/>
      <c r="S1012" s="27"/>
      <c r="T1012" s="27"/>
      <c r="U1012" s="27"/>
      <c r="V1012" s="27"/>
      <c r="W1012" s="27"/>
      <c r="X1012" s="27"/>
      <c r="Y1012" s="27"/>
      <c r="Z1012" s="27"/>
      <c r="AA1012" s="27"/>
      <c r="AF1012" s="27"/>
      <c r="AG1012" s="27"/>
      <c r="AH1012" s="27"/>
      <c r="AI1012" s="27"/>
      <c r="AJ1012" s="27"/>
      <c r="AK1012" s="27"/>
      <c r="AL1012" s="27"/>
      <c r="AM1012" s="27"/>
      <c r="AN1012" s="27"/>
      <c r="AO1012" s="27"/>
      <c r="AP1012" s="27"/>
      <c r="AQ1012" s="27"/>
      <c r="AR1012" s="27"/>
      <c r="AS1012" s="27"/>
      <c r="AT1012" s="27"/>
      <c r="AU1012" s="27"/>
    </row>
    <row r="1013" spans="1:47" ht="15.75" customHeight="1">
      <c r="A1013" s="45">
        <v>44784</v>
      </c>
      <c r="B1013" s="67" t="s">
        <v>1658</v>
      </c>
      <c r="C1013" s="63" t="s">
        <v>48</v>
      </c>
      <c r="D1013" s="68" t="s">
        <v>1037</v>
      </c>
      <c r="E1013" s="69">
        <v>30000</v>
      </c>
      <c r="F1013" s="68" t="s">
        <v>1659</v>
      </c>
      <c r="G1013" s="68" t="s">
        <v>835</v>
      </c>
      <c r="H1013" s="68" t="s">
        <v>86</v>
      </c>
      <c r="I1013" s="68" t="s">
        <v>957</v>
      </c>
      <c r="J1013" s="70">
        <v>44594</v>
      </c>
      <c r="K1013" s="63" t="s">
        <v>1179</v>
      </c>
      <c r="L1013" s="27"/>
      <c r="M1013" s="27"/>
      <c r="N1013" s="27"/>
      <c r="O1013" s="27"/>
      <c r="P1013" s="27"/>
      <c r="Q1013" s="27"/>
      <c r="R1013" s="27"/>
      <c r="S1013" s="27"/>
      <c r="T1013" s="27"/>
      <c r="U1013" s="27"/>
      <c r="V1013" s="27"/>
      <c r="W1013" s="27"/>
      <c r="X1013" s="27"/>
      <c r="Y1013" s="27"/>
      <c r="Z1013" s="27"/>
      <c r="AA1013" s="27"/>
      <c r="AF1013" s="27"/>
      <c r="AG1013" s="27"/>
      <c r="AH1013" s="27"/>
      <c r="AI1013" s="27"/>
      <c r="AJ1013" s="27"/>
      <c r="AK1013" s="27"/>
      <c r="AL1013" s="27"/>
      <c r="AM1013" s="27"/>
      <c r="AN1013" s="27"/>
      <c r="AO1013" s="27"/>
      <c r="AP1013" s="27"/>
      <c r="AQ1013" s="27"/>
      <c r="AR1013" s="27"/>
      <c r="AS1013" s="27"/>
      <c r="AT1013" s="27"/>
      <c r="AU1013" s="27"/>
    </row>
    <row r="1014" spans="1:47" ht="15.75" customHeight="1">
      <c r="A1014" s="45">
        <v>44784</v>
      </c>
      <c r="B1014" s="51" t="s">
        <v>1752</v>
      </c>
      <c r="C1014" s="46" t="s">
        <v>48</v>
      </c>
      <c r="D1014" s="33" t="s">
        <v>1037</v>
      </c>
      <c r="E1014" s="98">
        <v>125000</v>
      </c>
      <c r="F1014" s="33" t="s">
        <v>1753</v>
      </c>
      <c r="G1014" s="44" t="s">
        <v>835</v>
      </c>
      <c r="H1014" s="44" t="s">
        <v>1299</v>
      </c>
      <c r="I1014" s="44" t="s">
        <v>989</v>
      </c>
      <c r="J1014" s="44">
        <v>44454</v>
      </c>
      <c r="K1014" s="44" t="s">
        <v>1041</v>
      </c>
      <c r="L1014" s="27"/>
      <c r="M1014" s="27"/>
      <c r="N1014" s="27"/>
      <c r="O1014" s="27"/>
      <c r="P1014" s="27"/>
      <c r="Q1014" s="27"/>
      <c r="R1014" s="27"/>
      <c r="S1014" s="27"/>
      <c r="T1014" s="27"/>
      <c r="U1014" s="27"/>
      <c r="V1014" s="27"/>
      <c r="W1014" s="27"/>
      <c r="X1014" s="27"/>
      <c r="Y1014" s="27"/>
      <c r="Z1014" s="27"/>
      <c r="AA1014" s="27"/>
      <c r="AF1014" s="27"/>
      <c r="AG1014" s="27"/>
      <c r="AH1014" s="27"/>
      <c r="AI1014" s="27"/>
      <c r="AJ1014" s="27"/>
      <c r="AK1014" s="27"/>
      <c r="AL1014" s="27"/>
      <c r="AM1014" s="27"/>
      <c r="AN1014" s="27"/>
      <c r="AO1014" s="27"/>
      <c r="AP1014" s="27"/>
      <c r="AQ1014" s="27"/>
      <c r="AR1014" s="27"/>
      <c r="AS1014" s="27"/>
      <c r="AT1014" s="27"/>
      <c r="AU1014" s="27"/>
    </row>
    <row r="1015" spans="1:47" ht="15.75" customHeight="1">
      <c r="A1015" s="45">
        <v>44786</v>
      </c>
      <c r="B1015" s="51" t="s">
        <v>1877</v>
      </c>
      <c r="C1015" s="46" t="s">
        <v>48</v>
      </c>
      <c r="D1015" s="33" t="s">
        <v>1028</v>
      </c>
      <c r="E1015" s="98">
        <v>444418.17</v>
      </c>
      <c r="F1015" s="33" t="s">
        <v>1878</v>
      </c>
      <c r="G1015" s="44" t="s">
        <v>835</v>
      </c>
      <c r="H1015" s="44" t="s">
        <v>1299</v>
      </c>
      <c r="I1015" s="44" t="s">
        <v>906</v>
      </c>
      <c r="J1015" s="44">
        <v>44421</v>
      </c>
      <c r="K1015" s="44" t="s">
        <v>1179</v>
      </c>
      <c r="L1015" s="27"/>
      <c r="M1015" s="27"/>
      <c r="N1015" s="27"/>
      <c r="O1015" s="27"/>
      <c r="P1015" s="27"/>
      <c r="Q1015" s="27"/>
      <c r="R1015" s="27"/>
      <c r="S1015" s="27"/>
      <c r="T1015" s="27"/>
      <c r="U1015" s="27"/>
      <c r="V1015" s="27"/>
      <c r="W1015" s="27"/>
      <c r="X1015" s="27"/>
      <c r="Y1015" s="27"/>
      <c r="Z1015" s="27"/>
      <c r="AA1015" s="27"/>
      <c r="AF1015" s="27"/>
      <c r="AG1015" s="27"/>
      <c r="AH1015" s="27"/>
      <c r="AI1015" s="27"/>
      <c r="AJ1015" s="27"/>
      <c r="AK1015" s="27"/>
      <c r="AL1015" s="27"/>
      <c r="AM1015" s="27"/>
      <c r="AN1015" s="27"/>
      <c r="AO1015" s="27"/>
      <c r="AP1015" s="27"/>
      <c r="AQ1015" s="27"/>
      <c r="AR1015" s="27"/>
      <c r="AS1015" s="27"/>
      <c r="AT1015" s="27"/>
      <c r="AU1015" s="27"/>
    </row>
    <row r="1016" spans="1:47" ht="15.75" customHeight="1">
      <c r="A1016" s="45">
        <v>44788</v>
      </c>
      <c r="B1016" s="38" t="s">
        <v>1747</v>
      </c>
      <c r="C1016" s="10" t="s">
        <v>48</v>
      </c>
      <c r="D1016" s="46" t="s">
        <v>1037</v>
      </c>
      <c r="E1016" s="47">
        <v>10000</v>
      </c>
      <c r="F1016" s="46" t="s">
        <v>1879</v>
      </c>
      <c r="G1016" s="46" t="s">
        <v>835</v>
      </c>
      <c r="H1016" s="46" t="s">
        <v>1299</v>
      </c>
      <c r="I1016" s="46" t="s">
        <v>963</v>
      </c>
      <c r="J1016" s="45">
        <v>44645</v>
      </c>
      <c r="K1016" s="10" t="s">
        <v>1179</v>
      </c>
      <c r="L1016" s="27"/>
      <c r="M1016" s="27"/>
      <c r="N1016" s="27"/>
      <c r="O1016" s="27"/>
      <c r="P1016" s="27"/>
      <c r="Q1016" s="27"/>
      <c r="R1016" s="27"/>
      <c r="S1016" s="27"/>
      <c r="T1016" s="27"/>
      <c r="U1016" s="27"/>
      <c r="V1016" s="27"/>
      <c r="W1016" s="27"/>
      <c r="X1016" s="27"/>
      <c r="Y1016" s="27"/>
      <c r="Z1016" s="27"/>
      <c r="AA1016" s="27"/>
      <c r="AF1016" s="27"/>
      <c r="AG1016" s="27"/>
      <c r="AH1016" s="27"/>
      <c r="AI1016" s="27"/>
      <c r="AJ1016" s="27"/>
      <c r="AK1016" s="27"/>
      <c r="AL1016" s="27"/>
      <c r="AM1016" s="27"/>
      <c r="AN1016" s="27"/>
      <c r="AO1016" s="27"/>
      <c r="AP1016" s="27"/>
      <c r="AQ1016" s="27"/>
      <c r="AR1016" s="27"/>
      <c r="AS1016" s="27"/>
      <c r="AT1016" s="27"/>
      <c r="AU1016" s="27"/>
    </row>
    <row r="1017" spans="1:47" ht="15.75" customHeight="1">
      <c r="A1017" s="45">
        <v>44788</v>
      </c>
      <c r="B1017" s="38" t="s">
        <v>1880</v>
      </c>
      <c r="C1017" s="10" t="s">
        <v>48</v>
      </c>
      <c r="D1017" s="46" t="s">
        <v>1028</v>
      </c>
      <c r="E1017" s="47">
        <v>608381.09</v>
      </c>
      <c r="F1017" s="46" t="s">
        <v>1881</v>
      </c>
      <c r="G1017" s="46" t="s">
        <v>835</v>
      </c>
      <c r="H1017" s="46" t="s">
        <v>86</v>
      </c>
      <c r="I1017" s="46" t="s">
        <v>847</v>
      </c>
      <c r="J1017" s="45">
        <v>44341</v>
      </c>
      <c r="K1017" s="10" t="s">
        <v>1882</v>
      </c>
      <c r="L1017" s="27"/>
      <c r="M1017" s="27"/>
      <c r="N1017" s="27"/>
      <c r="O1017" s="27"/>
      <c r="P1017" s="27"/>
      <c r="Q1017" s="27"/>
      <c r="R1017" s="27"/>
      <c r="S1017" s="27"/>
      <c r="T1017" s="27"/>
      <c r="U1017" s="27"/>
      <c r="V1017" s="27"/>
      <c r="W1017" s="27"/>
      <c r="X1017" s="27"/>
      <c r="Y1017" s="27"/>
      <c r="Z1017" s="27"/>
      <c r="AA1017" s="27"/>
      <c r="AF1017" s="27"/>
      <c r="AG1017" s="27"/>
      <c r="AH1017" s="27"/>
      <c r="AI1017" s="27"/>
      <c r="AJ1017" s="27"/>
      <c r="AK1017" s="27"/>
      <c r="AL1017" s="27"/>
      <c r="AM1017" s="27"/>
      <c r="AN1017" s="27"/>
      <c r="AO1017" s="27"/>
      <c r="AP1017" s="27"/>
      <c r="AQ1017" s="27"/>
      <c r="AR1017" s="27"/>
      <c r="AS1017" s="27"/>
      <c r="AT1017" s="27"/>
      <c r="AU1017" s="27"/>
    </row>
    <row r="1018" spans="1:47" ht="15.75" customHeight="1">
      <c r="A1018" s="45">
        <v>44789</v>
      </c>
      <c r="B1018" s="38" t="s">
        <v>1810</v>
      </c>
      <c r="C1018" s="10" t="s">
        <v>48</v>
      </c>
      <c r="D1018" s="46" t="s">
        <v>1037</v>
      </c>
      <c r="E1018" s="47">
        <v>5000</v>
      </c>
      <c r="F1018" s="46" t="s">
        <v>1811</v>
      </c>
      <c r="G1018" s="46" t="s">
        <v>904</v>
      </c>
      <c r="H1018" s="46" t="s">
        <v>86</v>
      </c>
      <c r="I1018" s="46" t="s">
        <v>849</v>
      </c>
      <c r="J1018" s="45">
        <v>44138</v>
      </c>
      <c r="K1018" s="10" t="s">
        <v>1054</v>
      </c>
      <c r="L1018" s="27"/>
      <c r="M1018" s="27"/>
      <c r="N1018" s="27"/>
      <c r="O1018" s="27"/>
      <c r="P1018" s="27"/>
      <c r="Q1018" s="27"/>
      <c r="R1018" s="27"/>
      <c r="S1018" s="27"/>
      <c r="T1018" s="27"/>
      <c r="U1018" s="27"/>
      <c r="V1018" s="27"/>
      <c r="W1018" s="27"/>
      <c r="X1018" s="27"/>
      <c r="Y1018" s="27"/>
      <c r="Z1018" s="27"/>
      <c r="AA1018" s="27"/>
      <c r="AF1018" s="27"/>
      <c r="AG1018" s="27"/>
      <c r="AH1018" s="27"/>
      <c r="AI1018" s="27"/>
      <c r="AJ1018" s="27"/>
      <c r="AK1018" s="27"/>
      <c r="AL1018" s="27"/>
      <c r="AM1018" s="27"/>
      <c r="AN1018" s="27"/>
      <c r="AO1018" s="27"/>
      <c r="AP1018" s="27"/>
      <c r="AQ1018" s="27"/>
      <c r="AR1018" s="27"/>
      <c r="AS1018" s="27"/>
      <c r="AT1018" s="27"/>
      <c r="AU1018" s="27"/>
    </row>
    <row r="1019" spans="1:47" ht="15.75" customHeight="1">
      <c r="A1019" s="45">
        <v>44790</v>
      </c>
      <c r="B1019" s="38" t="s">
        <v>1747</v>
      </c>
      <c r="C1019" s="10" t="s">
        <v>48</v>
      </c>
      <c r="D1019" s="46" t="s">
        <v>1037</v>
      </c>
      <c r="E1019" s="47">
        <v>5000</v>
      </c>
      <c r="F1019" s="46" t="s">
        <v>1879</v>
      </c>
      <c r="G1019" s="46" t="s">
        <v>835</v>
      </c>
      <c r="H1019" s="46" t="s">
        <v>1299</v>
      </c>
      <c r="I1019" s="46" t="s">
        <v>963</v>
      </c>
      <c r="J1019" s="45">
        <v>44645</v>
      </c>
      <c r="K1019" s="10" t="s">
        <v>1179</v>
      </c>
      <c r="L1019" s="27"/>
      <c r="M1019" s="27"/>
      <c r="N1019" s="27"/>
      <c r="O1019" s="27"/>
      <c r="P1019" s="27"/>
      <c r="Q1019" s="27"/>
      <c r="R1019" s="27"/>
      <c r="S1019" s="27"/>
      <c r="T1019" s="27"/>
      <c r="U1019" s="27"/>
      <c r="V1019" s="27"/>
      <c r="W1019" s="27"/>
      <c r="X1019" s="27"/>
      <c r="Y1019" s="27"/>
      <c r="Z1019" s="27"/>
      <c r="AA1019" s="27"/>
      <c r="AF1019" s="27"/>
      <c r="AG1019" s="27"/>
      <c r="AH1019" s="27"/>
      <c r="AI1019" s="27"/>
      <c r="AJ1019" s="27"/>
      <c r="AK1019" s="27"/>
      <c r="AL1019" s="27"/>
      <c r="AM1019" s="27"/>
      <c r="AN1019" s="27"/>
      <c r="AO1019" s="27"/>
      <c r="AP1019" s="27"/>
      <c r="AQ1019" s="27"/>
      <c r="AR1019" s="27"/>
      <c r="AS1019" s="27"/>
      <c r="AT1019" s="27"/>
      <c r="AU1019" s="27"/>
    </row>
    <row r="1020" spans="1:47" ht="15.75" customHeight="1">
      <c r="A1020" s="45">
        <v>44791</v>
      </c>
      <c r="B1020" s="38" t="s">
        <v>1640</v>
      </c>
      <c r="C1020" s="10" t="s">
        <v>48</v>
      </c>
      <c r="D1020" s="46" t="s">
        <v>1037</v>
      </c>
      <c r="E1020" s="47">
        <v>25000</v>
      </c>
      <c r="F1020" s="46" t="s">
        <v>1641</v>
      </c>
      <c r="G1020" s="46" t="s">
        <v>835</v>
      </c>
      <c r="H1020" s="46" t="s">
        <v>86</v>
      </c>
      <c r="I1020" s="46" t="s">
        <v>876</v>
      </c>
      <c r="J1020" s="45">
        <v>44061</v>
      </c>
      <c r="K1020" s="10" t="s">
        <v>1041</v>
      </c>
      <c r="L1020" s="27"/>
      <c r="M1020" s="27"/>
      <c r="N1020" s="27"/>
      <c r="O1020" s="27"/>
      <c r="P1020" s="27"/>
      <c r="Q1020" s="27"/>
      <c r="R1020" s="27"/>
      <c r="S1020" s="27"/>
      <c r="T1020" s="27"/>
      <c r="U1020" s="27"/>
      <c r="V1020" s="27"/>
      <c r="W1020" s="27"/>
      <c r="X1020" s="27"/>
      <c r="Y1020" s="27"/>
      <c r="Z1020" s="27"/>
      <c r="AA1020" s="27"/>
      <c r="AF1020" s="27"/>
      <c r="AG1020" s="27"/>
      <c r="AH1020" s="27"/>
      <c r="AI1020" s="27"/>
      <c r="AJ1020" s="27"/>
      <c r="AK1020" s="27"/>
      <c r="AL1020" s="27"/>
      <c r="AM1020" s="27"/>
      <c r="AN1020" s="27"/>
      <c r="AO1020" s="27"/>
      <c r="AP1020" s="27"/>
      <c r="AQ1020" s="27"/>
      <c r="AR1020" s="27"/>
      <c r="AS1020" s="27"/>
      <c r="AT1020" s="27"/>
      <c r="AU1020" s="27"/>
    </row>
    <row r="1021" spans="1:47" ht="15.75" customHeight="1">
      <c r="A1021" s="45">
        <v>44796</v>
      </c>
      <c r="B1021" s="51" t="s">
        <v>1883</v>
      </c>
      <c r="C1021" s="46" t="s">
        <v>48</v>
      </c>
      <c r="D1021" s="33" t="s">
        <v>1028</v>
      </c>
      <c r="E1021" s="98">
        <v>835364.29</v>
      </c>
      <c r="F1021" s="33" t="s">
        <v>1884</v>
      </c>
      <c r="G1021" s="44" t="s">
        <v>835</v>
      </c>
      <c r="H1021" s="44" t="s">
        <v>1299</v>
      </c>
      <c r="I1021" s="44" t="s">
        <v>1002</v>
      </c>
      <c r="J1021" s="44">
        <v>44648</v>
      </c>
      <c r="K1021" s="44" t="s">
        <v>1041</v>
      </c>
      <c r="L1021" s="27"/>
      <c r="M1021" s="27"/>
      <c r="N1021" s="27"/>
      <c r="O1021" s="27"/>
      <c r="P1021" s="27"/>
      <c r="Q1021" s="27"/>
      <c r="R1021" s="27"/>
      <c r="S1021" s="27"/>
      <c r="T1021" s="27"/>
      <c r="U1021" s="27"/>
      <c r="V1021" s="27"/>
      <c r="W1021" s="27"/>
      <c r="X1021" s="27"/>
      <c r="Y1021" s="27"/>
      <c r="Z1021" s="27"/>
      <c r="AA1021" s="27"/>
      <c r="AF1021" s="27"/>
      <c r="AG1021" s="27"/>
      <c r="AH1021" s="27"/>
      <c r="AI1021" s="27"/>
      <c r="AJ1021" s="27"/>
      <c r="AK1021" s="27"/>
      <c r="AL1021" s="27"/>
      <c r="AM1021" s="27"/>
      <c r="AN1021" s="27"/>
      <c r="AO1021" s="27"/>
      <c r="AP1021" s="27"/>
      <c r="AQ1021" s="27"/>
      <c r="AR1021" s="27"/>
      <c r="AS1021" s="27"/>
      <c r="AT1021" s="27"/>
      <c r="AU1021" s="27"/>
    </row>
    <row r="1022" spans="1:47" ht="15.75" customHeight="1">
      <c r="A1022" s="45">
        <v>44796</v>
      </c>
      <c r="B1022" s="51" t="s">
        <v>1885</v>
      </c>
      <c r="C1022" s="46" t="s">
        <v>48</v>
      </c>
      <c r="D1022" s="33" t="s">
        <v>1028</v>
      </c>
      <c r="E1022" s="98">
        <v>1652454.72</v>
      </c>
      <c r="F1022" s="33" t="s">
        <v>1884</v>
      </c>
      <c r="G1022" s="44" t="s">
        <v>835</v>
      </c>
      <c r="H1022" s="44" t="s">
        <v>1299</v>
      </c>
      <c r="I1022" s="44" t="s">
        <v>1002</v>
      </c>
      <c r="J1022" s="44">
        <v>44648</v>
      </c>
      <c r="K1022" s="44" t="s">
        <v>1041</v>
      </c>
      <c r="L1022" s="27"/>
      <c r="M1022" s="27"/>
      <c r="N1022" s="27"/>
      <c r="O1022" s="27"/>
      <c r="P1022" s="27"/>
      <c r="Q1022" s="27"/>
      <c r="R1022" s="27"/>
      <c r="S1022" s="27"/>
      <c r="T1022" s="27"/>
      <c r="U1022" s="27"/>
      <c r="V1022" s="27"/>
      <c r="W1022" s="27"/>
      <c r="X1022" s="27"/>
      <c r="Y1022" s="27"/>
      <c r="Z1022" s="27"/>
      <c r="AA1022" s="27"/>
      <c r="AF1022" s="27"/>
      <c r="AG1022" s="27"/>
      <c r="AH1022" s="27"/>
      <c r="AI1022" s="27"/>
      <c r="AJ1022" s="27"/>
      <c r="AK1022" s="27"/>
      <c r="AL1022" s="27"/>
      <c r="AM1022" s="27"/>
      <c r="AN1022" s="27"/>
      <c r="AO1022" s="27"/>
      <c r="AP1022" s="27"/>
      <c r="AQ1022" s="27"/>
      <c r="AR1022" s="27"/>
      <c r="AS1022" s="27"/>
      <c r="AT1022" s="27"/>
      <c r="AU1022" s="27"/>
    </row>
    <row r="1023" spans="1:47" ht="15.75" customHeight="1">
      <c r="A1023" s="45">
        <v>44796</v>
      </c>
      <c r="B1023" s="51" t="s">
        <v>1886</v>
      </c>
      <c r="C1023" s="46" t="s">
        <v>48</v>
      </c>
      <c r="D1023" s="33" t="s">
        <v>1037</v>
      </c>
      <c r="E1023" s="98">
        <v>10000</v>
      </c>
      <c r="F1023" s="33" t="s">
        <v>1887</v>
      </c>
      <c r="G1023" s="44" t="s">
        <v>835</v>
      </c>
      <c r="H1023" s="44" t="s">
        <v>1299</v>
      </c>
      <c r="I1023" s="44" t="s">
        <v>1888</v>
      </c>
      <c r="J1023" s="44"/>
      <c r="K1023" s="44"/>
      <c r="L1023" s="27"/>
      <c r="M1023" s="27"/>
      <c r="N1023" s="27"/>
      <c r="O1023" s="27"/>
      <c r="P1023" s="27"/>
      <c r="Q1023" s="27"/>
      <c r="R1023" s="27"/>
      <c r="S1023" s="27"/>
      <c r="T1023" s="27"/>
      <c r="U1023" s="27"/>
      <c r="V1023" s="27"/>
      <c r="W1023" s="27"/>
      <c r="X1023" s="27"/>
      <c r="Y1023" s="27"/>
      <c r="Z1023" s="27"/>
      <c r="AA1023" s="27"/>
      <c r="AF1023" s="27"/>
      <c r="AG1023" s="27"/>
      <c r="AH1023" s="27"/>
      <c r="AI1023" s="27"/>
      <c r="AJ1023" s="27"/>
      <c r="AK1023" s="27"/>
      <c r="AL1023" s="27"/>
      <c r="AM1023" s="27"/>
      <c r="AN1023" s="27"/>
      <c r="AO1023" s="27"/>
      <c r="AP1023" s="27"/>
      <c r="AQ1023" s="27"/>
      <c r="AR1023" s="27"/>
      <c r="AS1023" s="27"/>
      <c r="AT1023" s="27"/>
      <c r="AU1023" s="27"/>
    </row>
    <row r="1024" spans="1:47" ht="15.75" customHeight="1">
      <c r="A1024" s="45">
        <v>44803</v>
      </c>
      <c r="B1024" s="51" t="s">
        <v>1889</v>
      </c>
      <c r="C1024" s="46" t="s">
        <v>48</v>
      </c>
      <c r="D1024" s="33" t="s">
        <v>1028</v>
      </c>
      <c r="E1024" s="98">
        <v>352012.79</v>
      </c>
      <c r="F1024" s="33" t="s">
        <v>1890</v>
      </c>
      <c r="G1024" s="44" t="s">
        <v>904</v>
      </c>
      <c r="H1024" s="44" t="s">
        <v>86</v>
      </c>
      <c r="I1024" s="44" t="s">
        <v>892</v>
      </c>
      <c r="J1024" s="44">
        <v>44186</v>
      </c>
      <c r="K1024" s="44" t="s">
        <v>1054</v>
      </c>
      <c r="L1024" s="27"/>
      <c r="M1024" s="27"/>
      <c r="N1024" s="27"/>
      <c r="O1024" s="27"/>
      <c r="P1024" s="27"/>
      <c r="Q1024" s="27"/>
      <c r="R1024" s="27"/>
      <c r="S1024" s="27"/>
      <c r="T1024" s="27"/>
      <c r="U1024" s="27"/>
      <c r="V1024" s="27"/>
      <c r="W1024" s="27"/>
      <c r="X1024" s="27"/>
      <c r="Y1024" s="27"/>
      <c r="Z1024" s="27"/>
      <c r="AA1024" s="27"/>
      <c r="AF1024" s="27"/>
      <c r="AG1024" s="27"/>
      <c r="AH1024" s="27"/>
      <c r="AI1024" s="27"/>
      <c r="AJ1024" s="27"/>
      <c r="AK1024" s="27"/>
      <c r="AL1024" s="27"/>
      <c r="AM1024" s="27"/>
      <c r="AN1024" s="27"/>
      <c r="AO1024" s="27"/>
      <c r="AP1024" s="27"/>
      <c r="AQ1024" s="27"/>
      <c r="AR1024" s="27"/>
      <c r="AS1024" s="27"/>
      <c r="AT1024" s="27"/>
      <c r="AU1024" s="27"/>
    </row>
    <row r="1025" spans="1:47" ht="15.75" customHeight="1">
      <c r="A1025" s="45">
        <v>44803</v>
      </c>
      <c r="B1025" s="51" t="s">
        <v>1891</v>
      </c>
      <c r="C1025" s="46" t="s">
        <v>48</v>
      </c>
      <c r="D1025" s="33" t="s">
        <v>1028</v>
      </c>
      <c r="E1025" s="98">
        <v>130273.59</v>
      </c>
      <c r="F1025" s="33" t="s">
        <v>1892</v>
      </c>
      <c r="G1025" s="44" t="s">
        <v>904</v>
      </c>
      <c r="H1025" s="44" t="s">
        <v>86</v>
      </c>
      <c r="I1025" s="44" t="s">
        <v>849</v>
      </c>
      <c r="J1025" s="44">
        <v>44211</v>
      </c>
      <c r="K1025" s="44" t="s">
        <v>1041</v>
      </c>
      <c r="L1025" s="27"/>
      <c r="M1025" s="27"/>
      <c r="N1025" s="27"/>
      <c r="O1025" s="27"/>
      <c r="P1025" s="27"/>
      <c r="Q1025" s="27"/>
      <c r="R1025" s="27"/>
      <c r="S1025" s="27"/>
      <c r="T1025" s="27"/>
      <c r="U1025" s="27"/>
      <c r="V1025" s="27"/>
      <c r="W1025" s="27"/>
      <c r="X1025" s="27"/>
      <c r="Y1025" s="27"/>
      <c r="Z1025" s="27"/>
      <c r="AA1025" s="27"/>
      <c r="AF1025" s="27"/>
      <c r="AG1025" s="27"/>
      <c r="AH1025" s="27"/>
      <c r="AI1025" s="27"/>
      <c r="AJ1025" s="27"/>
      <c r="AK1025" s="27"/>
      <c r="AL1025" s="27"/>
      <c r="AM1025" s="27"/>
      <c r="AN1025" s="27"/>
      <c r="AO1025" s="27"/>
      <c r="AP1025" s="27"/>
      <c r="AQ1025" s="27"/>
      <c r="AR1025" s="27"/>
      <c r="AS1025" s="27"/>
      <c r="AT1025" s="27"/>
      <c r="AU1025" s="27"/>
    </row>
    <row r="1026" spans="1:47" ht="15.75" customHeight="1">
      <c r="A1026" s="45">
        <v>44803</v>
      </c>
      <c r="B1026" s="51" t="s">
        <v>1893</v>
      </c>
      <c r="C1026" s="46" t="s">
        <v>48</v>
      </c>
      <c r="D1026" s="33" t="s">
        <v>1037</v>
      </c>
      <c r="E1026" s="98">
        <v>10000</v>
      </c>
      <c r="F1026" s="33" t="s">
        <v>1894</v>
      </c>
      <c r="G1026" s="44" t="s">
        <v>835</v>
      </c>
      <c r="H1026" s="44" t="s">
        <v>1299</v>
      </c>
      <c r="I1026" s="44" t="s">
        <v>1002</v>
      </c>
      <c r="J1026" s="44">
        <v>44762</v>
      </c>
      <c r="K1026" s="44" t="s">
        <v>1054</v>
      </c>
      <c r="L1026" s="27"/>
      <c r="M1026" s="27"/>
      <c r="N1026" s="27"/>
      <c r="O1026" s="27"/>
      <c r="P1026" s="27"/>
      <c r="Q1026" s="27"/>
      <c r="R1026" s="27"/>
      <c r="S1026" s="27"/>
      <c r="T1026" s="27"/>
      <c r="U1026" s="27"/>
      <c r="V1026" s="27"/>
      <c r="W1026" s="27"/>
      <c r="X1026" s="27"/>
      <c r="Y1026" s="27"/>
      <c r="Z1026" s="27"/>
      <c r="AA1026" s="27"/>
      <c r="AF1026" s="27"/>
      <c r="AG1026" s="27"/>
      <c r="AH1026" s="27"/>
      <c r="AI1026" s="27"/>
      <c r="AJ1026" s="27"/>
      <c r="AK1026" s="27"/>
      <c r="AL1026" s="27"/>
      <c r="AM1026" s="27"/>
      <c r="AN1026" s="27"/>
      <c r="AO1026" s="27"/>
      <c r="AP1026" s="27"/>
      <c r="AQ1026" s="27"/>
      <c r="AR1026" s="27"/>
      <c r="AS1026" s="27"/>
      <c r="AT1026" s="27"/>
      <c r="AU1026" s="27"/>
    </row>
    <row r="1027" spans="1:47" ht="15.75" customHeight="1">
      <c r="A1027" s="45">
        <v>44806</v>
      </c>
      <c r="B1027" s="51" t="s">
        <v>1290</v>
      </c>
      <c r="C1027" s="46" t="s">
        <v>48</v>
      </c>
      <c r="D1027" s="33" t="s">
        <v>1028</v>
      </c>
      <c r="E1027" s="98">
        <v>41167.949999999997</v>
      </c>
      <c r="F1027" s="33" t="s">
        <v>1895</v>
      </c>
      <c r="G1027" s="44" t="s">
        <v>904</v>
      </c>
      <c r="H1027" s="44" t="s">
        <v>86</v>
      </c>
      <c r="I1027" s="44" t="s">
        <v>849</v>
      </c>
      <c r="J1027" s="44">
        <v>44160</v>
      </c>
      <c r="K1027" s="44"/>
      <c r="L1027" s="27"/>
      <c r="M1027" s="27"/>
      <c r="N1027" s="27"/>
      <c r="O1027" s="27"/>
      <c r="P1027" s="27"/>
      <c r="Q1027" s="27"/>
      <c r="R1027" s="27"/>
      <c r="S1027" s="27"/>
      <c r="T1027" s="27"/>
      <c r="U1027" s="27"/>
      <c r="V1027" s="27"/>
      <c r="W1027" s="27"/>
      <c r="X1027" s="27"/>
      <c r="Y1027" s="27"/>
      <c r="Z1027" s="27"/>
      <c r="AA1027" s="27"/>
      <c r="AF1027" s="27"/>
      <c r="AG1027" s="27"/>
      <c r="AH1027" s="27"/>
      <c r="AI1027" s="27"/>
      <c r="AJ1027" s="27"/>
      <c r="AK1027" s="27"/>
      <c r="AL1027" s="27"/>
      <c r="AM1027" s="27"/>
      <c r="AN1027" s="27"/>
      <c r="AO1027" s="27"/>
      <c r="AP1027" s="27"/>
      <c r="AQ1027" s="27"/>
      <c r="AR1027" s="27"/>
      <c r="AS1027" s="27"/>
      <c r="AT1027" s="27"/>
      <c r="AU1027" s="27"/>
    </row>
    <row r="1028" spans="1:47" ht="15.75" customHeight="1">
      <c r="A1028" s="45">
        <v>44810</v>
      </c>
      <c r="B1028" s="51" t="s">
        <v>1893</v>
      </c>
      <c r="C1028" s="46" t="s">
        <v>48</v>
      </c>
      <c r="D1028" s="33" t="s">
        <v>1037</v>
      </c>
      <c r="E1028" s="98">
        <v>10000</v>
      </c>
      <c r="F1028" s="33" t="s">
        <v>1894</v>
      </c>
      <c r="G1028" s="44" t="s">
        <v>835</v>
      </c>
      <c r="H1028" s="44" t="s">
        <v>1299</v>
      </c>
      <c r="I1028" s="44" t="s">
        <v>1002</v>
      </c>
      <c r="J1028" s="44">
        <v>44762</v>
      </c>
      <c r="K1028" s="44" t="s">
        <v>1054</v>
      </c>
      <c r="L1028" s="27"/>
      <c r="M1028" s="27"/>
      <c r="N1028" s="27"/>
      <c r="O1028" s="27"/>
      <c r="P1028" s="27"/>
      <c r="Q1028" s="27"/>
      <c r="R1028" s="27"/>
      <c r="S1028" s="27"/>
      <c r="T1028" s="27"/>
      <c r="U1028" s="27"/>
      <c r="V1028" s="27"/>
      <c r="W1028" s="27"/>
      <c r="X1028" s="27"/>
      <c r="Y1028" s="27"/>
      <c r="Z1028" s="27"/>
      <c r="AA1028" s="27"/>
      <c r="AF1028" s="27"/>
      <c r="AG1028" s="27"/>
      <c r="AH1028" s="27"/>
      <c r="AI1028" s="27"/>
      <c r="AJ1028" s="27"/>
      <c r="AK1028" s="27"/>
      <c r="AL1028" s="27"/>
      <c r="AM1028" s="27"/>
      <c r="AN1028" s="27"/>
      <c r="AO1028" s="27"/>
      <c r="AP1028" s="27"/>
      <c r="AQ1028" s="27"/>
      <c r="AR1028" s="27"/>
      <c r="AS1028" s="27"/>
      <c r="AT1028" s="27"/>
      <c r="AU1028" s="27"/>
    </row>
    <row r="1029" spans="1:47" ht="15.75" customHeight="1">
      <c r="A1029" s="45">
        <v>44810</v>
      </c>
      <c r="B1029" s="51" t="s">
        <v>1896</v>
      </c>
      <c r="C1029" s="46" t="s">
        <v>48</v>
      </c>
      <c r="D1029" s="33" t="s">
        <v>1037</v>
      </c>
      <c r="E1029" s="98">
        <v>4000</v>
      </c>
      <c r="F1029" s="33" t="s">
        <v>1796</v>
      </c>
      <c r="G1029" s="44" t="s">
        <v>835</v>
      </c>
      <c r="H1029" s="44" t="s">
        <v>1299</v>
      </c>
      <c r="I1029" s="44" t="s">
        <v>886</v>
      </c>
      <c r="J1029" s="44">
        <v>44497</v>
      </c>
      <c r="K1029" s="44" t="s">
        <v>1054</v>
      </c>
      <c r="L1029" s="27"/>
      <c r="M1029" s="27"/>
      <c r="N1029" s="27"/>
      <c r="O1029" s="27"/>
      <c r="P1029" s="27"/>
      <c r="Q1029" s="27"/>
      <c r="R1029" s="27"/>
      <c r="S1029" s="27"/>
      <c r="T1029" s="27"/>
      <c r="U1029" s="27"/>
      <c r="V1029" s="27"/>
      <c r="W1029" s="27"/>
      <c r="X1029" s="27"/>
      <c r="Y1029" s="27"/>
      <c r="Z1029" s="27"/>
      <c r="AA1029" s="27"/>
      <c r="AF1029" s="27"/>
      <c r="AG1029" s="27"/>
      <c r="AH1029" s="27"/>
      <c r="AI1029" s="27"/>
      <c r="AJ1029" s="27"/>
      <c r="AK1029" s="27"/>
      <c r="AL1029" s="27"/>
      <c r="AM1029" s="27"/>
      <c r="AN1029" s="27"/>
      <c r="AO1029" s="27"/>
      <c r="AP1029" s="27"/>
      <c r="AQ1029" s="27"/>
      <c r="AR1029" s="27"/>
      <c r="AS1029" s="27"/>
      <c r="AT1029" s="27"/>
      <c r="AU1029" s="27"/>
    </row>
    <row r="1030" spans="1:47" ht="15.75" customHeight="1">
      <c r="A1030" s="45">
        <v>44810</v>
      </c>
      <c r="B1030" s="51" t="s">
        <v>1897</v>
      </c>
      <c r="C1030" s="46" t="s">
        <v>48</v>
      </c>
      <c r="D1030" s="33" t="s">
        <v>1028</v>
      </c>
      <c r="E1030" s="98">
        <v>160322.21</v>
      </c>
      <c r="F1030" s="33" t="s">
        <v>1606</v>
      </c>
      <c r="G1030" s="44" t="s">
        <v>835</v>
      </c>
      <c r="H1030" s="44" t="s">
        <v>1299</v>
      </c>
      <c r="I1030" s="44" t="s">
        <v>906</v>
      </c>
      <c r="J1030" s="44">
        <v>44487</v>
      </c>
      <c r="K1030" s="44" t="s">
        <v>1041</v>
      </c>
      <c r="L1030" s="27"/>
      <c r="M1030" s="27"/>
      <c r="N1030" s="27"/>
      <c r="O1030" s="27"/>
      <c r="P1030" s="27"/>
      <c r="Q1030" s="27"/>
      <c r="R1030" s="27"/>
      <c r="S1030" s="27"/>
      <c r="T1030" s="27"/>
      <c r="U1030" s="27"/>
      <c r="V1030" s="27"/>
      <c r="W1030" s="27"/>
      <c r="X1030" s="27"/>
      <c r="Y1030" s="27"/>
      <c r="Z1030" s="27"/>
      <c r="AA1030" s="27"/>
      <c r="AF1030" s="27"/>
      <c r="AG1030" s="27"/>
      <c r="AH1030" s="27"/>
      <c r="AI1030" s="27"/>
      <c r="AJ1030" s="27"/>
      <c r="AK1030" s="27"/>
      <c r="AL1030" s="27"/>
      <c r="AM1030" s="27"/>
      <c r="AN1030" s="27"/>
      <c r="AO1030" s="27"/>
      <c r="AP1030" s="27"/>
      <c r="AQ1030" s="27"/>
      <c r="AR1030" s="27"/>
      <c r="AS1030" s="27"/>
      <c r="AT1030" s="27"/>
      <c r="AU1030" s="27"/>
    </row>
    <row r="1031" spans="1:47" ht="15.75" customHeight="1">
      <c r="A1031" s="45">
        <v>44812</v>
      </c>
      <c r="B1031" s="51" t="s">
        <v>1898</v>
      </c>
      <c r="C1031" s="46" t="s">
        <v>48</v>
      </c>
      <c r="D1031" s="33" t="s">
        <v>1037</v>
      </c>
      <c r="E1031" s="98">
        <v>96000</v>
      </c>
      <c r="F1031" s="33" t="s">
        <v>1899</v>
      </c>
      <c r="G1031" s="44" t="s">
        <v>835</v>
      </c>
      <c r="H1031" s="44" t="s">
        <v>1299</v>
      </c>
      <c r="I1031" s="44" t="s">
        <v>870</v>
      </c>
      <c r="J1031" s="44">
        <v>44698</v>
      </c>
      <c r="K1031" s="44" t="s">
        <v>1030</v>
      </c>
      <c r="L1031" s="27"/>
      <c r="M1031" s="27"/>
      <c r="N1031" s="27"/>
      <c r="O1031" s="27"/>
      <c r="P1031" s="27"/>
      <c r="Q1031" s="27"/>
      <c r="R1031" s="27"/>
      <c r="S1031" s="27"/>
      <c r="T1031" s="27"/>
      <c r="U1031" s="27"/>
      <c r="V1031" s="27"/>
      <c r="W1031" s="27"/>
      <c r="X1031" s="27"/>
      <c r="Y1031" s="27"/>
      <c r="Z1031" s="27"/>
      <c r="AA1031" s="27"/>
      <c r="AF1031" s="27"/>
      <c r="AG1031" s="27"/>
      <c r="AH1031" s="27"/>
      <c r="AI1031" s="27"/>
      <c r="AJ1031" s="27"/>
      <c r="AK1031" s="27"/>
      <c r="AL1031" s="27"/>
      <c r="AM1031" s="27"/>
      <c r="AN1031" s="27"/>
      <c r="AO1031" s="27"/>
      <c r="AP1031" s="27"/>
      <c r="AQ1031" s="27"/>
      <c r="AR1031" s="27"/>
      <c r="AS1031" s="27"/>
      <c r="AT1031" s="27"/>
      <c r="AU1031" s="27"/>
    </row>
    <row r="1032" spans="1:47" ht="15.75" customHeight="1">
      <c r="A1032" s="45">
        <v>44812</v>
      </c>
      <c r="B1032" s="51" t="s">
        <v>1900</v>
      </c>
      <c r="C1032" s="46" t="s">
        <v>48</v>
      </c>
      <c r="D1032" s="33" t="s">
        <v>1028</v>
      </c>
      <c r="E1032" s="98">
        <v>217697.33</v>
      </c>
      <c r="F1032" s="33" t="s">
        <v>1901</v>
      </c>
      <c r="G1032" s="44" t="s">
        <v>835</v>
      </c>
      <c r="H1032" s="44" t="s">
        <v>1299</v>
      </c>
      <c r="I1032" s="44" t="s">
        <v>906</v>
      </c>
      <c r="J1032" s="44">
        <v>44426</v>
      </c>
      <c r="K1032" s="44" t="s">
        <v>1054</v>
      </c>
      <c r="L1032" s="27"/>
      <c r="M1032" s="27"/>
      <c r="N1032" s="27"/>
      <c r="O1032" s="27"/>
      <c r="P1032" s="27"/>
      <c r="Q1032" s="27"/>
      <c r="R1032" s="27"/>
      <c r="S1032" s="27"/>
      <c r="T1032" s="27"/>
      <c r="U1032" s="27"/>
      <c r="V1032" s="27"/>
      <c r="W1032" s="27"/>
      <c r="X1032" s="27"/>
      <c r="Y1032" s="27"/>
      <c r="Z1032" s="27"/>
      <c r="AA1032" s="27"/>
      <c r="AF1032" s="27"/>
      <c r="AG1032" s="27"/>
      <c r="AH1032" s="27"/>
      <c r="AI1032" s="27"/>
      <c r="AJ1032" s="27"/>
      <c r="AK1032" s="27"/>
      <c r="AL1032" s="27"/>
      <c r="AM1032" s="27"/>
      <c r="AN1032" s="27"/>
      <c r="AO1032" s="27"/>
      <c r="AP1032" s="27"/>
      <c r="AQ1032" s="27"/>
      <c r="AR1032" s="27"/>
      <c r="AS1032" s="27"/>
      <c r="AT1032" s="27"/>
      <c r="AU1032" s="27"/>
    </row>
    <row r="1033" spans="1:47" ht="15.75" customHeight="1">
      <c r="A1033" s="45">
        <v>44812</v>
      </c>
      <c r="B1033" s="51" t="s">
        <v>1902</v>
      </c>
      <c r="C1033" s="46" t="s">
        <v>1027</v>
      </c>
      <c r="D1033" s="33" t="s">
        <v>1028</v>
      </c>
      <c r="E1033" s="98">
        <v>865757.17</v>
      </c>
      <c r="F1033" s="33" t="s">
        <v>1903</v>
      </c>
      <c r="G1033" s="44" t="s">
        <v>835</v>
      </c>
      <c r="H1033" s="44" t="s">
        <v>1176</v>
      </c>
      <c r="I1033" s="44" t="s">
        <v>975</v>
      </c>
      <c r="J1033" s="44">
        <v>44263</v>
      </c>
      <c r="K1033" s="44" t="s">
        <v>1179</v>
      </c>
      <c r="L1033" s="27"/>
      <c r="M1033" s="27"/>
      <c r="N1033" s="27"/>
      <c r="O1033" s="27"/>
      <c r="P1033" s="27"/>
      <c r="Q1033" s="27"/>
      <c r="R1033" s="27"/>
      <c r="S1033" s="27"/>
      <c r="T1033" s="27"/>
      <c r="U1033" s="27"/>
      <c r="V1033" s="27"/>
      <c r="W1033" s="27"/>
      <c r="X1033" s="27"/>
      <c r="Y1033" s="27"/>
      <c r="Z1033" s="27"/>
      <c r="AA1033" s="27"/>
      <c r="AF1033" s="27"/>
      <c r="AG1033" s="27"/>
      <c r="AH1033" s="27"/>
      <c r="AI1033" s="27"/>
      <c r="AJ1033" s="27"/>
      <c r="AK1033" s="27"/>
      <c r="AL1033" s="27"/>
      <c r="AM1033" s="27"/>
      <c r="AN1033" s="27"/>
      <c r="AO1033" s="27"/>
      <c r="AP1033" s="27"/>
      <c r="AQ1033" s="27"/>
      <c r="AR1033" s="27"/>
      <c r="AS1033" s="27"/>
      <c r="AT1033" s="27"/>
      <c r="AU1033" s="27"/>
    </row>
    <row r="1034" spans="1:47" ht="15.75" customHeight="1">
      <c r="A1034" s="45">
        <v>44816</v>
      </c>
      <c r="B1034" s="51" t="s">
        <v>1904</v>
      </c>
      <c r="C1034" s="46" t="s">
        <v>48</v>
      </c>
      <c r="D1034" s="33" t="s">
        <v>1028</v>
      </c>
      <c r="E1034" s="98">
        <v>662610.46</v>
      </c>
      <c r="F1034" s="33" t="s">
        <v>1905</v>
      </c>
      <c r="G1034" s="44" t="s">
        <v>835</v>
      </c>
      <c r="H1034" s="44" t="s">
        <v>1299</v>
      </c>
      <c r="I1034" s="44" t="s">
        <v>906</v>
      </c>
      <c r="J1034" s="44">
        <v>44517</v>
      </c>
      <c r="K1034" s="33" t="s">
        <v>1438</v>
      </c>
      <c r="L1034" s="27"/>
      <c r="M1034" s="27"/>
      <c r="N1034" s="27"/>
      <c r="O1034" s="27"/>
      <c r="P1034" s="27"/>
      <c r="Q1034" s="27"/>
      <c r="R1034" s="27"/>
      <c r="S1034" s="27"/>
      <c r="T1034" s="27"/>
      <c r="U1034" s="27"/>
      <c r="V1034" s="27"/>
      <c r="W1034" s="27"/>
      <c r="X1034" s="27"/>
      <c r="Y1034" s="27"/>
      <c r="Z1034" s="27"/>
      <c r="AA1034" s="27"/>
      <c r="AF1034" s="27"/>
      <c r="AG1034" s="27"/>
      <c r="AH1034" s="27"/>
      <c r="AI1034" s="27"/>
      <c r="AJ1034" s="27"/>
      <c r="AK1034" s="27"/>
      <c r="AL1034" s="27"/>
      <c r="AM1034" s="27"/>
      <c r="AN1034" s="27"/>
      <c r="AO1034" s="27"/>
      <c r="AP1034" s="27"/>
      <c r="AQ1034" s="27"/>
      <c r="AR1034" s="27"/>
      <c r="AS1034" s="27"/>
      <c r="AT1034" s="27"/>
      <c r="AU1034" s="27"/>
    </row>
    <row r="1035" spans="1:47" ht="15.75" customHeight="1">
      <c r="A1035" s="45">
        <v>44816</v>
      </c>
      <c r="B1035" s="51" t="s">
        <v>1906</v>
      </c>
      <c r="C1035" s="46" t="s">
        <v>48</v>
      </c>
      <c r="D1035" s="33" t="s">
        <v>1037</v>
      </c>
      <c r="E1035" s="98">
        <v>17000</v>
      </c>
      <c r="F1035" s="33" t="s">
        <v>1907</v>
      </c>
      <c r="G1035" s="44" t="s">
        <v>904</v>
      </c>
      <c r="H1035" s="44" t="s">
        <v>86</v>
      </c>
      <c r="I1035" s="44" t="s">
        <v>894</v>
      </c>
      <c r="J1035" s="44">
        <v>44147</v>
      </c>
      <c r="K1035" s="44" t="s">
        <v>1030</v>
      </c>
      <c r="L1035" s="27"/>
      <c r="M1035" s="27"/>
      <c r="N1035" s="27"/>
      <c r="O1035" s="27"/>
      <c r="P1035" s="27"/>
      <c r="Q1035" s="27"/>
      <c r="R1035" s="27"/>
      <c r="S1035" s="27"/>
      <c r="T1035" s="27"/>
      <c r="U1035" s="27"/>
      <c r="V1035" s="27"/>
      <c r="W1035" s="27"/>
      <c r="X1035" s="27"/>
      <c r="Y1035" s="27"/>
      <c r="Z1035" s="27"/>
      <c r="AA1035" s="27"/>
      <c r="AF1035" s="27"/>
      <c r="AG1035" s="27"/>
      <c r="AH1035" s="27"/>
      <c r="AI1035" s="27"/>
      <c r="AJ1035" s="27"/>
      <c r="AK1035" s="27"/>
      <c r="AL1035" s="27"/>
      <c r="AM1035" s="27"/>
      <c r="AN1035" s="27"/>
      <c r="AO1035" s="27"/>
      <c r="AP1035" s="27"/>
      <c r="AQ1035" s="27"/>
      <c r="AR1035" s="27"/>
      <c r="AS1035" s="27"/>
      <c r="AT1035" s="27"/>
      <c r="AU1035" s="27"/>
    </row>
    <row r="1036" spans="1:47" ht="15.75" customHeight="1">
      <c r="A1036" s="45">
        <v>44817</v>
      </c>
      <c r="B1036" s="51" t="s">
        <v>1810</v>
      </c>
      <c r="C1036" s="46" t="s">
        <v>48</v>
      </c>
      <c r="D1036" s="33" t="s">
        <v>1037</v>
      </c>
      <c r="E1036" s="98">
        <v>20000</v>
      </c>
      <c r="F1036" s="33" t="s">
        <v>1811</v>
      </c>
      <c r="G1036" s="44" t="s">
        <v>904</v>
      </c>
      <c r="H1036" s="44" t="s">
        <v>86</v>
      </c>
      <c r="I1036" s="44" t="s">
        <v>849</v>
      </c>
      <c r="J1036" s="44">
        <v>44138</v>
      </c>
      <c r="K1036" s="44" t="s">
        <v>1054</v>
      </c>
      <c r="L1036" s="27"/>
      <c r="M1036" s="27"/>
      <c r="N1036" s="27"/>
      <c r="O1036" s="27"/>
      <c r="P1036" s="27"/>
      <c r="Q1036" s="27"/>
      <c r="R1036" s="27"/>
      <c r="S1036" s="27"/>
      <c r="T1036" s="27"/>
      <c r="U1036" s="27"/>
      <c r="V1036" s="27"/>
      <c r="W1036" s="27"/>
      <c r="X1036" s="27"/>
      <c r="Y1036" s="27"/>
      <c r="Z1036" s="27"/>
      <c r="AA1036" s="27"/>
      <c r="AF1036" s="27"/>
      <c r="AG1036" s="27"/>
      <c r="AH1036" s="27"/>
      <c r="AI1036" s="27"/>
      <c r="AJ1036" s="27"/>
      <c r="AK1036" s="27"/>
      <c r="AL1036" s="27"/>
      <c r="AM1036" s="27"/>
      <c r="AN1036" s="27"/>
      <c r="AO1036" s="27"/>
      <c r="AP1036" s="27"/>
      <c r="AQ1036" s="27"/>
      <c r="AR1036" s="27"/>
      <c r="AS1036" s="27"/>
      <c r="AT1036" s="27"/>
      <c r="AU1036" s="27"/>
    </row>
    <row r="1037" spans="1:47" ht="15.75" customHeight="1">
      <c r="A1037" s="45">
        <v>44817</v>
      </c>
      <c r="B1037" s="51" t="s">
        <v>1640</v>
      </c>
      <c r="C1037" s="46" t="s">
        <v>48</v>
      </c>
      <c r="D1037" s="33" t="s">
        <v>1037</v>
      </c>
      <c r="E1037" s="98">
        <v>25000</v>
      </c>
      <c r="F1037" s="33" t="s">
        <v>1641</v>
      </c>
      <c r="G1037" s="44" t="s">
        <v>835</v>
      </c>
      <c r="H1037" s="44" t="s">
        <v>86</v>
      </c>
      <c r="I1037" s="44" t="s">
        <v>876</v>
      </c>
      <c r="J1037" s="44">
        <v>44061</v>
      </c>
      <c r="K1037" s="44" t="s">
        <v>1041</v>
      </c>
      <c r="L1037" s="27"/>
      <c r="M1037" s="27"/>
      <c r="N1037" s="27"/>
      <c r="O1037" s="27"/>
      <c r="P1037" s="27"/>
      <c r="Q1037" s="27"/>
      <c r="R1037" s="27"/>
      <c r="S1037" s="27"/>
      <c r="T1037" s="27"/>
      <c r="U1037" s="27"/>
      <c r="V1037" s="27"/>
      <c r="W1037" s="27"/>
      <c r="X1037" s="27"/>
      <c r="Y1037" s="27"/>
      <c r="Z1037" s="27"/>
      <c r="AA1037" s="27"/>
      <c r="AF1037" s="27"/>
      <c r="AG1037" s="27"/>
      <c r="AH1037" s="27"/>
      <c r="AI1037" s="27"/>
      <c r="AJ1037" s="27"/>
      <c r="AK1037" s="27"/>
      <c r="AL1037" s="27"/>
      <c r="AM1037" s="27"/>
      <c r="AN1037" s="27"/>
      <c r="AO1037" s="27"/>
      <c r="AP1037" s="27"/>
      <c r="AQ1037" s="27"/>
      <c r="AR1037" s="27"/>
      <c r="AS1037" s="27"/>
      <c r="AT1037" s="27"/>
      <c r="AU1037" s="27"/>
    </row>
    <row r="1038" spans="1:47" ht="15.75" customHeight="1">
      <c r="A1038" s="45">
        <v>44818</v>
      </c>
      <c r="B1038" s="51" t="s">
        <v>1908</v>
      </c>
      <c r="C1038" s="46" t="s">
        <v>48</v>
      </c>
      <c r="D1038" s="33" t="s">
        <v>1028</v>
      </c>
      <c r="E1038" s="98">
        <v>384533.87</v>
      </c>
      <c r="F1038" s="33" t="s">
        <v>1909</v>
      </c>
      <c r="G1038" s="44" t="s">
        <v>835</v>
      </c>
      <c r="H1038" s="44" t="s">
        <v>1299</v>
      </c>
      <c r="I1038" s="44" t="s">
        <v>906</v>
      </c>
      <c r="J1038" s="44">
        <v>44421</v>
      </c>
      <c r="K1038" s="44" t="s">
        <v>1054</v>
      </c>
      <c r="L1038" s="27"/>
      <c r="M1038" s="27"/>
      <c r="N1038" s="27"/>
      <c r="O1038" s="27"/>
      <c r="P1038" s="27"/>
      <c r="Q1038" s="27"/>
      <c r="R1038" s="27"/>
      <c r="S1038" s="27"/>
      <c r="T1038" s="27"/>
      <c r="U1038" s="27"/>
      <c r="V1038" s="27"/>
      <c r="W1038" s="27"/>
      <c r="X1038" s="27"/>
      <c r="Y1038" s="27"/>
      <c r="Z1038" s="27"/>
      <c r="AA1038" s="27"/>
      <c r="AF1038" s="27"/>
      <c r="AG1038" s="27"/>
      <c r="AH1038" s="27"/>
      <c r="AI1038" s="27"/>
      <c r="AJ1038" s="27"/>
      <c r="AK1038" s="27"/>
      <c r="AL1038" s="27"/>
      <c r="AM1038" s="27"/>
      <c r="AN1038" s="27"/>
      <c r="AO1038" s="27"/>
      <c r="AP1038" s="27"/>
      <c r="AQ1038" s="27"/>
      <c r="AR1038" s="27"/>
      <c r="AS1038" s="27"/>
      <c r="AT1038" s="27"/>
      <c r="AU1038" s="27"/>
    </row>
    <row r="1039" spans="1:47" ht="15.75" customHeight="1">
      <c r="A1039" s="45">
        <v>44819</v>
      </c>
      <c r="B1039" s="51" t="s">
        <v>1658</v>
      </c>
      <c r="C1039" s="46" t="s">
        <v>48</v>
      </c>
      <c r="D1039" s="33" t="s">
        <v>1037</v>
      </c>
      <c r="E1039" s="98">
        <v>30000</v>
      </c>
      <c r="F1039" s="33" t="s">
        <v>1659</v>
      </c>
      <c r="G1039" s="44" t="s">
        <v>835</v>
      </c>
      <c r="H1039" s="44" t="s">
        <v>86</v>
      </c>
      <c r="I1039" s="44" t="s">
        <v>1006</v>
      </c>
      <c r="J1039" s="44">
        <v>44594</v>
      </c>
      <c r="K1039" s="44" t="s">
        <v>1179</v>
      </c>
      <c r="L1039" s="27"/>
      <c r="M1039" s="27"/>
      <c r="N1039" s="27"/>
      <c r="O1039" s="27"/>
      <c r="P1039" s="27"/>
      <c r="Q1039" s="27"/>
      <c r="R1039" s="27"/>
      <c r="S1039" s="27"/>
      <c r="T1039" s="27"/>
      <c r="U1039" s="27"/>
      <c r="V1039" s="27"/>
      <c r="W1039" s="27"/>
      <c r="X1039" s="27"/>
      <c r="Y1039" s="27"/>
      <c r="Z1039" s="27"/>
      <c r="AA1039" s="27"/>
      <c r="AF1039" s="27"/>
      <c r="AG1039" s="27"/>
      <c r="AH1039" s="27"/>
      <c r="AI1039" s="27"/>
      <c r="AJ1039" s="27"/>
      <c r="AK1039" s="27"/>
      <c r="AL1039" s="27"/>
      <c r="AM1039" s="27"/>
      <c r="AN1039" s="27"/>
      <c r="AO1039" s="27"/>
      <c r="AP1039" s="27"/>
      <c r="AQ1039" s="27"/>
      <c r="AR1039" s="27"/>
      <c r="AS1039" s="27"/>
      <c r="AT1039" s="27"/>
      <c r="AU1039" s="27"/>
    </row>
    <row r="1040" spans="1:47" ht="15.75" customHeight="1">
      <c r="A1040" s="45">
        <v>44820</v>
      </c>
      <c r="B1040" s="51" t="s">
        <v>1910</v>
      </c>
      <c r="C1040" s="46" t="s">
        <v>48</v>
      </c>
      <c r="D1040" s="33" t="s">
        <v>1062</v>
      </c>
      <c r="E1040" s="98">
        <v>190943.67</v>
      </c>
      <c r="F1040" s="33" t="s">
        <v>1911</v>
      </c>
      <c r="G1040" s="44" t="s">
        <v>830</v>
      </c>
      <c r="H1040" s="44" t="s">
        <v>86</v>
      </c>
      <c r="I1040" s="44" t="s">
        <v>830</v>
      </c>
      <c r="J1040" s="44">
        <v>44361</v>
      </c>
      <c r="K1040" s="44" t="s">
        <v>1054</v>
      </c>
      <c r="L1040" s="27"/>
      <c r="M1040" s="27"/>
      <c r="N1040" s="27"/>
      <c r="O1040" s="27"/>
      <c r="P1040" s="27"/>
      <c r="Q1040" s="27"/>
      <c r="R1040" s="27"/>
      <c r="S1040" s="27"/>
      <c r="T1040" s="27"/>
      <c r="U1040" s="27"/>
      <c r="V1040" s="27"/>
      <c r="W1040" s="27"/>
      <c r="X1040" s="27"/>
      <c r="Y1040" s="27"/>
      <c r="Z1040" s="27"/>
      <c r="AA1040" s="27"/>
      <c r="AF1040" s="27"/>
      <c r="AG1040" s="27"/>
      <c r="AH1040" s="27"/>
      <c r="AI1040" s="27"/>
      <c r="AJ1040" s="27"/>
      <c r="AK1040" s="27"/>
      <c r="AL1040" s="27"/>
      <c r="AM1040" s="27"/>
      <c r="AN1040" s="27"/>
      <c r="AO1040" s="27"/>
      <c r="AP1040" s="27"/>
      <c r="AQ1040" s="27"/>
      <c r="AR1040" s="27"/>
      <c r="AS1040" s="27"/>
      <c r="AT1040" s="27"/>
      <c r="AU1040" s="27"/>
    </row>
    <row r="1041" spans="1:47" ht="15.75" customHeight="1">
      <c r="A1041" s="45">
        <v>44820</v>
      </c>
      <c r="B1041" s="51" t="s">
        <v>1912</v>
      </c>
      <c r="C1041" s="46" t="s">
        <v>48</v>
      </c>
      <c r="D1041" s="33" t="s">
        <v>1028</v>
      </c>
      <c r="E1041" s="98">
        <v>32923.57</v>
      </c>
      <c r="F1041" s="33" t="s">
        <v>1913</v>
      </c>
      <c r="G1041" s="44" t="s">
        <v>835</v>
      </c>
      <c r="H1041" s="44" t="s">
        <v>1299</v>
      </c>
      <c r="I1041" s="44" t="s">
        <v>900</v>
      </c>
      <c r="J1041" s="44">
        <v>44623</v>
      </c>
      <c r="K1041" s="33" t="s">
        <v>1914</v>
      </c>
      <c r="L1041" s="27"/>
      <c r="M1041" s="27"/>
      <c r="N1041" s="27"/>
      <c r="O1041" s="27"/>
      <c r="P1041" s="27"/>
      <c r="Q1041" s="27"/>
      <c r="R1041" s="27"/>
      <c r="S1041" s="27"/>
      <c r="T1041" s="27"/>
      <c r="U1041" s="27"/>
      <c r="V1041" s="27"/>
      <c r="W1041" s="27"/>
      <c r="X1041" s="27"/>
      <c r="Y1041" s="27"/>
      <c r="Z1041" s="27"/>
      <c r="AA1041" s="27"/>
      <c r="AF1041" s="27"/>
      <c r="AG1041" s="27"/>
      <c r="AH1041" s="27"/>
      <c r="AI1041" s="27"/>
      <c r="AJ1041" s="27"/>
      <c r="AK1041" s="27"/>
      <c r="AL1041" s="27"/>
      <c r="AM1041" s="27"/>
      <c r="AN1041" s="27"/>
      <c r="AO1041" s="27"/>
      <c r="AP1041" s="27"/>
      <c r="AQ1041" s="27"/>
      <c r="AR1041" s="27"/>
      <c r="AS1041" s="27"/>
      <c r="AT1041" s="27"/>
      <c r="AU1041" s="27"/>
    </row>
    <row r="1042" spans="1:47" ht="15.75" customHeight="1">
      <c r="A1042" s="45">
        <v>44824</v>
      </c>
      <c r="B1042" s="51" t="s">
        <v>1893</v>
      </c>
      <c r="C1042" s="46" t="s">
        <v>48</v>
      </c>
      <c r="D1042" s="33" t="s">
        <v>1037</v>
      </c>
      <c r="E1042" s="98">
        <v>10000</v>
      </c>
      <c r="F1042" s="33" t="s">
        <v>1894</v>
      </c>
      <c r="G1042" s="44" t="s">
        <v>835</v>
      </c>
      <c r="H1042" s="44" t="s">
        <v>1299</v>
      </c>
      <c r="I1042" s="44" t="s">
        <v>1002</v>
      </c>
      <c r="J1042" s="44">
        <v>44762</v>
      </c>
      <c r="K1042" s="44" t="s">
        <v>1054</v>
      </c>
      <c r="L1042" s="27"/>
      <c r="M1042" s="27"/>
      <c r="N1042" s="27"/>
      <c r="O1042" s="27"/>
      <c r="P1042" s="27"/>
      <c r="Q1042" s="27"/>
      <c r="R1042" s="27"/>
      <c r="S1042" s="27"/>
      <c r="T1042" s="27"/>
      <c r="U1042" s="27"/>
      <c r="V1042" s="27"/>
      <c r="W1042" s="27"/>
      <c r="X1042" s="27"/>
      <c r="Y1042" s="27"/>
      <c r="Z1042" s="27"/>
      <c r="AA1042" s="27"/>
      <c r="AF1042" s="27"/>
      <c r="AG1042" s="27"/>
      <c r="AH1042" s="27"/>
      <c r="AI1042" s="27"/>
      <c r="AJ1042" s="27"/>
      <c r="AK1042" s="27"/>
      <c r="AL1042" s="27"/>
      <c r="AM1042" s="27"/>
      <c r="AN1042" s="27"/>
      <c r="AO1042" s="27"/>
      <c r="AP1042" s="27"/>
      <c r="AQ1042" s="27"/>
      <c r="AR1042" s="27"/>
      <c r="AS1042" s="27"/>
      <c r="AT1042" s="27"/>
      <c r="AU1042" s="27"/>
    </row>
    <row r="1043" spans="1:47" ht="15.75" customHeight="1">
      <c r="A1043" s="45">
        <v>44824</v>
      </c>
      <c r="B1043" s="51" t="s">
        <v>1915</v>
      </c>
      <c r="C1043" s="46" t="s">
        <v>48</v>
      </c>
      <c r="D1043" s="33" t="s">
        <v>1037</v>
      </c>
      <c r="E1043" s="98">
        <v>96196</v>
      </c>
      <c r="F1043" s="33" t="s">
        <v>1916</v>
      </c>
      <c r="G1043" s="44" t="s">
        <v>835</v>
      </c>
      <c r="H1043" s="44" t="s">
        <v>86</v>
      </c>
      <c r="I1043" s="44" t="s">
        <v>843</v>
      </c>
      <c r="J1043" s="44">
        <v>44218</v>
      </c>
      <c r="K1043" s="44" t="s">
        <v>1122</v>
      </c>
      <c r="L1043" s="27"/>
      <c r="M1043" s="27"/>
      <c r="N1043" s="27"/>
      <c r="O1043" s="27"/>
      <c r="P1043" s="27"/>
      <c r="Q1043" s="27"/>
      <c r="R1043" s="27"/>
      <c r="S1043" s="27"/>
      <c r="T1043" s="27"/>
      <c r="U1043" s="27"/>
      <c r="V1043" s="27"/>
      <c r="W1043" s="27"/>
      <c r="X1043" s="27"/>
      <c r="Y1043" s="27"/>
      <c r="Z1043" s="27"/>
      <c r="AA1043" s="27"/>
      <c r="AF1043" s="27"/>
      <c r="AG1043" s="27"/>
      <c r="AH1043" s="27"/>
      <c r="AI1043" s="27"/>
      <c r="AJ1043" s="27"/>
      <c r="AK1043" s="27"/>
      <c r="AL1043" s="27"/>
      <c r="AM1043" s="27"/>
      <c r="AN1043" s="27"/>
      <c r="AO1043" s="27"/>
      <c r="AP1043" s="27"/>
      <c r="AQ1043" s="27"/>
      <c r="AR1043" s="27"/>
      <c r="AS1043" s="27"/>
      <c r="AT1043" s="27"/>
      <c r="AU1043" s="27"/>
    </row>
    <row r="1044" spans="1:47" ht="15.75" customHeight="1">
      <c r="A1044" s="45">
        <v>44825</v>
      </c>
      <c r="B1044" s="51">
        <v>5663320</v>
      </c>
      <c r="C1044" s="46" t="s">
        <v>48</v>
      </c>
      <c r="D1044" s="33" t="s">
        <v>1037</v>
      </c>
      <c r="E1044" s="98">
        <v>21000</v>
      </c>
      <c r="F1044" s="33" t="s">
        <v>1864</v>
      </c>
      <c r="G1044" s="44" t="s">
        <v>835</v>
      </c>
      <c r="H1044" s="44" t="s">
        <v>86</v>
      </c>
      <c r="I1044" s="44" t="s">
        <v>990</v>
      </c>
      <c r="J1044" s="44">
        <v>44385</v>
      </c>
      <c r="K1044" s="44" t="s">
        <v>1438</v>
      </c>
      <c r="L1044" s="27"/>
      <c r="M1044" s="27"/>
      <c r="N1044" s="27"/>
      <c r="O1044" s="27"/>
      <c r="P1044" s="27"/>
      <c r="Q1044" s="27"/>
      <c r="R1044" s="27"/>
      <c r="S1044" s="27"/>
      <c r="T1044" s="27"/>
      <c r="U1044" s="27"/>
      <c r="V1044" s="27"/>
      <c r="W1044" s="27"/>
      <c r="X1044" s="27"/>
      <c r="Y1044" s="27"/>
      <c r="Z1044" s="27"/>
      <c r="AA1044" s="27"/>
      <c r="AF1044" s="27"/>
      <c r="AG1044" s="27"/>
      <c r="AH1044" s="27"/>
      <c r="AI1044" s="27"/>
      <c r="AJ1044" s="27"/>
      <c r="AK1044" s="27"/>
      <c r="AL1044" s="27"/>
      <c r="AM1044" s="27"/>
      <c r="AN1044" s="27"/>
      <c r="AO1044" s="27"/>
      <c r="AP1044" s="27"/>
      <c r="AQ1044" s="27"/>
      <c r="AR1044" s="27"/>
      <c r="AS1044" s="27"/>
      <c r="AT1044" s="27"/>
      <c r="AU1044" s="27"/>
    </row>
    <row r="1045" spans="1:47" ht="15.75" customHeight="1">
      <c r="A1045" s="45">
        <v>44826</v>
      </c>
      <c r="B1045" s="51" t="s">
        <v>1917</v>
      </c>
      <c r="C1045" s="46" t="s">
        <v>48</v>
      </c>
      <c r="D1045" s="33" t="s">
        <v>1028</v>
      </c>
      <c r="E1045" s="98" t="s">
        <v>648</v>
      </c>
      <c r="F1045" s="33" t="s">
        <v>1918</v>
      </c>
      <c r="G1045" s="44" t="s">
        <v>835</v>
      </c>
      <c r="H1045" s="44" t="s">
        <v>1176</v>
      </c>
      <c r="I1045" s="44" t="s">
        <v>971</v>
      </c>
      <c r="J1045" s="44">
        <v>44824</v>
      </c>
      <c r="K1045" s="44" t="s">
        <v>1030</v>
      </c>
      <c r="L1045" s="27"/>
      <c r="M1045" s="27"/>
      <c r="N1045" s="27"/>
      <c r="O1045" s="27"/>
      <c r="P1045" s="27"/>
      <c r="Q1045" s="27"/>
      <c r="R1045" s="27"/>
      <c r="S1045" s="27"/>
      <c r="T1045" s="27"/>
      <c r="U1045" s="27"/>
      <c r="V1045" s="27"/>
      <c r="W1045" s="27"/>
      <c r="X1045" s="27"/>
      <c r="Y1045" s="27"/>
      <c r="Z1045" s="27"/>
      <c r="AA1045" s="27"/>
      <c r="AF1045" s="27"/>
      <c r="AG1045" s="27"/>
      <c r="AH1045" s="27"/>
      <c r="AI1045" s="27"/>
      <c r="AJ1045" s="27"/>
      <c r="AK1045" s="27"/>
      <c r="AL1045" s="27"/>
      <c r="AM1045" s="27"/>
      <c r="AN1045" s="27"/>
      <c r="AO1045" s="27"/>
      <c r="AP1045" s="27"/>
      <c r="AQ1045" s="27"/>
      <c r="AR1045" s="27"/>
      <c r="AS1045" s="27"/>
      <c r="AT1045" s="27"/>
      <c r="AU1045" s="27"/>
    </row>
    <row r="1046" spans="1:47" ht="15.75" customHeight="1">
      <c r="A1046" s="45">
        <v>44827</v>
      </c>
      <c r="B1046" s="51" t="s">
        <v>1919</v>
      </c>
      <c r="C1046" s="46" t="s">
        <v>48</v>
      </c>
      <c r="D1046" s="33" t="s">
        <v>1037</v>
      </c>
      <c r="E1046" s="98">
        <v>60000</v>
      </c>
      <c r="F1046" s="33" t="s">
        <v>1920</v>
      </c>
      <c r="G1046" s="44" t="s">
        <v>835</v>
      </c>
      <c r="H1046" s="44" t="s">
        <v>86</v>
      </c>
      <c r="I1046" s="44" t="s">
        <v>990</v>
      </c>
      <c r="J1046" s="44">
        <v>44652</v>
      </c>
      <c r="K1046" s="44" t="s">
        <v>1179</v>
      </c>
      <c r="L1046" s="27"/>
      <c r="M1046" s="27"/>
      <c r="N1046" s="27"/>
      <c r="O1046" s="27"/>
      <c r="P1046" s="27"/>
      <c r="Q1046" s="27"/>
      <c r="R1046" s="27"/>
      <c r="S1046" s="27"/>
      <c r="T1046" s="27"/>
      <c r="U1046" s="27"/>
      <c r="V1046" s="27"/>
      <c r="W1046" s="27"/>
      <c r="X1046" s="27"/>
      <c r="Y1046" s="27"/>
      <c r="Z1046" s="27"/>
      <c r="AA1046" s="27"/>
      <c r="AF1046" s="27"/>
      <c r="AG1046" s="27"/>
      <c r="AH1046" s="27"/>
      <c r="AI1046" s="27"/>
      <c r="AJ1046" s="27"/>
      <c r="AK1046" s="27"/>
      <c r="AL1046" s="27"/>
      <c r="AM1046" s="27"/>
      <c r="AN1046" s="27"/>
      <c r="AO1046" s="27"/>
      <c r="AP1046" s="27"/>
      <c r="AQ1046" s="27"/>
      <c r="AR1046" s="27"/>
      <c r="AS1046" s="27"/>
      <c r="AT1046" s="27"/>
      <c r="AU1046" s="27"/>
    </row>
    <row r="1047" spans="1:47" ht="15.75" customHeight="1">
      <c r="A1047" s="45">
        <v>44827</v>
      </c>
      <c r="B1047" s="51" t="s">
        <v>1886</v>
      </c>
      <c r="C1047" s="46" t="s">
        <v>48</v>
      </c>
      <c r="D1047" s="33" t="s">
        <v>1037</v>
      </c>
      <c r="E1047" s="98">
        <v>18000</v>
      </c>
      <c r="F1047" s="33" t="s">
        <v>1887</v>
      </c>
      <c r="G1047" s="44" t="s">
        <v>835</v>
      </c>
      <c r="H1047" s="44" t="s">
        <v>1299</v>
      </c>
      <c r="I1047" s="44" t="s">
        <v>1888</v>
      </c>
      <c r="J1047" s="44">
        <v>44776</v>
      </c>
      <c r="K1047" s="44" t="s">
        <v>1030</v>
      </c>
      <c r="L1047" s="27"/>
      <c r="M1047" s="27"/>
      <c r="N1047" s="27"/>
      <c r="O1047" s="27"/>
      <c r="P1047" s="27"/>
      <c r="Q1047" s="27"/>
      <c r="R1047" s="27"/>
      <c r="S1047" s="27"/>
      <c r="T1047" s="27"/>
      <c r="U1047" s="27"/>
      <c r="V1047" s="27"/>
      <c r="W1047" s="27"/>
      <c r="X1047" s="27"/>
      <c r="Y1047" s="27"/>
      <c r="Z1047" s="27"/>
      <c r="AA1047" s="27"/>
      <c r="AF1047" s="27"/>
      <c r="AG1047" s="27"/>
      <c r="AH1047" s="27"/>
      <c r="AI1047" s="27"/>
      <c r="AJ1047" s="27"/>
      <c r="AK1047" s="27"/>
      <c r="AL1047" s="27"/>
      <c r="AM1047" s="27"/>
      <c r="AN1047" s="27"/>
      <c r="AO1047" s="27"/>
      <c r="AP1047" s="27"/>
      <c r="AQ1047" s="27"/>
      <c r="AR1047" s="27"/>
      <c r="AS1047" s="27"/>
      <c r="AT1047" s="27"/>
      <c r="AU1047" s="27"/>
    </row>
    <row r="1048" spans="1:47" ht="15.75" customHeight="1">
      <c r="A1048" s="45">
        <v>44830</v>
      </c>
      <c r="B1048" s="51" t="s">
        <v>1921</v>
      </c>
      <c r="C1048" s="46" t="s">
        <v>48</v>
      </c>
      <c r="D1048" s="33" t="s">
        <v>1028</v>
      </c>
      <c r="E1048" s="98">
        <v>156696.82</v>
      </c>
      <c r="F1048" s="33" t="s">
        <v>1922</v>
      </c>
      <c r="G1048" s="44" t="s">
        <v>835</v>
      </c>
      <c r="H1048" s="44" t="s">
        <v>1299</v>
      </c>
      <c r="I1048" s="44" t="s">
        <v>906</v>
      </c>
      <c r="J1048" s="44">
        <v>44461</v>
      </c>
      <c r="K1048" s="44" t="s">
        <v>1179</v>
      </c>
      <c r="L1048" s="27"/>
      <c r="M1048" s="27"/>
      <c r="N1048" s="27"/>
      <c r="O1048" s="27"/>
      <c r="P1048" s="27"/>
      <c r="Q1048" s="27"/>
      <c r="R1048" s="27"/>
      <c r="S1048" s="27"/>
      <c r="T1048" s="27"/>
      <c r="U1048" s="27"/>
      <c r="V1048" s="27"/>
      <c r="W1048" s="27"/>
      <c r="X1048" s="27"/>
      <c r="Y1048" s="27"/>
      <c r="Z1048" s="27"/>
      <c r="AA1048" s="27"/>
      <c r="AF1048" s="27"/>
      <c r="AG1048" s="27"/>
      <c r="AH1048" s="27"/>
      <c r="AI1048" s="27"/>
      <c r="AJ1048" s="27"/>
      <c r="AK1048" s="27"/>
      <c r="AL1048" s="27"/>
      <c r="AM1048" s="27"/>
      <c r="AN1048" s="27"/>
      <c r="AO1048" s="27"/>
      <c r="AP1048" s="27"/>
      <c r="AQ1048" s="27"/>
      <c r="AR1048" s="27"/>
      <c r="AS1048" s="27"/>
      <c r="AT1048" s="27"/>
      <c r="AU1048" s="27"/>
    </row>
    <row r="1049" spans="1:47" ht="15.75" customHeight="1">
      <c r="A1049" s="45">
        <v>44837</v>
      </c>
      <c r="B1049" s="51" t="s">
        <v>1923</v>
      </c>
      <c r="C1049" s="46" t="s">
        <v>48</v>
      </c>
      <c r="D1049" s="33" t="s">
        <v>1037</v>
      </c>
      <c r="E1049" s="98">
        <v>4800</v>
      </c>
      <c r="F1049" s="33" t="s">
        <v>1924</v>
      </c>
      <c r="G1049" s="44" t="s">
        <v>835</v>
      </c>
      <c r="H1049" s="44" t="s">
        <v>86</v>
      </c>
      <c r="I1049" s="44" t="s">
        <v>1001</v>
      </c>
      <c r="J1049" s="44">
        <v>44819</v>
      </c>
      <c r="K1049" s="44" t="s">
        <v>1054</v>
      </c>
      <c r="L1049" s="27"/>
      <c r="M1049" s="27"/>
      <c r="N1049" s="27"/>
      <c r="O1049" s="27"/>
      <c r="P1049" s="27"/>
      <c r="Q1049" s="27"/>
      <c r="R1049" s="27"/>
      <c r="S1049" s="27"/>
      <c r="T1049" s="27"/>
      <c r="U1049" s="27"/>
      <c r="V1049" s="27"/>
      <c r="W1049" s="27"/>
      <c r="X1049" s="27"/>
      <c r="Y1049" s="27"/>
      <c r="Z1049" s="27"/>
      <c r="AA1049" s="27"/>
      <c r="AF1049" s="27"/>
      <c r="AG1049" s="27"/>
      <c r="AH1049" s="27"/>
      <c r="AI1049" s="27"/>
      <c r="AJ1049" s="27"/>
      <c r="AK1049" s="27"/>
      <c r="AL1049" s="27"/>
      <c r="AM1049" s="27"/>
      <c r="AN1049" s="27"/>
      <c r="AO1049" s="27"/>
      <c r="AP1049" s="27"/>
      <c r="AQ1049" s="27"/>
      <c r="AR1049" s="27"/>
      <c r="AS1049" s="27"/>
      <c r="AT1049" s="27"/>
      <c r="AU1049" s="27"/>
    </row>
    <row r="1050" spans="1:47" ht="15.75" customHeight="1">
      <c r="A1050" s="45">
        <v>44837</v>
      </c>
      <c r="B1050" s="51" t="s">
        <v>1923</v>
      </c>
      <c r="C1050" s="46" t="s">
        <v>48</v>
      </c>
      <c r="D1050" s="33" t="s">
        <v>1037</v>
      </c>
      <c r="E1050" s="98">
        <v>7477.76</v>
      </c>
      <c r="F1050" s="33" t="s">
        <v>1924</v>
      </c>
      <c r="G1050" s="44" t="s">
        <v>835</v>
      </c>
      <c r="H1050" s="44" t="s">
        <v>86</v>
      </c>
      <c r="I1050" s="44" t="s">
        <v>1001</v>
      </c>
      <c r="J1050" s="44">
        <v>44819</v>
      </c>
      <c r="K1050" s="44" t="s">
        <v>1054</v>
      </c>
      <c r="L1050" s="27"/>
      <c r="M1050" s="27"/>
      <c r="N1050" s="27"/>
      <c r="O1050" s="27"/>
      <c r="P1050" s="27"/>
      <c r="Q1050" s="27"/>
      <c r="R1050" s="27"/>
      <c r="S1050" s="27"/>
      <c r="T1050" s="27"/>
      <c r="U1050" s="27"/>
      <c r="V1050" s="27"/>
      <c r="W1050" s="27"/>
      <c r="X1050" s="27"/>
      <c r="Y1050" s="27"/>
      <c r="Z1050" s="27"/>
      <c r="AA1050" s="27"/>
      <c r="AF1050" s="27"/>
      <c r="AG1050" s="27"/>
      <c r="AH1050" s="27"/>
      <c r="AI1050" s="27"/>
      <c r="AJ1050" s="27"/>
      <c r="AK1050" s="27"/>
      <c r="AL1050" s="27"/>
      <c r="AM1050" s="27"/>
      <c r="AN1050" s="27"/>
      <c r="AO1050" s="27"/>
      <c r="AP1050" s="27"/>
      <c r="AQ1050" s="27"/>
      <c r="AR1050" s="27"/>
      <c r="AS1050" s="27"/>
      <c r="AT1050" s="27"/>
      <c r="AU1050" s="27"/>
    </row>
    <row r="1051" spans="1:47" ht="15.75" customHeight="1">
      <c r="A1051" s="45">
        <v>44837</v>
      </c>
      <c r="B1051" s="51" t="s">
        <v>1925</v>
      </c>
      <c r="C1051" s="46" t="s">
        <v>48</v>
      </c>
      <c r="D1051" s="33" t="s">
        <v>1037</v>
      </c>
      <c r="E1051" s="98">
        <v>199998</v>
      </c>
      <c r="F1051" s="33" t="s">
        <v>1926</v>
      </c>
      <c r="G1051" s="44" t="s">
        <v>835</v>
      </c>
      <c r="H1051" s="44" t="s">
        <v>1299</v>
      </c>
      <c r="I1051" s="44" t="s">
        <v>886</v>
      </c>
      <c r="J1051" s="44">
        <v>44739</v>
      </c>
      <c r="K1051" s="44" t="s">
        <v>1179</v>
      </c>
      <c r="L1051" s="27"/>
      <c r="M1051" s="27"/>
      <c r="N1051" s="27"/>
      <c r="O1051" s="27"/>
      <c r="P1051" s="27"/>
      <c r="Q1051" s="27"/>
      <c r="R1051" s="27"/>
      <c r="S1051" s="27"/>
      <c r="T1051" s="27"/>
      <c r="U1051" s="27"/>
      <c r="V1051" s="27"/>
      <c r="W1051" s="27"/>
      <c r="X1051" s="27"/>
      <c r="Y1051" s="27"/>
      <c r="Z1051" s="27"/>
      <c r="AA1051" s="27"/>
      <c r="AF1051" s="27"/>
      <c r="AG1051" s="27"/>
      <c r="AH1051" s="27"/>
      <c r="AI1051" s="27"/>
      <c r="AJ1051" s="27"/>
      <c r="AK1051" s="27"/>
      <c r="AL1051" s="27"/>
      <c r="AM1051" s="27"/>
      <c r="AN1051" s="27"/>
      <c r="AO1051" s="27"/>
      <c r="AP1051" s="27"/>
      <c r="AQ1051" s="27"/>
      <c r="AR1051" s="27"/>
      <c r="AS1051" s="27"/>
      <c r="AT1051" s="27"/>
      <c r="AU1051" s="27"/>
    </row>
    <row r="1052" spans="1:47" ht="15.75" customHeight="1">
      <c r="A1052" s="45">
        <v>44838</v>
      </c>
      <c r="B1052" s="51" t="s">
        <v>1927</v>
      </c>
      <c r="C1052" s="46" t="s">
        <v>48</v>
      </c>
      <c r="D1052" s="33" t="s">
        <v>1028</v>
      </c>
      <c r="E1052" s="98">
        <v>104271.35</v>
      </c>
      <c r="F1052" s="33" t="s">
        <v>1928</v>
      </c>
      <c r="G1052" s="44" t="s">
        <v>835</v>
      </c>
      <c r="H1052" s="44" t="s">
        <v>1299</v>
      </c>
      <c r="I1052" s="44" t="s">
        <v>886</v>
      </c>
      <c r="J1052" s="44">
        <v>44460</v>
      </c>
      <c r="K1052" s="44" t="s">
        <v>1929</v>
      </c>
      <c r="L1052" s="27"/>
      <c r="M1052" s="27"/>
      <c r="N1052" s="27"/>
      <c r="O1052" s="27"/>
      <c r="P1052" s="27"/>
      <c r="Q1052" s="27"/>
      <c r="R1052" s="27"/>
      <c r="S1052" s="27"/>
      <c r="T1052" s="27"/>
      <c r="U1052" s="27"/>
      <c r="V1052" s="27"/>
      <c r="W1052" s="27"/>
      <c r="X1052" s="27"/>
      <c r="Y1052" s="27"/>
      <c r="Z1052" s="27"/>
      <c r="AA1052" s="27"/>
      <c r="AF1052" s="27"/>
      <c r="AG1052" s="27"/>
      <c r="AH1052" s="27"/>
      <c r="AI1052" s="27"/>
      <c r="AJ1052" s="27"/>
      <c r="AK1052" s="27"/>
      <c r="AL1052" s="27"/>
      <c r="AM1052" s="27"/>
      <c r="AN1052" s="27"/>
      <c r="AO1052" s="27"/>
      <c r="AP1052" s="27"/>
      <c r="AQ1052" s="27"/>
      <c r="AR1052" s="27"/>
      <c r="AS1052" s="27"/>
      <c r="AT1052" s="27"/>
      <c r="AU1052" s="27"/>
    </row>
    <row r="1053" spans="1:47" ht="15.75" customHeight="1">
      <c r="A1053" s="45">
        <v>44839</v>
      </c>
      <c r="B1053" s="51" t="s">
        <v>1898</v>
      </c>
      <c r="C1053" s="46" t="s">
        <v>48</v>
      </c>
      <c r="D1053" s="33" t="s">
        <v>1037</v>
      </c>
      <c r="E1053" s="98">
        <v>400000</v>
      </c>
      <c r="F1053" s="33" t="s">
        <v>1930</v>
      </c>
      <c r="G1053" s="44" t="s">
        <v>835</v>
      </c>
      <c r="H1053" s="44" t="s">
        <v>1299</v>
      </c>
      <c r="I1053" s="44" t="s">
        <v>870</v>
      </c>
      <c r="J1053" s="44">
        <v>44698</v>
      </c>
      <c r="K1053" s="44" t="s">
        <v>1030</v>
      </c>
      <c r="L1053" s="27"/>
      <c r="M1053" s="27"/>
      <c r="N1053" s="27"/>
      <c r="O1053" s="27"/>
      <c r="P1053" s="27"/>
      <c r="Q1053" s="27"/>
      <c r="R1053" s="27"/>
      <c r="S1053" s="27"/>
      <c r="T1053" s="27"/>
      <c r="U1053" s="27"/>
      <c r="V1053" s="27"/>
      <c r="W1053" s="27"/>
      <c r="X1053" s="27"/>
      <c r="Y1053" s="27"/>
      <c r="Z1053" s="27"/>
      <c r="AA1053" s="27"/>
      <c r="AF1053" s="27"/>
      <c r="AG1053" s="27"/>
      <c r="AH1053" s="27"/>
      <c r="AI1053" s="27"/>
      <c r="AJ1053" s="27"/>
      <c r="AK1053" s="27"/>
      <c r="AL1053" s="27"/>
      <c r="AM1053" s="27"/>
      <c r="AN1053" s="27"/>
      <c r="AO1053" s="27"/>
      <c r="AP1053" s="27"/>
      <c r="AQ1053" s="27"/>
      <c r="AR1053" s="27"/>
      <c r="AS1053" s="27"/>
      <c r="AT1053" s="27"/>
      <c r="AU1053" s="27"/>
    </row>
    <row r="1054" spans="1:47" ht="15.75" customHeight="1">
      <c r="A1054" s="45">
        <v>44839</v>
      </c>
      <c r="B1054" s="51" t="s">
        <v>1183</v>
      </c>
      <c r="C1054" s="46" t="s">
        <v>48</v>
      </c>
      <c r="D1054" s="33" t="s">
        <v>1037</v>
      </c>
      <c r="E1054" s="98">
        <v>10000</v>
      </c>
      <c r="F1054" s="33" t="s">
        <v>1184</v>
      </c>
      <c r="G1054" s="44" t="s">
        <v>904</v>
      </c>
      <c r="H1054" s="44" t="s">
        <v>86</v>
      </c>
      <c r="I1054" s="44" t="s">
        <v>912</v>
      </c>
      <c r="J1054" s="44">
        <v>44263</v>
      </c>
      <c r="K1054" s="44" t="s">
        <v>1041</v>
      </c>
      <c r="L1054" s="27"/>
      <c r="M1054" s="27"/>
      <c r="N1054" s="27"/>
      <c r="O1054" s="27"/>
      <c r="P1054" s="27"/>
      <c r="Q1054" s="27"/>
      <c r="R1054" s="27"/>
      <c r="S1054" s="27"/>
      <c r="T1054" s="27"/>
      <c r="U1054" s="27"/>
      <c r="V1054" s="27"/>
      <c r="W1054" s="27"/>
      <c r="X1054" s="27"/>
      <c r="Y1054" s="27"/>
      <c r="Z1054" s="27"/>
      <c r="AA1054" s="27"/>
      <c r="AF1054" s="27"/>
      <c r="AG1054" s="27"/>
      <c r="AH1054" s="27"/>
      <c r="AI1054" s="27"/>
      <c r="AJ1054" s="27"/>
      <c r="AK1054" s="27"/>
      <c r="AL1054" s="27"/>
      <c r="AM1054" s="27"/>
      <c r="AN1054" s="27"/>
      <c r="AO1054" s="27"/>
      <c r="AP1054" s="27"/>
      <c r="AQ1054" s="27"/>
      <c r="AR1054" s="27"/>
      <c r="AS1054" s="27"/>
      <c r="AT1054" s="27"/>
      <c r="AU1054" s="27"/>
    </row>
    <row r="1055" spans="1:47" ht="15.75" customHeight="1">
      <c r="A1055" s="45">
        <v>44844</v>
      </c>
      <c r="B1055" s="51" t="s">
        <v>1658</v>
      </c>
      <c r="C1055" s="46" t="s">
        <v>48</v>
      </c>
      <c r="D1055" s="33" t="s">
        <v>1037</v>
      </c>
      <c r="E1055" s="98">
        <v>30000</v>
      </c>
      <c r="F1055" s="33" t="s">
        <v>1659</v>
      </c>
      <c r="G1055" s="44" t="s">
        <v>835</v>
      </c>
      <c r="H1055" s="44" t="s">
        <v>86</v>
      </c>
      <c r="I1055" s="44" t="s">
        <v>1006</v>
      </c>
      <c r="J1055" s="44">
        <v>44594</v>
      </c>
      <c r="K1055" s="44" t="s">
        <v>1179</v>
      </c>
      <c r="L1055" s="27"/>
      <c r="M1055" s="27"/>
      <c r="N1055" s="27"/>
      <c r="O1055" s="27"/>
      <c r="P1055" s="27"/>
      <c r="Q1055" s="27"/>
      <c r="R1055" s="27"/>
      <c r="S1055" s="27"/>
      <c r="T1055" s="27"/>
      <c r="U1055" s="27"/>
      <c r="V1055" s="27"/>
      <c r="W1055" s="27"/>
      <c r="X1055" s="27"/>
      <c r="Y1055" s="27"/>
      <c r="Z1055" s="27"/>
      <c r="AA1055" s="27"/>
      <c r="AF1055" s="27"/>
      <c r="AG1055" s="27"/>
      <c r="AH1055" s="27"/>
      <c r="AI1055" s="27"/>
      <c r="AJ1055" s="27"/>
      <c r="AK1055" s="27"/>
      <c r="AL1055" s="27"/>
      <c r="AM1055" s="27"/>
      <c r="AN1055" s="27"/>
      <c r="AO1055" s="27"/>
      <c r="AP1055" s="27"/>
      <c r="AQ1055" s="27"/>
      <c r="AR1055" s="27"/>
      <c r="AS1055" s="27"/>
      <c r="AT1055" s="27"/>
      <c r="AU1055" s="27"/>
    </row>
    <row r="1056" spans="1:47" ht="15.75" customHeight="1">
      <c r="A1056" s="45">
        <v>44845</v>
      </c>
      <c r="B1056" s="51" t="s">
        <v>1931</v>
      </c>
      <c r="C1056" s="46" t="s">
        <v>48</v>
      </c>
      <c r="D1056" s="33" t="s">
        <v>1037</v>
      </c>
      <c r="E1056" s="98">
        <v>10000</v>
      </c>
      <c r="F1056" s="33" t="s">
        <v>1932</v>
      </c>
      <c r="G1056" s="44" t="s">
        <v>904</v>
      </c>
      <c r="H1056" s="44" t="s">
        <v>86</v>
      </c>
      <c r="I1056" s="44" t="s">
        <v>849</v>
      </c>
      <c r="J1056" s="44">
        <v>44217</v>
      </c>
      <c r="K1056" s="44" t="s">
        <v>1041</v>
      </c>
      <c r="L1056" s="27"/>
      <c r="M1056" s="27"/>
      <c r="N1056" s="27"/>
      <c r="O1056" s="27"/>
      <c r="P1056" s="27"/>
      <c r="Q1056" s="27"/>
      <c r="R1056" s="27"/>
      <c r="S1056" s="27"/>
      <c r="T1056" s="27"/>
      <c r="U1056" s="27"/>
      <c r="V1056" s="27"/>
      <c r="W1056" s="27"/>
      <c r="X1056" s="27"/>
      <c r="Y1056" s="27"/>
      <c r="Z1056" s="27"/>
      <c r="AA1056" s="27"/>
      <c r="AF1056" s="27"/>
      <c r="AG1056" s="27"/>
      <c r="AH1056" s="27"/>
      <c r="AI1056" s="27"/>
      <c r="AJ1056" s="27"/>
      <c r="AK1056" s="27"/>
      <c r="AL1056" s="27"/>
      <c r="AM1056" s="27"/>
      <c r="AN1056" s="27"/>
      <c r="AO1056" s="27"/>
      <c r="AP1056" s="27"/>
      <c r="AQ1056" s="27"/>
      <c r="AR1056" s="27"/>
      <c r="AS1056" s="27"/>
      <c r="AT1056" s="27"/>
      <c r="AU1056" s="27"/>
    </row>
    <row r="1057" spans="1:47" ht="15.75" customHeight="1">
      <c r="A1057" s="45">
        <v>44845</v>
      </c>
      <c r="B1057" s="51" t="s">
        <v>1933</v>
      </c>
      <c r="C1057" s="46" t="s">
        <v>48</v>
      </c>
      <c r="D1057" s="33" t="s">
        <v>1037</v>
      </c>
      <c r="E1057" s="98">
        <v>2000</v>
      </c>
      <c r="F1057" s="33" t="s">
        <v>1934</v>
      </c>
      <c r="G1057" s="44" t="s">
        <v>904</v>
      </c>
      <c r="H1057" s="44" t="s">
        <v>86</v>
      </c>
      <c r="I1057" s="44" t="s">
        <v>918</v>
      </c>
      <c r="J1057" s="44">
        <v>44421</v>
      </c>
      <c r="K1057" s="44" t="s">
        <v>1041</v>
      </c>
      <c r="L1057" s="27"/>
      <c r="M1057" s="27"/>
      <c r="N1057" s="27"/>
      <c r="O1057" s="27"/>
      <c r="P1057" s="27"/>
      <c r="Q1057" s="27"/>
      <c r="R1057" s="27"/>
      <c r="S1057" s="27"/>
      <c r="T1057" s="27"/>
      <c r="U1057" s="27"/>
      <c r="V1057" s="27"/>
      <c r="W1057" s="27"/>
      <c r="X1057" s="27"/>
      <c r="Y1057" s="27"/>
      <c r="Z1057" s="27"/>
      <c r="AA1057" s="27"/>
      <c r="AF1057" s="27"/>
      <c r="AG1057" s="27"/>
      <c r="AH1057" s="27"/>
      <c r="AI1057" s="27"/>
      <c r="AJ1057" s="27"/>
      <c r="AK1057" s="27"/>
      <c r="AL1057" s="27"/>
      <c r="AM1057" s="27"/>
      <c r="AN1057" s="27"/>
      <c r="AO1057" s="27"/>
      <c r="AP1057" s="27"/>
      <c r="AQ1057" s="27"/>
      <c r="AR1057" s="27"/>
      <c r="AS1057" s="27"/>
      <c r="AT1057" s="27"/>
      <c r="AU1057" s="27"/>
    </row>
    <row r="1058" spans="1:47" ht="15.75" customHeight="1">
      <c r="A1058" s="45">
        <v>44847</v>
      </c>
      <c r="B1058" s="51" t="s">
        <v>1898</v>
      </c>
      <c r="C1058" s="46" t="s">
        <v>48</v>
      </c>
      <c r="D1058" s="33" t="s">
        <v>1037</v>
      </c>
      <c r="E1058" s="98">
        <v>122000</v>
      </c>
      <c r="F1058" s="33" t="s">
        <v>1899</v>
      </c>
      <c r="G1058" s="44" t="s">
        <v>835</v>
      </c>
      <c r="H1058" s="44" t="s">
        <v>1299</v>
      </c>
      <c r="I1058" s="44" t="s">
        <v>870</v>
      </c>
      <c r="J1058" s="44">
        <v>44698</v>
      </c>
      <c r="K1058" s="44" t="s">
        <v>1030</v>
      </c>
      <c r="L1058" s="27"/>
      <c r="M1058" s="27"/>
      <c r="N1058" s="27"/>
      <c r="O1058" s="27"/>
      <c r="P1058" s="27"/>
      <c r="Q1058" s="27"/>
      <c r="R1058" s="27"/>
      <c r="S1058" s="27"/>
      <c r="T1058" s="27"/>
      <c r="U1058" s="27"/>
      <c r="V1058" s="27"/>
      <c r="W1058" s="27"/>
      <c r="X1058" s="27"/>
      <c r="Y1058" s="27"/>
      <c r="Z1058" s="27"/>
      <c r="AA1058" s="27"/>
      <c r="AF1058" s="27"/>
      <c r="AG1058" s="27"/>
      <c r="AH1058" s="27"/>
      <c r="AI1058" s="27"/>
      <c r="AJ1058" s="27"/>
      <c r="AK1058" s="27"/>
      <c r="AL1058" s="27"/>
      <c r="AM1058" s="27"/>
      <c r="AN1058" s="27"/>
      <c r="AO1058" s="27"/>
      <c r="AP1058" s="27"/>
      <c r="AQ1058" s="27"/>
      <c r="AR1058" s="27"/>
      <c r="AS1058" s="27"/>
      <c r="AT1058" s="27"/>
      <c r="AU1058" s="27"/>
    </row>
    <row r="1059" spans="1:47" ht="15.75" customHeight="1">
      <c r="A1059" s="45">
        <v>44848</v>
      </c>
      <c r="B1059" s="51" t="s">
        <v>1898</v>
      </c>
      <c r="C1059" s="46" t="s">
        <v>48</v>
      </c>
      <c r="D1059" s="33" t="s">
        <v>1037</v>
      </c>
      <c r="E1059" s="98">
        <v>13000</v>
      </c>
      <c r="F1059" s="33" t="s">
        <v>1899</v>
      </c>
      <c r="G1059" s="44" t="s">
        <v>835</v>
      </c>
      <c r="H1059" s="44" t="s">
        <v>1299</v>
      </c>
      <c r="I1059" s="44" t="s">
        <v>870</v>
      </c>
      <c r="J1059" s="44">
        <v>44698</v>
      </c>
      <c r="K1059" s="44" t="s">
        <v>1030</v>
      </c>
      <c r="L1059" s="27"/>
      <c r="M1059" s="27"/>
      <c r="N1059" s="27"/>
      <c r="O1059" s="27"/>
      <c r="P1059" s="27"/>
      <c r="Q1059" s="27"/>
      <c r="R1059" s="27"/>
      <c r="S1059" s="27"/>
      <c r="T1059" s="27"/>
      <c r="U1059" s="27"/>
      <c r="V1059" s="27"/>
      <c r="W1059" s="27"/>
      <c r="X1059" s="27"/>
      <c r="Y1059" s="27"/>
      <c r="Z1059" s="27"/>
      <c r="AA1059" s="27"/>
      <c r="AF1059" s="27"/>
      <c r="AG1059" s="27"/>
      <c r="AH1059" s="27"/>
      <c r="AI1059" s="27"/>
      <c r="AJ1059" s="27"/>
      <c r="AK1059" s="27"/>
      <c r="AL1059" s="27"/>
      <c r="AM1059" s="27"/>
      <c r="AN1059" s="27"/>
      <c r="AO1059" s="27"/>
      <c r="AP1059" s="27"/>
      <c r="AQ1059" s="27"/>
      <c r="AR1059" s="27"/>
      <c r="AS1059" s="27"/>
      <c r="AT1059" s="27"/>
      <c r="AU1059" s="27"/>
    </row>
    <row r="1060" spans="1:47" ht="15.75" customHeight="1">
      <c r="A1060" s="45">
        <v>44848</v>
      </c>
      <c r="B1060" s="51" t="s">
        <v>1640</v>
      </c>
      <c r="C1060" s="46" t="s">
        <v>48</v>
      </c>
      <c r="D1060" s="33" t="s">
        <v>1037</v>
      </c>
      <c r="E1060" s="98">
        <v>25000</v>
      </c>
      <c r="F1060" s="33" t="s">
        <v>1641</v>
      </c>
      <c r="G1060" s="44" t="s">
        <v>835</v>
      </c>
      <c r="H1060" s="44" t="s">
        <v>86</v>
      </c>
      <c r="I1060" s="44" t="s">
        <v>876</v>
      </c>
      <c r="J1060" s="44">
        <v>44061</v>
      </c>
      <c r="K1060" s="44" t="s">
        <v>1041</v>
      </c>
      <c r="L1060" s="27"/>
      <c r="M1060" s="27"/>
      <c r="N1060" s="27"/>
      <c r="O1060" s="27"/>
      <c r="P1060" s="27"/>
      <c r="Q1060" s="27"/>
      <c r="R1060" s="27"/>
      <c r="S1060" s="27"/>
      <c r="T1060" s="27"/>
      <c r="U1060" s="27"/>
      <c r="V1060" s="27"/>
      <c r="W1060" s="27"/>
      <c r="X1060" s="27"/>
      <c r="Y1060" s="27"/>
      <c r="Z1060" s="27"/>
      <c r="AA1060" s="27"/>
      <c r="AF1060" s="27"/>
      <c r="AG1060" s="27"/>
      <c r="AH1060" s="27"/>
      <c r="AI1060" s="27"/>
      <c r="AJ1060" s="27"/>
      <c r="AK1060" s="27"/>
      <c r="AL1060" s="27"/>
      <c r="AM1060" s="27"/>
      <c r="AN1060" s="27"/>
      <c r="AO1060" s="27"/>
      <c r="AP1060" s="27"/>
      <c r="AQ1060" s="27"/>
      <c r="AR1060" s="27"/>
      <c r="AS1060" s="27"/>
      <c r="AT1060" s="27"/>
      <c r="AU1060" s="27"/>
    </row>
    <row r="1061" spans="1:47" ht="15.75" customHeight="1">
      <c r="A1061" s="44">
        <v>44851</v>
      </c>
      <c r="B1061" s="57" t="s">
        <v>1731</v>
      </c>
      <c r="C1061" s="10" t="s">
        <v>48</v>
      </c>
      <c r="D1061" s="33" t="s">
        <v>1037</v>
      </c>
      <c r="E1061" s="90">
        <v>50000</v>
      </c>
      <c r="F1061" s="10" t="s">
        <v>1732</v>
      </c>
      <c r="G1061" s="33" t="s">
        <v>835</v>
      </c>
      <c r="H1061" s="33" t="s">
        <v>1299</v>
      </c>
      <c r="I1061" s="33" t="s">
        <v>1002</v>
      </c>
      <c r="J1061" s="44">
        <v>44614</v>
      </c>
      <c r="K1061" s="35" t="s">
        <v>1041</v>
      </c>
      <c r="L1061" s="27"/>
      <c r="M1061" s="27"/>
      <c r="N1061" s="27"/>
      <c r="O1061" s="27"/>
      <c r="P1061" s="27"/>
      <c r="Q1061" s="27"/>
      <c r="R1061" s="27"/>
      <c r="S1061" s="27"/>
      <c r="T1061" s="27"/>
      <c r="U1061" s="27"/>
      <c r="V1061" s="27"/>
      <c r="W1061" s="27"/>
      <c r="X1061" s="27"/>
      <c r="Y1061" s="27"/>
      <c r="Z1061" s="27"/>
      <c r="AA1061" s="27"/>
      <c r="AF1061" s="27"/>
      <c r="AG1061" s="27"/>
      <c r="AH1061" s="27"/>
      <c r="AI1061" s="27"/>
      <c r="AJ1061" s="27"/>
      <c r="AK1061" s="27"/>
      <c r="AL1061" s="27"/>
      <c r="AM1061" s="27"/>
      <c r="AN1061" s="27"/>
      <c r="AO1061" s="27"/>
      <c r="AP1061" s="27"/>
      <c r="AQ1061" s="27"/>
      <c r="AR1061" s="27"/>
      <c r="AS1061" s="27"/>
      <c r="AT1061" s="27"/>
      <c r="AU1061" s="27"/>
    </row>
    <row r="1062" spans="1:47" ht="15.75" customHeight="1">
      <c r="A1062" s="45">
        <v>44852</v>
      </c>
      <c r="B1062" s="38" t="s">
        <v>1671</v>
      </c>
      <c r="C1062" s="10" t="s">
        <v>48</v>
      </c>
      <c r="D1062" s="46" t="s">
        <v>1037</v>
      </c>
      <c r="E1062" s="47">
        <v>18000</v>
      </c>
      <c r="F1062" s="46" t="s">
        <v>1672</v>
      </c>
      <c r="G1062" s="46" t="s">
        <v>835</v>
      </c>
      <c r="H1062" s="46" t="s">
        <v>1299</v>
      </c>
      <c r="I1062" s="46" t="s">
        <v>1002</v>
      </c>
      <c r="J1062" s="45">
        <v>44609</v>
      </c>
      <c r="K1062" s="10" t="s">
        <v>1054</v>
      </c>
      <c r="L1062" s="27"/>
      <c r="M1062" s="27"/>
      <c r="N1062" s="27"/>
      <c r="O1062" s="27"/>
      <c r="P1062" s="27"/>
      <c r="Q1062" s="27"/>
      <c r="R1062" s="27"/>
      <c r="S1062" s="27"/>
      <c r="T1062" s="27"/>
      <c r="U1062" s="27"/>
      <c r="V1062" s="27"/>
      <c r="W1062" s="27"/>
      <c r="X1062" s="27"/>
      <c r="Y1062" s="27"/>
      <c r="Z1062" s="27"/>
      <c r="AA1062" s="27"/>
      <c r="AF1062" s="27"/>
      <c r="AG1062" s="27"/>
      <c r="AH1062" s="27"/>
      <c r="AI1062" s="27"/>
      <c r="AJ1062" s="27"/>
      <c r="AK1062" s="27"/>
      <c r="AL1062" s="27"/>
      <c r="AM1062" s="27"/>
      <c r="AN1062" s="27"/>
      <c r="AO1062" s="27"/>
      <c r="AP1062" s="27"/>
      <c r="AQ1062" s="27"/>
      <c r="AR1062" s="27"/>
      <c r="AS1062" s="27"/>
      <c r="AT1062" s="27"/>
      <c r="AU1062" s="27"/>
    </row>
    <row r="1063" spans="1:47" ht="15.75" customHeight="1">
      <c r="A1063" s="45">
        <v>44853</v>
      </c>
      <c r="B1063" s="38" t="s">
        <v>1935</v>
      </c>
      <c r="C1063" s="10" t="s">
        <v>48</v>
      </c>
      <c r="D1063" s="46" t="s">
        <v>1037</v>
      </c>
      <c r="E1063" s="47">
        <v>50000</v>
      </c>
      <c r="F1063" s="46" t="s">
        <v>1936</v>
      </c>
      <c r="G1063" s="46" t="s">
        <v>835</v>
      </c>
      <c r="H1063" s="46" t="s">
        <v>86</v>
      </c>
      <c r="I1063" s="46" t="s">
        <v>872</v>
      </c>
      <c r="J1063" s="45">
        <v>44831</v>
      </c>
      <c r="K1063" s="44" t="s">
        <v>1122</v>
      </c>
      <c r="L1063" s="27"/>
      <c r="M1063" s="27"/>
      <c r="N1063" s="27"/>
      <c r="O1063" s="27"/>
      <c r="P1063" s="27"/>
      <c r="Q1063" s="27"/>
      <c r="R1063" s="27"/>
      <c r="S1063" s="27"/>
      <c r="T1063" s="27"/>
      <c r="U1063" s="27"/>
      <c r="V1063" s="27"/>
      <c r="W1063" s="27"/>
      <c r="X1063" s="27"/>
      <c r="Y1063" s="27"/>
      <c r="Z1063" s="27"/>
      <c r="AA1063" s="27"/>
      <c r="AF1063" s="27"/>
      <c r="AG1063" s="27"/>
      <c r="AH1063" s="27"/>
      <c r="AI1063" s="27"/>
      <c r="AJ1063" s="27"/>
      <c r="AK1063" s="27"/>
      <c r="AL1063" s="27"/>
      <c r="AM1063" s="27"/>
      <c r="AN1063" s="27"/>
      <c r="AO1063" s="27"/>
      <c r="AP1063" s="27"/>
      <c r="AQ1063" s="27"/>
      <c r="AR1063" s="27"/>
      <c r="AS1063" s="27"/>
      <c r="AT1063" s="27"/>
      <c r="AU1063" s="27"/>
    </row>
    <row r="1064" spans="1:47" ht="15.75" customHeight="1">
      <c r="A1064" s="44">
        <v>44855</v>
      </c>
      <c r="B1064" s="57" t="s">
        <v>1937</v>
      </c>
      <c r="C1064" s="33" t="s">
        <v>48</v>
      </c>
      <c r="D1064" s="33" t="s">
        <v>1037</v>
      </c>
      <c r="E1064" s="47">
        <v>10000</v>
      </c>
      <c r="F1064" s="46" t="s">
        <v>1938</v>
      </c>
      <c r="G1064" s="33" t="s">
        <v>835</v>
      </c>
      <c r="H1064" s="33" t="s">
        <v>1299</v>
      </c>
      <c r="I1064" s="33" t="s">
        <v>1888</v>
      </c>
      <c r="J1064" s="44">
        <v>44733</v>
      </c>
      <c r="K1064" s="33" t="s">
        <v>1054</v>
      </c>
      <c r="L1064" s="27"/>
      <c r="M1064" s="27"/>
      <c r="N1064" s="27"/>
      <c r="O1064" s="27"/>
      <c r="P1064" s="27"/>
      <c r="Q1064" s="27"/>
      <c r="R1064" s="27"/>
      <c r="S1064" s="27"/>
      <c r="T1064" s="27"/>
      <c r="U1064" s="27"/>
      <c r="V1064" s="27"/>
      <c r="W1064" s="27"/>
      <c r="X1064" s="27"/>
      <c r="Y1064" s="27"/>
      <c r="Z1064" s="27"/>
      <c r="AA1064" s="27"/>
      <c r="AF1064" s="27"/>
      <c r="AG1064" s="27"/>
      <c r="AH1064" s="27"/>
      <c r="AI1064" s="27"/>
      <c r="AJ1064" s="27"/>
      <c r="AK1064" s="27"/>
      <c r="AL1064" s="27"/>
      <c r="AM1064" s="27"/>
      <c r="AN1064" s="27"/>
      <c r="AO1064" s="27"/>
      <c r="AP1064" s="27"/>
      <c r="AQ1064" s="27"/>
      <c r="AR1064" s="27"/>
      <c r="AS1064" s="27"/>
      <c r="AT1064" s="27"/>
      <c r="AU1064" s="27"/>
    </row>
    <row r="1065" spans="1:47" ht="15.75" customHeight="1">
      <c r="A1065" s="45">
        <v>44860</v>
      </c>
      <c r="B1065" s="38" t="s">
        <v>1671</v>
      </c>
      <c r="C1065" s="10" t="s">
        <v>48</v>
      </c>
      <c r="D1065" s="46" t="s">
        <v>1037</v>
      </c>
      <c r="E1065" s="47">
        <v>20000</v>
      </c>
      <c r="F1065" s="46" t="s">
        <v>1672</v>
      </c>
      <c r="G1065" s="46" t="s">
        <v>835</v>
      </c>
      <c r="H1065" s="46" t="s">
        <v>1299</v>
      </c>
      <c r="I1065" s="46" t="s">
        <v>1002</v>
      </c>
      <c r="J1065" s="45">
        <v>44609</v>
      </c>
      <c r="K1065" s="10" t="s">
        <v>1054</v>
      </c>
      <c r="L1065" s="27"/>
      <c r="M1065" s="27"/>
      <c r="N1065" s="27"/>
      <c r="O1065" s="27"/>
      <c r="P1065" s="27"/>
      <c r="Q1065" s="27"/>
      <c r="R1065" s="27"/>
      <c r="S1065" s="27"/>
      <c r="T1065" s="27"/>
      <c r="U1065" s="27"/>
      <c r="V1065" s="27"/>
      <c r="W1065" s="27"/>
      <c r="X1065" s="27"/>
      <c r="Y1065" s="27"/>
      <c r="Z1065" s="27"/>
      <c r="AA1065" s="27"/>
      <c r="AF1065" s="27"/>
      <c r="AG1065" s="27"/>
      <c r="AH1065" s="27"/>
      <c r="AI1065" s="27"/>
      <c r="AJ1065" s="27"/>
      <c r="AK1065" s="27"/>
      <c r="AL1065" s="27"/>
      <c r="AM1065" s="27"/>
      <c r="AN1065" s="27"/>
      <c r="AO1065" s="27"/>
      <c r="AP1065" s="27"/>
      <c r="AQ1065" s="27"/>
      <c r="AR1065" s="27"/>
      <c r="AS1065" s="27"/>
      <c r="AT1065" s="27"/>
      <c r="AU1065" s="27"/>
    </row>
    <row r="1066" spans="1:47" ht="15.75" customHeight="1">
      <c r="A1066" s="44">
        <v>44861</v>
      </c>
      <c r="B1066" s="10">
        <v>5681841</v>
      </c>
      <c r="C1066" s="10" t="s">
        <v>48</v>
      </c>
      <c r="D1066" s="33" t="s">
        <v>1037</v>
      </c>
      <c r="E1066" s="90">
        <v>50000</v>
      </c>
      <c r="F1066" s="33" t="s">
        <v>1786</v>
      </c>
      <c r="G1066" s="33" t="s">
        <v>835</v>
      </c>
      <c r="H1066" s="33" t="s">
        <v>1299</v>
      </c>
      <c r="I1066" s="33" t="s">
        <v>963</v>
      </c>
      <c r="J1066" s="44">
        <v>44469</v>
      </c>
      <c r="K1066" s="35" t="s">
        <v>1054</v>
      </c>
      <c r="L1066" s="27"/>
      <c r="M1066" s="27"/>
      <c r="N1066" s="27"/>
      <c r="O1066" s="27"/>
      <c r="P1066" s="27"/>
      <c r="Q1066" s="27"/>
      <c r="R1066" s="27"/>
      <c r="S1066" s="27"/>
      <c r="T1066" s="27"/>
      <c r="U1066" s="27"/>
      <c r="V1066" s="27"/>
      <c r="W1066" s="27"/>
      <c r="X1066" s="27"/>
      <c r="Y1066" s="27"/>
      <c r="Z1066" s="27"/>
      <c r="AA1066" s="27"/>
      <c r="AF1066" s="27"/>
      <c r="AG1066" s="27"/>
      <c r="AH1066" s="27"/>
      <c r="AI1066" s="27"/>
      <c r="AJ1066" s="27"/>
      <c r="AK1066" s="27"/>
      <c r="AL1066" s="27"/>
      <c r="AM1066" s="27"/>
      <c r="AN1066" s="27"/>
      <c r="AO1066" s="27"/>
      <c r="AP1066" s="27"/>
      <c r="AQ1066" s="27"/>
      <c r="AR1066" s="27"/>
      <c r="AS1066" s="27"/>
      <c r="AT1066" s="27"/>
      <c r="AU1066" s="27"/>
    </row>
    <row r="1067" spans="1:47" ht="15.75" customHeight="1">
      <c r="A1067" s="44">
        <v>44865</v>
      </c>
      <c r="B1067" s="57" t="s">
        <v>1939</v>
      </c>
      <c r="C1067" s="33" t="s">
        <v>48</v>
      </c>
      <c r="D1067" s="33" t="s">
        <v>1037</v>
      </c>
      <c r="E1067" s="90">
        <v>10000</v>
      </c>
      <c r="F1067" s="33" t="s">
        <v>1940</v>
      </c>
      <c r="G1067" s="33" t="s">
        <v>835</v>
      </c>
      <c r="H1067" s="33" t="s">
        <v>1273</v>
      </c>
      <c r="I1067" s="33" t="s">
        <v>927</v>
      </c>
      <c r="J1067" s="44">
        <v>44260</v>
      </c>
      <c r="K1067" s="33" t="s">
        <v>1030</v>
      </c>
      <c r="L1067" s="27"/>
      <c r="M1067" s="27"/>
      <c r="N1067" s="27"/>
      <c r="O1067" s="27"/>
      <c r="P1067" s="27"/>
      <c r="Q1067" s="27"/>
      <c r="R1067" s="27"/>
      <c r="S1067" s="27"/>
      <c r="T1067" s="27"/>
      <c r="U1067" s="27"/>
      <c r="V1067" s="27"/>
      <c r="W1067" s="27"/>
      <c r="X1067" s="27"/>
      <c r="Y1067" s="27"/>
      <c r="Z1067" s="27"/>
      <c r="AA1067" s="27"/>
      <c r="AF1067" s="27"/>
      <c r="AG1067" s="27"/>
      <c r="AH1067" s="27"/>
      <c r="AI1067" s="27"/>
      <c r="AJ1067" s="27"/>
      <c r="AK1067" s="27"/>
      <c r="AL1067" s="27"/>
      <c r="AM1067" s="27"/>
      <c r="AN1067" s="27"/>
      <c r="AO1067" s="27"/>
      <c r="AP1067" s="27"/>
      <c r="AQ1067" s="27"/>
      <c r="AR1067" s="27"/>
      <c r="AS1067" s="27"/>
      <c r="AT1067" s="27"/>
      <c r="AU1067" s="27"/>
    </row>
    <row r="1068" spans="1:47" ht="15.75" customHeight="1">
      <c r="A1068" s="44">
        <v>44865</v>
      </c>
      <c r="B1068" s="57" t="s">
        <v>1941</v>
      </c>
      <c r="C1068" s="33" t="s">
        <v>48</v>
      </c>
      <c r="D1068" s="33" t="s">
        <v>1037</v>
      </c>
      <c r="E1068" s="90">
        <v>4000</v>
      </c>
      <c r="F1068" s="33" t="s">
        <v>1942</v>
      </c>
      <c r="G1068" s="33" t="s">
        <v>835</v>
      </c>
      <c r="H1068" s="33" t="s">
        <v>86</v>
      </c>
      <c r="I1068" s="33" t="s">
        <v>963</v>
      </c>
      <c r="J1068" s="44">
        <v>44749</v>
      </c>
      <c r="K1068" s="33" t="s">
        <v>1179</v>
      </c>
      <c r="L1068" s="27"/>
      <c r="M1068" s="27"/>
      <c r="N1068" s="27"/>
      <c r="O1068" s="27"/>
      <c r="P1068" s="27"/>
      <c r="Q1068" s="27"/>
      <c r="R1068" s="27"/>
      <c r="S1068" s="27"/>
      <c r="T1068" s="27"/>
      <c r="U1068" s="27"/>
      <c r="V1068" s="27"/>
      <c r="W1068" s="27"/>
      <c r="X1068" s="27"/>
      <c r="Y1068" s="27"/>
      <c r="Z1068" s="27"/>
      <c r="AA1068" s="27"/>
      <c r="AF1068" s="27"/>
      <c r="AG1068" s="27"/>
      <c r="AH1068" s="27"/>
      <c r="AI1068" s="27"/>
      <c r="AJ1068" s="27"/>
      <c r="AK1068" s="27"/>
      <c r="AL1068" s="27"/>
      <c r="AM1068" s="27"/>
      <c r="AN1068" s="27"/>
      <c r="AO1068" s="27"/>
      <c r="AP1068" s="27"/>
      <c r="AQ1068" s="27"/>
      <c r="AR1068" s="27"/>
      <c r="AS1068" s="27"/>
      <c r="AT1068" s="27"/>
      <c r="AU1068" s="27"/>
    </row>
    <row r="1069" spans="1:47" ht="15.75" customHeight="1">
      <c r="A1069" s="45">
        <v>44865</v>
      </c>
      <c r="B1069" s="38" t="s">
        <v>1821</v>
      </c>
      <c r="C1069" s="10" t="s">
        <v>48</v>
      </c>
      <c r="D1069" s="46" t="s">
        <v>1037</v>
      </c>
      <c r="E1069" s="47">
        <v>30000</v>
      </c>
      <c r="F1069" s="46" t="s">
        <v>1822</v>
      </c>
      <c r="G1069" s="46" t="s">
        <v>835</v>
      </c>
      <c r="H1069" s="46" t="s">
        <v>1299</v>
      </c>
      <c r="I1069" s="46" t="s">
        <v>963</v>
      </c>
      <c r="J1069" s="45">
        <v>44568</v>
      </c>
      <c r="K1069" s="10" t="s">
        <v>1823</v>
      </c>
      <c r="L1069" s="27"/>
      <c r="M1069" s="27"/>
      <c r="N1069" s="27"/>
      <c r="O1069" s="27"/>
      <c r="P1069" s="27"/>
      <c r="Q1069" s="27"/>
      <c r="R1069" s="27"/>
      <c r="S1069" s="27"/>
      <c r="T1069" s="27"/>
      <c r="U1069" s="27"/>
      <c r="V1069" s="27"/>
      <c r="W1069" s="27"/>
      <c r="X1069" s="27"/>
      <c r="Y1069" s="27"/>
      <c r="Z1069" s="27"/>
      <c r="AA1069" s="27"/>
      <c r="AF1069" s="27"/>
      <c r="AG1069" s="27"/>
      <c r="AH1069" s="27"/>
      <c r="AI1069" s="27"/>
      <c r="AJ1069" s="27"/>
      <c r="AK1069" s="27"/>
      <c r="AL1069" s="27"/>
      <c r="AM1069" s="27"/>
      <c r="AN1069" s="27"/>
      <c r="AO1069" s="27"/>
      <c r="AP1069" s="27"/>
      <c r="AQ1069" s="27"/>
      <c r="AR1069" s="27"/>
      <c r="AS1069" s="27"/>
      <c r="AT1069" s="27"/>
      <c r="AU1069" s="27"/>
    </row>
    <row r="1070" spans="1:47" ht="15.75" customHeight="1">
      <c r="A1070" s="44">
        <v>44866</v>
      </c>
      <c r="B1070" s="46">
        <v>6986262</v>
      </c>
      <c r="C1070" s="33" t="s">
        <v>48</v>
      </c>
      <c r="D1070" s="33" t="s">
        <v>1037</v>
      </c>
      <c r="E1070" s="90">
        <v>500</v>
      </c>
      <c r="F1070" s="33" t="s">
        <v>1689</v>
      </c>
      <c r="G1070" s="33" t="s">
        <v>835</v>
      </c>
      <c r="H1070" s="33" t="s">
        <v>1299</v>
      </c>
      <c r="I1070" s="33" t="s">
        <v>906</v>
      </c>
      <c r="J1070" s="44">
        <v>44503</v>
      </c>
      <c r="K1070" s="10" t="s">
        <v>1438</v>
      </c>
      <c r="L1070" s="27"/>
      <c r="M1070" s="27"/>
      <c r="N1070" s="27"/>
      <c r="O1070" s="27"/>
      <c r="P1070" s="27"/>
      <c r="Q1070" s="27"/>
      <c r="R1070" s="27"/>
      <c r="S1070" s="27"/>
      <c r="T1070" s="27"/>
      <c r="U1070" s="27"/>
      <c r="V1070" s="27"/>
      <c r="W1070" s="27"/>
      <c r="X1070" s="27"/>
      <c r="Y1070" s="27"/>
      <c r="Z1070" s="27"/>
      <c r="AA1070" s="27"/>
      <c r="AF1070" s="27"/>
      <c r="AG1070" s="27"/>
      <c r="AH1070" s="27"/>
      <c r="AI1070" s="27"/>
      <c r="AJ1070" s="27"/>
      <c r="AK1070" s="27"/>
      <c r="AL1070" s="27"/>
      <c r="AM1070" s="27"/>
      <c r="AN1070" s="27"/>
      <c r="AO1070" s="27"/>
      <c r="AP1070" s="27"/>
      <c r="AQ1070" s="27"/>
      <c r="AR1070" s="27"/>
      <c r="AS1070" s="27"/>
      <c r="AT1070" s="27"/>
      <c r="AU1070" s="27"/>
    </row>
    <row r="1071" spans="1:47" ht="15.75" customHeight="1">
      <c r="A1071" s="44">
        <v>44866</v>
      </c>
      <c r="B1071" s="57" t="s">
        <v>1943</v>
      </c>
      <c r="C1071" s="33" t="s">
        <v>48</v>
      </c>
      <c r="D1071" s="33" t="s">
        <v>1037</v>
      </c>
      <c r="E1071" s="90">
        <v>15000</v>
      </c>
      <c r="F1071" s="33" t="s">
        <v>1944</v>
      </c>
      <c r="G1071" s="33" t="s">
        <v>904</v>
      </c>
      <c r="H1071" s="33" t="s">
        <v>86</v>
      </c>
      <c r="I1071" s="33" t="s">
        <v>858</v>
      </c>
      <c r="J1071" s="44">
        <v>44085</v>
      </c>
      <c r="K1071" s="33" t="s">
        <v>1041</v>
      </c>
      <c r="L1071" s="27"/>
      <c r="M1071" s="27"/>
      <c r="N1071" s="27"/>
      <c r="O1071" s="27"/>
      <c r="P1071" s="27"/>
      <c r="Q1071" s="27"/>
      <c r="R1071" s="27"/>
      <c r="S1071" s="27"/>
      <c r="T1071" s="27"/>
      <c r="U1071" s="27"/>
      <c r="V1071" s="27"/>
      <c r="W1071" s="27"/>
      <c r="X1071" s="27"/>
      <c r="Y1071" s="27"/>
      <c r="Z1071" s="27"/>
      <c r="AA1071" s="27"/>
      <c r="AF1071" s="27"/>
      <c r="AG1071" s="27"/>
      <c r="AH1071" s="27"/>
      <c r="AI1071" s="27"/>
      <c r="AJ1071" s="27"/>
      <c r="AK1071" s="27"/>
      <c r="AL1071" s="27"/>
      <c r="AM1071" s="27"/>
      <c r="AN1071" s="27"/>
      <c r="AO1071" s="27"/>
      <c r="AP1071" s="27"/>
      <c r="AQ1071" s="27"/>
      <c r="AR1071" s="27"/>
      <c r="AS1071" s="27"/>
      <c r="AT1071" s="27"/>
      <c r="AU1071" s="27"/>
    </row>
    <row r="1072" spans="1:47" ht="15.75" customHeight="1">
      <c r="A1072" s="44">
        <v>44868</v>
      </c>
      <c r="B1072" s="57" t="s">
        <v>1923</v>
      </c>
      <c r="C1072" s="33" t="s">
        <v>48</v>
      </c>
      <c r="D1072" s="33" t="s">
        <v>1037</v>
      </c>
      <c r="E1072" s="90">
        <v>4500</v>
      </c>
      <c r="F1072" s="33" t="s">
        <v>1924</v>
      </c>
      <c r="G1072" s="33" t="s">
        <v>835</v>
      </c>
      <c r="H1072" s="33" t="s">
        <v>86</v>
      </c>
      <c r="I1072" s="33" t="s">
        <v>1001</v>
      </c>
      <c r="J1072" s="44">
        <v>44819</v>
      </c>
      <c r="K1072" s="33" t="s">
        <v>1054</v>
      </c>
      <c r="L1072" s="27"/>
      <c r="M1072" s="27"/>
      <c r="N1072" s="27"/>
      <c r="O1072" s="27"/>
      <c r="P1072" s="27"/>
      <c r="Q1072" s="27"/>
      <c r="R1072" s="27"/>
      <c r="S1072" s="27"/>
      <c r="T1072" s="27"/>
      <c r="U1072" s="27"/>
      <c r="V1072" s="27"/>
      <c r="W1072" s="27"/>
      <c r="X1072" s="27"/>
      <c r="Y1072" s="27"/>
      <c r="Z1072" s="27"/>
      <c r="AA1072" s="27"/>
      <c r="AF1072" s="27"/>
      <c r="AG1072" s="27"/>
      <c r="AH1072" s="27"/>
      <c r="AI1072" s="27"/>
      <c r="AJ1072" s="27"/>
      <c r="AK1072" s="27"/>
      <c r="AL1072" s="27"/>
      <c r="AM1072" s="27"/>
      <c r="AN1072" s="27"/>
      <c r="AO1072" s="27"/>
      <c r="AP1072" s="27"/>
      <c r="AQ1072" s="27"/>
      <c r="AR1072" s="27"/>
      <c r="AS1072" s="27"/>
      <c r="AT1072" s="27"/>
      <c r="AU1072" s="27"/>
    </row>
    <row r="1073" spans="1:47" ht="15.75" customHeight="1">
      <c r="A1073" s="44">
        <v>44872</v>
      </c>
      <c r="B1073" s="57" t="s">
        <v>1941</v>
      </c>
      <c r="C1073" s="33" t="s">
        <v>48</v>
      </c>
      <c r="D1073" s="33" t="s">
        <v>1037</v>
      </c>
      <c r="E1073" s="90">
        <v>6500</v>
      </c>
      <c r="F1073" s="33" t="s">
        <v>1942</v>
      </c>
      <c r="G1073" s="33" t="s">
        <v>835</v>
      </c>
      <c r="H1073" s="33" t="s">
        <v>86</v>
      </c>
      <c r="I1073" s="33" t="s">
        <v>963</v>
      </c>
      <c r="J1073" s="44">
        <v>44749</v>
      </c>
      <c r="K1073" s="33" t="s">
        <v>1179</v>
      </c>
      <c r="L1073" s="27"/>
      <c r="M1073" s="27"/>
      <c r="N1073" s="27"/>
      <c r="O1073" s="27"/>
      <c r="P1073" s="27"/>
      <c r="Q1073" s="27"/>
      <c r="R1073" s="27"/>
      <c r="S1073" s="27"/>
      <c r="T1073" s="27"/>
      <c r="U1073" s="27"/>
      <c r="V1073" s="27"/>
      <c r="W1073" s="27"/>
      <c r="X1073" s="27"/>
      <c r="Y1073" s="27"/>
      <c r="Z1073" s="27"/>
      <c r="AA1073" s="27"/>
      <c r="AF1073" s="27"/>
      <c r="AG1073" s="27"/>
      <c r="AH1073" s="27"/>
      <c r="AI1073" s="27"/>
      <c r="AJ1073" s="27"/>
      <c r="AK1073" s="27"/>
      <c r="AL1073" s="27"/>
      <c r="AM1073" s="27"/>
      <c r="AN1073" s="27"/>
      <c r="AO1073" s="27"/>
      <c r="AP1073" s="27"/>
      <c r="AQ1073" s="27"/>
      <c r="AR1073" s="27"/>
      <c r="AS1073" s="27"/>
      <c r="AT1073" s="27"/>
      <c r="AU1073" s="27"/>
    </row>
    <row r="1074" spans="1:47" ht="15.75" customHeight="1">
      <c r="A1074" s="44">
        <v>44873</v>
      </c>
      <c r="B1074" s="57" t="s">
        <v>1945</v>
      </c>
      <c r="C1074" s="33" t="s">
        <v>48</v>
      </c>
      <c r="D1074" s="33" t="s">
        <v>1037</v>
      </c>
      <c r="E1074" s="90">
        <v>100000</v>
      </c>
      <c r="F1074" s="33" t="s">
        <v>1946</v>
      </c>
      <c r="G1074" s="33" t="s">
        <v>835</v>
      </c>
      <c r="H1074" s="33" t="s">
        <v>1299</v>
      </c>
      <c r="I1074" s="33" t="s">
        <v>870</v>
      </c>
      <c r="J1074" s="44">
        <v>44790</v>
      </c>
      <c r="K1074" s="33" t="s">
        <v>1054</v>
      </c>
      <c r="L1074" s="27"/>
      <c r="M1074" s="27"/>
      <c r="N1074" s="27"/>
      <c r="O1074" s="27"/>
      <c r="P1074" s="27"/>
      <c r="Q1074" s="27"/>
      <c r="R1074" s="27"/>
      <c r="S1074" s="27"/>
      <c r="T1074" s="27"/>
      <c r="U1074" s="27"/>
      <c r="V1074" s="27"/>
      <c r="W1074" s="27"/>
      <c r="X1074" s="27"/>
      <c r="Y1074" s="27"/>
      <c r="Z1074" s="27"/>
      <c r="AA1074" s="27"/>
      <c r="AF1074" s="27"/>
      <c r="AG1074" s="27"/>
      <c r="AH1074" s="27"/>
      <c r="AI1074" s="27"/>
      <c r="AJ1074" s="27"/>
      <c r="AK1074" s="27"/>
      <c r="AL1074" s="27"/>
      <c r="AM1074" s="27"/>
      <c r="AN1074" s="27"/>
      <c r="AO1074" s="27"/>
      <c r="AP1074" s="27"/>
      <c r="AQ1074" s="27"/>
      <c r="AR1074" s="27"/>
      <c r="AS1074" s="27"/>
      <c r="AT1074" s="27"/>
      <c r="AU1074" s="27"/>
    </row>
    <row r="1075" spans="1:47" ht="15.75" customHeight="1">
      <c r="A1075" s="44">
        <v>44873</v>
      </c>
      <c r="B1075" s="46" t="s">
        <v>1658</v>
      </c>
      <c r="C1075" s="33" t="s">
        <v>48</v>
      </c>
      <c r="D1075" s="33" t="s">
        <v>1037</v>
      </c>
      <c r="E1075" s="90">
        <v>30000</v>
      </c>
      <c r="F1075" s="33" t="s">
        <v>1659</v>
      </c>
      <c r="G1075" s="33" t="s">
        <v>835</v>
      </c>
      <c r="H1075" s="33" t="s">
        <v>86</v>
      </c>
      <c r="I1075" s="33" t="s">
        <v>1660</v>
      </c>
      <c r="J1075" s="44">
        <v>44594</v>
      </c>
      <c r="K1075" s="33" t="s">
        <v>1179</v>
      </c>
      <c r="L1075" s="27"/>
      <c r="M1075" s="27"/>
      <c r="N1075" s="27"/>
      <c r="O1075" s="27"/>
      <c r="P1075" s="27"/>
      <c r="Q1075" s="27"/>
      <c r="R1075" s="27"/>
      <c r="S1075" s="27"/>
      <c r="T1075" s="27"/>
      <c r="U1075" s="27"/>
      <c r="V1075" s="27"/>
      <c r="W1075" s="27"/>
      <c r="X1075" s="27"/>
      <c r="Y1075" s="27"/>
      <c r="Z1075" s="27"/>
      <c r="AA1075" s="27"/>
      <c r="AF1075" s="27"/>
      <c r="AG1075" s="27"/>
      <c r="AH1075" s="27"/>
      <c r="AI1075" s="27"/>
      <c r="AJ1075" s="27"/>
      <c r="AK1075" s="27"/>
      <c r="AL1075" s="27"/>
      <c r="AM1075" s="27"/>
      <c r="AN1075" s="27"/>
      <c r="AO1075" s="27"/>
      <c r="AP1075" s="27"/>
      <c r="AQ1075" s="27"/>
      <c r="AR1075" s="27"/>
      <c r="AS1075" s="27"/>
      <c r="AT1075" s="27"/>
      <c r="AU1075" s="27"/>
    </row>
    <row r="1076" spans="1:47" ht="15.75" customHeight="1">
      <c r="A1076" s="44">
        <v>44874</v>
      </c>
      <c r="B1076" s="57" t="s">
        <v>1937</v>
      </c>
      <c r="C1076" s="33" t="s">
        <v>48</v>
      </c>
      <c r="D1076" s="33" t="s">
        <v>1037</v>
      </c>
      <c r="E1076" s="90">
        <v>1000</v>
      </c>
      <c r="F1076" s="33" t="s">
        <v>1947</v>
      </c>
      <c r="G1076" s="33" t="s">
        <v>835</v>
      </c>
      <c r="H1076" s="33" t="s">
        <v>1299</v>
      </c>
      <c r="I1076" s="33" t="s">
        <v>1888</v>
      </c>
      <c r="J1076" s="44">
        <v>44733</v>
      </c>
      <c r="K1076" s="33" t="s">
        <v>1054</v>
      </c>
      <c r="L1076" s="27"/>
      <c r="M1076" s="27"/>
      <c r="N1076" s="27"/>
      <c r="O1076" s="27"/>
      <c r="P1076" s="27"/>
      <c r="Q1076" s="27"/>
      <c r="R1076" s="27"/>
      <c r="S1076" s="27"/>
      <c r="T1076" s="27"/>
      <c r="U1076" s="27"/>
      <c r="V1076" s="27"/>
      <c r="W1076" s="27"/>
      <c r="X1076" s="27"/>
      <c r="Y1076" s="27"/>
      <c r="Z1076" s="27"/>
      <c r="AA1076" s="27"/>
      <c r="AF1076" s="27"/>
      <c r="AG1076" s="27"/>
      <c r="AH1076" s="27"/>
      <c r="AI1076" s="27"/>
      <c r="AJ1076" s="27"/>
      <c r="AK1076" s="27"/>
      <c r="AL1076" s="27"/>
      <c r="AM1076" s="27"/>
      <c r="AN1076" s="27"/>
      <c r="AO1076" s="27"/>
      <c r="AP1076" s="27"/>
      <c r="AQ1076" s="27"/>
      <c r="AR1076" s="27"/>
      <c r="AS1076" s="27"/>
      <c r="AT1076" s="27"/>
      <c r="AU1076" s="27"/>
    </row>
    <row r="1077" spans="1:47" ht="15.75" customHeight="1">
      <c r="A1077" s="44">
        <v>44874</v>
      </c>
      <c r="B1077" s="57" t="s">
        <v>1948</v>
      </c>
      <c r="C1077" s="33" t="s">
        <v>48</v>
      </c>
      <c r="D1077" s="33" t="s">
        <v>1037</v>
      </c>
      <c r="E1077" s="90">
        <v>60000</v>
      </c>
      <c r="F1077" s="33" t="s">
        <v>1949</v>
      </c>
      <c r="G1077" s="33" t="s">
        <v>835</v>
      </c>
      <c r="H1077" s="33" t="s">
        <v>86</v>
      </c>
      <c r="I1077" s="33" t="s">
        <v>990</v>
      </c>
      <c r="J1077" s="44">
        <v>44802</v>
      </c>
      <c r="K1077" s="33" t="s">
        <v>1179</v>
      </c>
      <c r="L1077" s="27"/>
      <c r="M1077" s="27"/>
      <c r="N1077" s="27"/>
      <c r="O1077" s="27"/>
      <c r="P1077" s="27"/>
      <c r="Q1077" s="27"/>
      <c r="R1077" s="27"/>
      <c r="S1077" s="27"/>
      <c r="T1077" s="27"/>
      <c r="U1077" s="27"/>
      <c r="V1077" s="27"/>
      <c r="W1077" s="27"/>
      <c r="X1077" s="27"/>
      <c r="Y1077" s="27"/>
      <c r="Z1077" s="27"/>
      <c r="AA1077" s="27"/>
      <c r="AF1077" s="27"/>
      <c r="AG1077" s="27"/>
      <c r="AH1077" s="27"/>
      <c r="AI1077" s="27"/>
      <c r="AJ1077" s="27"/>
      <c r="AK1077" s="27"/>
      <c r="AL1077" s="27"/>
      <c r="AM1077" s="27"/>
      <c r="AN1077" s="27"/>
      <c r="AO1077" s="27"/>
      <c r="AP1077" s="27"/>
      <c r="AQ1077" s="27"/>
      <c r="AR1077" s="27"/>
      <c r="AS1077" s="27"/>
      <c r="AT1077" s="27"/>
      <c r="AU1077" s="27"/>
    </row>
    <row r="1078" spans="1:47" ht="15.75" customHeight="1">
      <c r="A1078" s="44">
        <v>44874</v>
      </c>
      <c r="B1078" s="57" t="s">
        <v>1846</v>
      </c>
      <c r="C1078" s="33" t="s">
        <v>48</v>
      </c>
      <c r="D1078" s="33" t="s">
        <v>1037</v>
      </c>
      <c r="E1078" s="90">
        <v>8000</v>
      </c>
      <c r="F1078" s="33" t="s">
        <v>1847</v>
      </c>
      <c r="G1078" s="33" t="s">
        <v>835</v>
      </c>
      <c r="H1078" s="33" t="s">
        <v>86</v>
      </c>
      <c r="I1078" s="33" t="s">
        <v>920</v>
      </c>
      <c r="J1078" s="44">
        <v>44393</v>
      </c>
      <c r="K1078" s="33" t="s">
        <v>1122</v>
      </c>
      <c r="L1078" s="27"/>
      <c r="M1078" s="27"/>
      <c r="N1078" s="27"/>
      <c r="O1078" s="27"/>
      <c r="P1078" s="27"/>
      <c r="Q1078" s="27"/>
      <c r="R1078" s="27"/>
      <c r="S1078" s="27"/>
      <c r="T1078" s="27"/>
      <c r="U1078" s="27"/>
      <c r="V1078" s="27"/>
      <c r="W1078" s="27"/>
      <c r="X1078" s="27"/>
      <c r="Y1078" s="27"/>
      <c r="Z1078" s="27"/>
      <c r="AA1078" s="27"/>
      <c r="AF1078" s="27"/>
      <c r="AG1078" s="27"/>
      <c r="AH1078" s="27"/>
      <c r="AI1078" s="27"/>
      <c r="AJ1078" s="27"/>
      <c r="AK1078" s="27"/>
      <c r="AL1078" s="27"/>
      <c r="AM1078" s="27"/>
      <c r="AN1078" s="27"/>
      <c r="AO1078" s="27"/>
      <c r="AP1078" s="27"/>
      <c r="AQ1078" s="27"/>
      <c r="AR1078" s="27"/>
      <c r="AS1078" s="27"/>
      <c r="AT1078" s="27"/>
      <c r="AU1078" s="27"/>
    </row>
    <row r="1079" spans="1:47" ht="15.75" customHeight="1">
      <c r="A1079" s="44">
        <v>44875</v>
      </c>
      <c r="B1079" s="57" t="s">
        <v>1950</v>
      </c>
      <c r="C1079" s="33" t="s">
        <v>48</v>
      </c>
      <c r="D1079" s="33" t="s">
        <v>1037</v>
      </c>
      <c r="E1079" s="90">
        <v>6000</v>
      </c>
      <c r="F1079" s="33" t="s">
        <v>1951</v>
      </c>
      <c r="G1079" s="33" t="s">
        <v>835</v>
      </c>
      <c r="H1079" s="33" t="s">
        <v>1299</v>
      </c>
      <c r="I1079" s="33" t="s">
        <v>963</v>
      </c>
      <c r="J1079" s="44">
        <v>44767</v>
      </c>
      <c r="K1079" s="33" t="s">
        <v>1179</v>
      </c>
      <c r="L1079" s="27"/>
      <c r="M1079" s="27"/>
      <c r="N1079" s="27"/>
      <c r="O1079" s="27"/>
      <c r="P1079" s="27"/>
      <c r="Q1079" s="27"/>
      <c r="R1079" s="27"/>
      <c r="S1079" s="27"/>
      <c r="T1079" s="27"/>
      <c r="U1079" s="27"/>
      <c r="V1079" s="27"/>
      <c r="W1079" s="27"/>
      <c r="X1079" s="27"/>
      <c r="Y1079" s="27"/>
      <c r="Z1079" s="27"/>
      <c r="AA1079" s="27"/>
      <c r="AF1079" s="27"/>
      <c r="AG1079" s="27"/>
      <c r="AH1079" s="27"/>
      <c r="AI1079" s="27"/>
      <c r="AJ1079" s="27"/>
      <c r="AK1079" s="27"/>
      <c r="AL1079" s="27"/>
      <c r="AM1079" s="27"/>
      <c r="AN1079" s="27"/>
      <c r="AO1079" s="27"/>
      <c r="AP1079" s="27"/>
      <c r="AQ1079" s="27"/>
      <c r="AR1079" s="27"/>
      <c r="AS1079" s="27"/>
      <c r="AT1079" s="27"/>
      <c r="AU1079" s="27"/>
    </row>
    <row r="1080" spans="1:47" ht="15.75" customHeight="1">
      <c r="A1080" s="44">
        <v>44879</v>
      </c>
      <c r="B1080" s="51" t="s">
        <v>1898</v>
      </c>
      <c r="C1080" s="46" t="s">
        <v>48</v>
      </c>
      <c r="D1080" s="33" t="s">
        <v>1037</v>
      </c>
      <c r="E1080" s="98">
        <v>85000</v>
      </c>
      <c r="F1080" s="33" t="s">
        <v>1899</v>
      </c>
      <c r="G1080" s="44" t="s">
        <v>835</v>
      </c>
      <c r="H1080" s="44" t="s">
        <v>1299</v>
      </c>
      <c r="I1080" s="44" t="s">
        <v>870</v>
      </c>
      <c r="J1080" s="44">
        <v>44698</v>
      </c>
      <c r="K1080" s="44" t="s">
        <v>1030</v>
      </c>
      <c r="L1080" s="27"/>
      <c r="M1080" s="27"/>
      <c r="N1080" s="27"/>
      <c r="O1080" s="27"/>
      <c r="P1080" s="27"/>
      <c r="Q1080" s="27"/>
      <c r="R1080" s="27"/>
      <c r="S1080" s="27"/>
      <c r="T1080" s="27"/>
      <c r="U1080" s="27"/>
      <c r="V1080" s="27"/>
      <c r="W1080" s="27"/>
      <c r="X1080" s="27"/>
      <c r="Y1080" s="27"/>
      <c r="Z1080" s="27"/>
      <c r="AA1080" s="27"/>
      <c r="AF1080" s="27"/>
      <c r="AG1080" s="27"/>
      <c r="AH1080" s="27"/>
      <c r="AI1080" s="27"/>
      <c r="AJ1080" s="27"/>
      <c r="AK1080" s="27"/>
      <c r="AL1080" s="27"/>
      <c r="AM1080" s="27"/>
      <c r="AN1080" s="27"/>
      <c r="AO1080" s="27"/>
      <c r="AP1080" s="27"/>
      <c r="AQ1080" s="27"/>
      <c r="AR1080" s="27"/>
      <c r="AS1080" s="27"/>
      <c r="AT1080" s="27"/>
      <c r="AU1080" s="27"/>
    </row>
    <row r="1081" spans="1:47" ht="15.75" customHeight="1">
      <c r="A1081" s="44">
        <v>44879</v>
      </c>
      <c r="B1081" s="10">
        <v>5681841</v>
      </c>
      <c r="C1081" s="10" t="s">
        <v>48</v>
      </c>
      <c r="D1081" s="33" t="s">
        <v>1037</v>
      </c>
      <c r="E1081" s="90">
        <v>100000</v>
      </c>
      <c r="F1081" s="33" t="s">
        <v>1786</v>
      </c>
      <c r="G1081" s="33" t="s">
        <v>835</v>
      </c>
      <c r="H1081" s="33" t="s">
        <v>1299</v>
      </c>
      <c r="I1081" s="33" t="s">
        <v>963</v>
      </c>
      <c r="J1081" s="44">
        <v>44469</v>
      </c>
      <c r="K1081" s="35" t="s">
        <v>1054</v>
      </c>
      <c r="L1081" s="27"/>
      <c r="M1081" s="27"/>
      <c r="N1081" s="27"/>
      <c r="O1081" s="27"/>
      <c r="P1081" s="27"/>
      <c r="Q1081" s="27"/>
      <c r="R1081" s="27"/>
      <c r="S1081" s="27"/>
      <c r="T1081" s="27"/>
      <c r="U1081" s="27"/>
      <c r="V1081" s="27"/>
      <c r="W1081" s="27"/>
      <c r="X1081" s="27"/>
      <c r="Y1081" s="27"/>
      <c r="Z1081" s="27"/>
      <c r="AA1081" s="27"/>
      <c r="AF1081" s="27"/>
      <c r="AG1081" s="27"/>
      <c r="AH1081" s="27"/>
      <c r="AI1081" s="27"/>
      <c r="AJ1081" s="27"/>
      <c r="AK1081" s="27"/>
      <c r="AL1081" s="27"/>
      <c r="AM1081" s="27"/>
      <c r="AN1081" s="27"/>
      <c r="AO1081" s="27"/>
      <c r="AP1081" s="27"/>
      <c r="AQ1081" s="27"/>
      <c r="AR1081" s="27"/>
      <c r="AS1081" s="27"/>
      <c r="AT1081" s="27"/>
      <c r="AU1081" s="27"/>
    </row>
    <row r="1082" spans="1:47" ht="15.75" customHeight="1">
      <c r="A1082" s="44">
        <v>44881</v>
      </c>
      <c r="B1082" s="57" t="s">
        <v>1952</v>
      </c>
      <c r="C1082" s="33" t="s">
        <v>48</v>
      </c>
      <c r="D1082" s="33" t="s">
        <v>1037</v>
      </c>
      <c r="E1082" s="90">
        <v>5000</v>
      </c>
      <c r="F1082" s="33" t="s">
        <v>1953</v>
      </c>
      <c r="G1082" s="33" t="s">
        <v>904</v>
      </c>
      <c r="H1082" s="33" t="s">
        <v>86</v>
      </c>
      <c r="I1082" s="33" t="s">
        <v>853</v>
      </c>
      <c r="J1082" s="44">
        <v>44231</v>
      </c>
      <c r="K1082" s="33" t="s">
        <v>1030</v>
      </c>
      <c r="L1082" s="27"/>
      <c r="M1082" s="27"/>
      <c r="N1082" s="27"/>
      <c r="O1082" s="27"/>
      <c r="P1082" s="27"/>
      <c r="Q1082" s="27"/>
      <c r="R1082" s="27"/>
      <c r="S1082" s="27"/>
      <c r="T1082" s="27"/>
      <c r="U1082" s="27"/>
      <c r="V1082" s="27"/>
      <c r="W1082" s="27"/>
      <c r="X1082" s="27"/>
      <c r="Y1082" s="27"/>
      <c r="Z1082" s="27"/>
      <c r="AA1082" s="27"/>
      <c r="AF1082" s="27"/>
      <c r="AG1082" s="27"/>
      <c r="AH1082" s="27"/>
      <c r="AI1082" s="27"/>
      <c r="AJ1082" s="27"/>
      <c r="AK1082" s="27"/>
      <c r="AL1082" s="27"/>
      <c r="AM1082" s="27"/>
      <c r="AN1082" s="27"/>
      <c r="AO1082" s="27"/>
      <c r="AP1082" s="27"/>
      <c r="AQ1082" s="27"/>
      <c r="AR1082" s="27"/>
      <c r="AS1082" s="27"/>
      <c r="AT1082" s="27"/>
      <c r="AU1082" s="27"/>
    </row>
    <row r="1083" spans="1:47" ht="15.75" customHeight="1">
      <c r="A1083" s="44">
        <v>44881</v>
      </c>
      <c r="B1083" s="53" t="s">
        <v>1640</v>
      </c>
      <c r="C1083" s="46" t="s">
        <v>48</v>
      </c>
      <c r="D1083" s="33" t="s">
        <v>1037</v>
      </c>
      <c r="E1083" s="98">
        <v>20000</v>
      </c>
      <c r="F1083" s="33" t="s">
        <v>1641</v>
      </c>
      <c r="G1083" s="33" t="s">
        <v>835</v>
      </c>
      <c r="H1083" s="33" t="s">
        <v>86</v>
      </c>
      <c r="I1083" s="33" t="s">
        <v>876</v>
      </c>
      <c r="J1083" s="44">
        <v>44061</v>
      </c>
      <c r="K1083" s="33" t="s">
        <v>1041</v>
      </c>
      <c r="L1083" s="27"/>
      <c r="M1083" s="27"/>
      <c r="N1083" s="27"/>
      <c r="O1083" s="27"/>
      <c r="P1083" s="27"/>
      <c r="Q1083" s="27"/>
      <c r="R1083" s="27"/>
      <c r="S1083" s="27"/>
      <c r="T1083" s="27"/>
      <c r="U1083" s="27"/>
      <c r="V1083" s="27"/>
      <c r="W1083" s="27"/>
      <c r="X1083" s="27"/>
      <c r="Y1083" s="27"/>
      <c r="Z1083" s="27"/>
      <c r="AA1083" s="27"/>
      <c r="AF1083" s="27"/>
      <c r="AG1083" s="27"/>
      <c r="AH1083" s="27"/>
      <c r="AI1083" s="27"/>
      <c r="AJ1083" s="27"/>
      <c r="AK1083" s="27"/>
      <c r="AL1083" s="27"/>
      <c r="AM1083" s="27"/>
      <c r="AN1083" s="27"/>
      <c r="AO1083" s="27"/>
      <c r="AP1083" s="27"/>
      <c r="AQ1083" s="27"/>
      <c r="AR1083" s="27"/>
      <c r="AS1083" s="27"/>
      <c r="AT1083" s="27"/>
      <c r="AU1083" s="27"/>
    </row>
    <row r="1084" spans="1:47" ht="15.75" customHeight="1">
      <c r="A1084" s="44">
        <v>44882</v>
      </c>
      <c r="B1084" s="57" t="s">
        <v>1954</v>
      </c>
      <c r="C1084" s="33" t="s">
        <v>48</v>
      </c>
      <c r="D1084" s="33" t="s">
        <v>1037</v>
      </c>
      <c r="E1084" s="90">
        <v>10000</v>
      </c>
      <c r="F1084" s="33" t="s">
        <v>1955</v>
      </c>
      <c r="G1084" s="33" t="s">
        <v>835</v>
      </c>
      <c r="H1084" s="33" t="s">
        <v>86</v>
      </c>
      <c r="I1084" s="33" t="s">
        <v>990</v>
      </c>
      <c r="J1084" s="44">
        <v>44644</v>
      </c>
      <c r="K1084" s="33" t="s">
        <v>1179</v>
      </c>
      <c r="L1084" s="27"/>
      <c r="M1084" s="27"/>
      <c r="N1084" s="27"/>
      <c r="O1084" s="27"/>
      <c r="P1084" s="27"/>
      <c r="Q1084" s="27"/>
      <c r="R1084" s="27"/>
      <c r="S1084" s="27"/>
      <c r="T1084" s="27"/>
      <c r="U1084" s="27"/>
      <c r="V1084" s="27"/>
      <c r="W1084" s="27"/>
      <c r="X1084" s="27"/>
      <c r="Y1084" s="27"/>
      <c r="Z1084" s="27"/>
      <c r="AA1084" s="27"/>
      <c r="AF1084" s="27"/>
      <c r="AG1084" s="27"/>
      <c r="AH1084" s="27"/>
      <c r="AI1084" s="27"/>
      <c r="AJ1084" s="27"/>
      <c r="AK1084" s="27"/>
      <c r="AL1084" s="27"/>
      <c r="AM1084" s="27"/>
      <c r="AN1084" s="27"/>
      <c r="AO1084" s="27"/>
      <c r="AP1084" s="27"/>
      <c r="AQ1084" s="27"/>
      <c r="AR1084" s="27"/>
      <c r="AS1084" s="27"/>
      <c r="AT1084" s="27"/>
      <c r="AU1084" s="27"/>
    </row>
    <row r="1085" spans="1:47" ht="15.75" customHeight="1">
      <c r="A1085" s="44">
        <v>44887</v>
      </c>
      <c r="B1085" s="57" t="s">
        <v>1956</v>
      </c>
      <c r="C1085" s="33" t="s">
        <v>48</v>
      </c>
      <c r="D1085" s="33" t="s">
        <v>1037</v>
      </c>
      <c r="E1085" s="90">
        <v>18042.73</v>
      </c>
      <c r="F1085" s="33" t="s">
        <v>1957</v>
      </c>
      <c r="G1085" s="33" t="s">
        <v>835</v>
      </c>
      <c r="H1085" s="33" t="s">
        <v>1299</v>
      </c>
      <c r="I1085" s="33" t="s">
        <v>1007</v>
      </c>
      <c r="J1085" s="33" t="s">
        <v>648</v>
      </c>
      <c r="K1085" s="33" t="s">
        <v>1179</v>
      </c>
      <c r="L1085" s="27"/>
      <c r="M1085" s="27"/>
      <c r="N1085" s="27"/>
      <c r="O1085" s="27"/>
      <c r="P1085" s="27"/>
      <c r="Q1085" s="27"/>
      <c r="R1085" s="27"/>
      <c r="S1085" s="27"/>
      <c r="T1085" s="27"/>
      <c r="U1085" s="27"/>
      <c r="V1085" s="27"/>
      <c r="W1085" s="27"/>
      <c r="X1085" s="27"/>
      <c r="Y1085" s="27"/>
      <c r="Z1085" s="27"/>
      <c r="AA1085" s="27"/>
      <c r="AF1085" s="27"/>
      <c r="AG1085" s="27"/>
      <c r="AH1085" s="27"/>
      <c r="AI1085" s="27"/>
      <c r="AJ1085" s="27"/>
      <c r="AK1085" s="27"/>
      <c r="AL1085" s="27"/>
      <c r="AM1085" s="27"/>
      <c r="AN1085" s="27"/>
      <c r="AO1085" s="27"/>
      <c r="AP1085" s="27"/>
      <c r="AQ1085" s="27"/>
      <c r="AR1085" s="27"/>
      <c r="AS1085" s="27"/>
      <c r="AT1085" s="27"/>
      <c r="AU1085" s="27"/>
    </row>
    <row r="1086" spans="1:47" ht="15.75" customHeight="1">
      <c r="A1086" s="44">
        <v>44889</v>
      </c>
      <c r="B1086" s="57" t="s">
        <v>1846</v>
      </c>
      <c r="C1086" s="33" t="s">
        <v>48</v>
      </c>
      <c r="D1086" s="33" t="s">
        <v>1037</v>
      </c>
      <c r="E1086" s="90">
        <v>33000</v>
      </c>
      <c r="F1086" s="33" t="s">
        <v>1847</v>
      </c>
      <c r="G1086" s="33" t="s">
        <v>835</v>
      </c>
      <c r="H1086" s="33" t="s">
        <v>86</v>
      </c>
      <c r="I1086" s="33" t="s">
        <v>920</v>
      </c>
      <c r="J1086" s="44">
        <v>44393</v>
      </c>
      <c r="K1086" s="33" t="s">
        <v>1122</v>
      </c>
      <c r="L1086" s="27"/>
      <c r="M1086" s="27"/>
      <c r="N1086" s="27"/>
      <c r="O1086" s="27"/>
      <c r="P1086" s="27"/>
      <c r="Q1086" s="27"/>
      <c r="R1086" s="27"/>
      <c r="S1086" s="27"/>
      <c r="T1086" s="27"/>
      <c r="U1086" s="27"/>
      <c r="V1086" s="27"/>
      <c r="W1086" s="27"/>
      <c r="X1086" s="27"/>
      <c r="Y1086" s="27"/>
      <c r="Z1086" s="27"/>
      <c r="AA1086" s="27"/>
      <c r="AF1086" s="27"/>
      <c r="AG1086" s="27"/>
      <c r="AH1086" s="27"/>
      <c r="AI1086" s="27"/>
      <c r="AJ1086" s="27"/>
      <c r="AK1086" s="27"/>
      <c r="AL1086" s="27"/>
      <c r="AM1086" s="27"/>
      <c r="AN1086" s="27"/>
      <c r="AO1086" s="27"/>
      <c r="AP1086" s="27"/>
      <c r="AQ1086" s="27"/>
      <c r="AR1086" s="27"/>
      <c r="AS1086" s="27"/>
      <c r="AT1086" s="27"/>
      <c r="AU1086" s="27"/>
    </row>
    <row r="1087" spans="1:47" ht="15.75" customHeight="1">
      <c r="A1087" s="45">
        <v>44889</v>
      </c>
      <c r="B1087" s="38" t="s">
        <v>1671</v>
      </c>
      <c r="C1087" s="10" t="s">
        <v>48</v>
      </c>
      <c r="D1087" s="46" t="s">
        <v>1037</v>
      </c>
      <c r="E1087" s="47">
        <v>7000</v>
      </c>
      <c r="F1087" s="46" t="s">
        <v>1672</v>
      </c>
      <c r="G1087" s="46" t="s">
        <v>835</v>
      </c>
      <c r="H1087" s="46" t="s">
        <v>1299</v>
      </c>
      <c r="I1087" s="46" t="s">
        <v>1002</v>
      </c>
      <c r="J1087" s="45">
        <v>44609</v>
      </c>
      <c r="K1087" s="10" t="s">
        <v>1054</v>
      </c>
      <c r="L1087" s="27"/>
      <c r="M1087" s="27"/>
      <c r="N1087" s="27"/>
      <c r="O1087" s="27"/>
      <c r="P1087" s="27"/>
      <c r="Q1087" s="27"/>
      <c r="R1087" s="27"/>
      <c r="S1087" s="27"/>
      <c r="T1087" s="27"/>
      <c r="U1087" s="27"/>
      <c r="V1087" s="27"/>
      <c r="W1087" s="27"/>
      <c r="X1087" s="27"/>
      <c r="Y1087" s="27"/>
      <c r="Z1087" s="27"/>
      <c r="AA1087" s="27"/>
      <c r="AF1087" s="27"/>
      <c r="AG1087" s="27"/>
      <c r="AH1087" s="27"/>
      <c r="AI1087" s="27"/>
      <c r="AJ1087" s="27"/>
      <c r="AK1087" s="27"/>
      <c r="AL1087" s="27"/>
      <c r="AM1087" s="27"/>
      <c r="AN1087" s="27"/>
      <c r="AO1087" s="27"/>
      <c r="AP1087" s="27"/>
      <c r="AQ1087" s="27"/>
      <c r="AR1087" s="27"/>
      <c r="AS1087" s="27"/>
      <c r="AT1087" s="27"/>
      <c r="AU1087" s="27"/>
    </row>
    <row r="1088" spans="1:47" ht="15.75" customHeight="1">
      <c r="A1088" s="45">
        <v>44889</v>
      </c>
      <c r="B1088" s="38" t="s">
        <v>1671</v>
      </c>
      <c r="C1088" s="10" t="s">
        <v>48</v>
      </c>
      <c r="D1088" s="46" t="s">
        <v>1037</v>
      </c>
      <c r="E1088" s="47">
        <v>7000</v>
      </c>
      <c r="F1088" s="46" t="s">
        <v>1672</v>
      </c>
      <c r="G1088" s="46" t="s">
        <v>835</v>
      </c>
      <c r="H1088" s="46" t="s">
        <v>1299</v>
      </c>
      <c r="I1088" s="46" t="s">
        <v>1002</v>
      </c>
      <c r="J1088" s="45">
        <v>44609</v>
      </c>
      <c r="K1088" s="10" t="s">
        <v>1054</v>
      </c>
      <c r="L1088" s="27"/>
      <c r="M1088" s="27"/>
      <c r="N1088" s="27"/>
      <c r="O1088" s="27"/>
      <c r="P1088" s="27"/>
      <c r="Q1088" s="27"/>
      <c r="R1088" s="27"/>
      <c r="S1088" s="27"/>
      <c r="T1088" s="27"/>
      <c r="U1088" s="27"/>
      <c r="V1088" s="27"/>
      <c r="W1088" s="27"/>
      <c r="X1088" s="27"/>
      <c r="Y1088" s="27"/>
      <c r="Z1088" s="27"/>
      <c r="AA1088" s="27"/>
      <c r="AF1088" s="27"/>
      <c r="AG1088" s="27"/>
      <c r="AH1088" s="27"/>
      <c r="AI1088" s="27"/>
      <c r="AJ1088" s="27"/>
      <c r="AK1088" s="27"/>
      <c r="AL1088" s="27"/>
      <c r="AM1088" s="27"/>
      <c r="AN1088" s="27"/>
      <c r="AO1088" s="27"/>
      <c r="AP1088" s="27"/>
      <c r="AQ1088" s="27"/>
      <c r="AR1088" s="27"/>
      <c r="AS1088" s="27"/>
      <c r="AT1088" s="27"/>
      <c r="AU1088" s="27"/>
    </row>
    <row r="1089" spans="1:47" ht="15.75" customHeight="1">
      <c r="A1089" s="44">
        <v>44890</v>
      </c>
      <c r="B1089" s="57" t="s">
        <v>1958</v>
      </c>
      <c r="C1089" s="33" t="s">
        <v>48</v>
      </c>
      <c r="D1089" s="33" t="s">
        <v>1037</v>
      </c>
      <c r="E1089" s="90">
        <v>3000</v>
      </c>
      <c r="F1089" s="33" t="s">
        <v>1959</v>
      </c>
      <c r="G1089" s="33" t="s">
        <v>904</v>
      </c>
      <c r="H1089" s="33" t="s">
        <v>86</v>
      </c>
      <c r="I1089" s="33" t="s">
        <v>1009</v>
      </c>
      <c r="J1089" s="44">
        <v>44840</v>
      </c>
      <c r="K1089" s="33" t="s">
        <v>1179</v>
      </c>
      <c r="L1089" s="27"/>
      <c r="M1089" s="27"/>
      <c r="N1089" s="27"/>
      <c r="O1089" s="27"/>
      <c r="P1089" s="27"/>
      <c r="Q1089" s="27"/>
      <c r="R1089" s="27"/>
      <c r="S1089" s="27"/>
      <c r="T1089" s="27"/>
      <c r="U1089" s="27"/>
      <c r="V1089" s="27"/>
      <c r="W1089" s="27"/>
      <c r="X1089" s="27"/>
      <c r="Y1089" s="27"/>
      <c r="Z1089" s="27"/>
      <c r="AA1089" s="27"/>
      <c r="AF1089" s="27"/>
      <c r="AG1089" s="27"/>
      <c r="AH1089" s="27"/>
      <c r="AI1089" s="27"/>
      <c r="AJ1089" s="27"/>
      <c r="AK1089" s="27"/>
      <c r="AL1089" s="27"/>
      <c r="AM1089" s="27"/>
      <c r="AN1089" s="27"/>
      <c r="AO1089" s="27"/>
      <c r="AP1089" s="27"/>
      <c r="AQ1089" s="27"/>
      <c r="AR1089" s="27"/>
      <c r="AS1089" s="27"/>
      <c r="AT1089" s="27"/>
      <c r="AU1089" s="27"/>
    </row>
    <row r="1090" spans="1:47" ht="15.75" customHeight="1">
      <c r="A1090" s="44">
        <v>44890</v>
      </c>
      <c r="B1090" s="38" t="s">
        <v>1821</v>
      </c>
      <c r="C1090" s="10" t="s">
        <v>48</v>
      </c>
      <c r="D1090" s="46" t="s">
        <v>1037</v>
      </c>
      <c r="E1090" s="47">
        <v>300000</v>
      </c>
      <c r="F1090" s="46" t="s">
        <v>1822</v>
      </c>
      <c r="G1090" s="46" t="s">
        <v>835</v>
      </c>
      <c r="H1090" s="46" t="s">
        <v>1299</v>
      </c>
      <c r="I1090" s="46" t="s">
        <v>963</v>
      </c>
      <c r="J1090" s="45">
        <v>44568</v>
      </c>
      <c r="K1090" s="10" t="s">
        <v>1823</v>
      </c>
      <c r="L1090" s="27"/>
      <c r="M1090" s="27"/>
      <c r="N1090" s="27"/>
      <c r="O1090" s="27"/>
      <c r="P1090" s="27"/>
      <c r="Q1090" s="27"/>
      <c r="R1090" s="27"/>
      <c r="S1090" s="27"/>
      <c r="T1090" s="27"/>
      <c r="U1090" s="27"/>
      <c r="V1090" s="27"/>
      <c r="W1090" s="27"/>
      <c r="X1090" s="27"/>
      <c r="Y1090" s="27"/>
      <c r="Z1090" s="27"/>
      <c r="AA1090" s="27"/>
      <c r="AF1090" s="27"/>
      <c r="AG1090" s="27"/>
      <c r="AH1090" s="27"/>
      <c r="AI1090" s="27"/>
      <c r="AJ1090" s="27"/>
      <c r="AK1090" s="27"/>
      <c r="AL1090" s="27"/>
      <c r="AM1090" s="27"/>
      <c r="AN1090" s="27"/>
      <c r="AO1090" s="27"/>
      <c r="AP1090" s="27"/>
      <c r="AQ1090" s="27"/>
      <c r="AR1090" s="27"/>
      <c r="AS1090" s="27"/>
      <c r="AT1090" s="27"/>
      <c r="AU1090" s="27"/>
    </row>
    <row r="1091" spans="1:47" ht="15.75" customHeight="1">
      <c r="A1091" s="44">
        <v>44890</v>
      </c>
      <c r="B1091" s="57" t="s">
        <v>1844</v>
      </c>
      <c r="C1091" s="33" t="s">
        <v>48</v>
      </c>
      <c r="D1091" s="33" t="s">
        <v>1037</v>
      </c>
      <c r="E1091" s="90">
        <v>5000</v>
      </c>
      <c r="F1091" s="33" t="s">
        <v>1845</v>
      </c>
      <c r="G1091" s="33" t="s">
        <v>835</v>
      </c>
      <c r="H1091" s="33" t="s">
        <v>86</v>
      </c>
      <c r="I1091" s="33" t="s">
        <v>872</v>
      </c>
      <c r="J1091" s="44">
        <v>44460</v>
      </c>
      <c r="K1091" s="33" t="s">
        <v>1179</v>
      </c>
      <c r="L1091" s="27"/>
      <c r="M1091" s="27"/>
      <c r="N1091" s="27"/>
      <c r="O1091" s="27"/>
      <c r="P1091" s="27"/>
      <c r="Q1091" s="27"/>
      <c r="R1091" s="27"/>
      <c r="S1091" s="27"/>
      <c r="T1091" s="27"/>
      <c r="U1091" s="27"/>
      <c r="V1091" s="27"/>
      <c r="W1091" s="27"/>
      <c r="X1091" s="27"/>
      <c r="Y1091" s="27"/>
      <c r="Z1091" s="27"/>
      <c r="AA1091" s="27"/>
      <c r="AF1091" s="27"/>
      <c r="AG1091" s="27"/>
      <c r="AH1091" s="27"/>
      <c r="AI1091" s="27"/>
      <c r="AJ1091" s="27"/>
      <c r="AK1091" s="27"/>
      <c r="AL1091" s="27"/>
      <c r="AM1091" s="27"/>
      <c r="AN1091" s="27"/>
      <c r="AO1091" s="27"/>
      <c r="AP1091" s="27"/>
      <c r="AQ1091" s="27"/>
      <c r="AR1091" s="27"/>
      <c r="AS1091" s="27"/>
      <c r="AT1091" s="27"/>
      <c r="AU1091" s="27"/>
    </row>
    <row r="1092" spans="1:47" ht="15.75" customHeight="1">
      <c r="A1092" s="44">
        <v>44893</v>
      </c>
      <c r="B1092" s="57" t="s">
        <v>1960</v>
      </c>
      <c r="C1092" s="33" t="s">
        <v>48</v>
      </c>
      <c r="D1092" s="33" t="s">
        <v>1037</v>
      </c>
      <c r="E1092" s="90">
        <v>30000</v>
      </c>
      <c r="F1092" s="33" t="s">
        <v>1961</v>
      </c>
      <c r="G1092" s="33" t="s">
        <v>835</v>
      </c>
      <c r="H1092" s="33" t="s">
        <v>1299</v>
      </c>
      <c r="I1092" s="33" t="s">
        <v>849</v>
      </c>
      <c r="J1092" s="44">
        <v>44186</v>
      </c>
      <c r="K1092" s="33" t="s">
        <v>1122</v>
      </c>
      <c r="L1092" s="27"/>
      <c r="M1092" s="27"/>
      <c r="N1092" s="27"/>
      <c r="O1092" s="27"/>
      <c r="P1092" s="27"/>
      <c r="Q1092" s="27"/>
      <c r="R1092" s="27"/>
      <c r="S1092" s="27"/>
      <c r="T1092" s="27"/>
      <c r="U1092" s="27"/>
      <c r="V1092" s="27"/>
      <c r="W1092" s="27"/>
      <c r="X1092" s="27"/>
      <c r="Y1092" s="27"/>
      <c r="Z1092" s="27"/>
      <c r="AA1092" s="27"/>
      <c r="AF1092" s="27"/>
      <c r="AG1092" s="27"/>
      <c r="AH1092" s="27"/>
      <c r="AI1092" s="27"/>
      <c r="AJ1092" s="27"/>
      <c r="AK1092" s="27"/>
      <c r="AL1092" s="27"/>
      <c r="AM1092" s="27"/>
      <c r="AN1092" s="27"/>
      <c r="AO1092" s="27"/>
      <c r="AP1092" s="27"/>
      <c r="AQ1092" s="27"/>
      <c r="AR1092" s="27"/>
      <c r="AS1092" s="27"/>
      <c r="AT1092" s="27"/>
      <c r="AU1092" s="27"/>
    </row>
    <row r="1093" spans="1:47" ht="15.75" customHeight="1">
      <c r="A1093" s="44">
        <v>44893</v>
      </c>
      <c r="B1093" s="46">
        <v>6986262</v>
      </c>
      <c r="C1093" s="33" t="s">
        <v>48</v>
      </c>
      <c r="D1093" s="33" t="s">
        <v>1037</v>
      </c>
      <c r="E1093" s="90">
        <v>4386.42</v>
      </c>
      <c r="F1093" s="33" t="s">
        <v>1689</v>
      </c>
      <c r="G1093" s="33" t="s">
        <v>835</v>
      </c>
      <c r="H1093" s="33" t="s">
        <v>1299</v>
      </c>
      <c r="I1093" s="33" t="s">
        <v>906</v>
      </c>
      <c r="J1093" s="44">
        <v>44503</v>
      </c>
      <c r="K1093" s="10" t="s">
        <v>1438</v>
      </c>
      <c r="L1093" s="27"/>
      <c r="M1093" s="27"/>
      <c r="N1093" s="27"/>
      <c r="O1093" s="27"/>
      <c r="P1093" s="27"/>
      <c r="Q1093" s="27"/>
      <c r="R1093" s="27"/>
      <c r="S1093" s="27"/>
      <c r="T1093" s="27"/>
      <c r="U1093" s="27"/>
      <c r="V1093" s="27"/>
      <c r="W1093" s="27"/>
      <c r="X1093" s="27"/>
      <c r="Y1093" s="27"/>
      <c r="Z1093" s="27"/>
      <c r="AA1093" s="27"/>
      <c r="AF1093" s="27"/>
      <c r="AG1093" s="27"/>
      <c r="AH1093" s="27"/>
      <c r="AI1093" s="27"/>
      <c r="AJ1093" s="27"/>
      <c r="AK1093" s="27"/>
      <c r="AL1093" s="27"/>
      <c r="AM1093" s="27"/>
      <c r="AN1093" s="27"/>
      <c r="AO1093" s="27"/>
      <c r="AP1093" s="27"/>
      <c r="AQ1093" s="27"/>
      <c r="AR1093" s="27"/>
      <c r="AS1093" s="27"/>
      <c r="AT1093" s="27"/>
      <c r="AU1093" s="27"/>
    </row>
    <row r="1094" spans="1:47" ht="15.75" customHeight="1">
      <c r="A1094" s="44">
        <v>44894</v>
      </c>
      <c r="B1094" s="57" t="s">
        <v>1898</v>
      </c>
      <c r="C1094" s="33" t="s">
        <v>48</v>
      </c>
      <c r="D1094" s="33" t="s">
        <v>1062</v>
      </c>
      <c r="E1094" s="90">
        <v>377183.5</v>
      </c>
      <c r="F1094" s="33" t="s">
        <v>1899</v>
      </c>
      <c r="G1094" s="33" t="s">
        <v>835</v>
      </c>
      <c r="H1094" s="33" t="s">
        <v>1299</v>
      </c>
      <c r="I1094" s="33" t="s">
        <v>870</v>
      </c>
      <c r="J1094" s="44">
        <v>44714</v>
      </c>
      <c r="K1094" s="33" t="s">
        <v>1030</v>
      </c>
      <c r="L1094" s="27"/>
      <c r="M1094" s="27"/>
      <c r="N1094" s="27"/>
      <c r="O1094" s="27"/>
      <c r="P1094" s="27"/>
      <c r="Q1094" s="27"/>
      <c r="R1094" s="27"/>
      <c r="S1094" s="27"/>
      <c r="T1094" s="27"/>
      <c r="U1094" s="27"/>
      <c r="V1094" s="27"/>
      <c r="W1094" s="27"/>
      <c r="X1094" s="27"/>
      <c r="Y1094" s="27"/>
      <c r="Z1094" s="27"/>
      <c r="AA1094" s="27"/>
      <c r="AF1094" s="27"/>
      <c r="AG1094" s="27"/>
      <c r="AH1094" s="27"/>
      <c r="AI1094" s="27"/>
      <c r="AJ1094" s="27"/>
      <c r="AK1094" s="27"/>
      <c r="AL1094" s="27"/>
      <c r="AM1094" s="27"/>
      <c r="AN1094" s="27"/>
      <c r="AO1094" s="27"/>
      <c r="AP1094" s="27"/>
      <c r="AQ1094" s="27"/>
      <c r="AR1094" s="27"/>
      <c r="AS1094" s="27"/>
      <c r="AT1094" s="27"/>
      <c r="AU1094" s="27"/>
    </row>
    <row r="1095" spans="1:47" ht="15.75" customHeight="1">
      <c r="A1095" s="44">
        <v>44894</v>
      </c>
      <c r="B1095" s="57" t="s">
        <v>1962</v>
      </c>
      <c r="C1095" s="33" t="s">
        <v>48</v>
      </c>
      <c r="D1095" s="33" t="s">
        <v>1037</v>
      </c>
      <c r="E1095" s="90">
        <v>60000</v>
      </c>
      <c r="F1095" s="33" t="s">
        <v>1963</v>
      </c>
      <c r="G1095" s="33" t="s">
        <v>835</v>
      </c>
      <c r="H1095" s="33" t="s">
        <v>1299</v>
      </c>
      <c r="I1095" s="33" t="s">
        <v>963</v>
      </c>
      <c r="J1095" s="44">
        <v>44714</v>
      </c>
      <c r="K1095" s="33" t="s">
        <v>1054</v>
      </c>
      <c r="L1095" s="27"/>
      <c r="M1095" s="27"/>
      <c r="N1095" s="27"/>
      <c r="O1095" s="27"/>
      <c r="P1095" s="27"/>
      <c r="Q1095" s="27"/>
      <c r="R1095" s="27"/>
      <c r="S1095" s="27"/>
      <c r="T1095" s="27"/>
      <c r="U1095" s="27"/>
      <c r="V1095" s="27"/>
      <c r="W1095" s="27"/>
      <c r="X1095" s="27"/>
      <c r="Y1095" s="27"/>
      <c r="Z1095" s="27"/>
      <c r="AA1095" s="27"/>
      <c r="AF1095" s="27"/>
      <c r="AG1095" s="27"/>
      <c r="AH1095" s="27"/>
      <c r="AI1095" s="27"/>
      <c r="AJ1095" s="27"/>
      <c r="AK1095" s="27"/>
      <c r="AL1095" s="27"/>
      <c r="AM1095" s="27"/>
      <c r="AN1095" s="27"/>
      <c r="AO1095" s="27"/>
      <c r="AP1095" s="27"/>
      <c r="AQ1095" s="27"/>
      <c r="AR1095" s="27"/>
      <c r="AS1095" s="27"/>
      <c r="AT1095" s="27"/>
      <c r="AU1095" s="27"/>
    </row>
    <row r="1096" spans="1:47" ht="15.75" customHeight="1">
      <c r="A1096" s="44">
        <v>44895</v>
      </c>
      <c r="B1096" s="57" t="s">
        <v>1731</v>
      </c>
      <c r="C1096" s="10" t="s">
        <v>48</v>
      </c>
      <c r="D1096" s="33" t="s">
        <v>1037</v>
      </c>
      <c r="E1096" s="90">
        <v>15000</v>
      </c>
      <c r="F1096" s="10" t="s">
        <v>1732</v>
      </c>
      <c r="G1096" s="33" t="s">
        <v>835</v>
      </c>
      <c r="H1096" s="33" t="s">
        <v>1299</v>
      </c>
      <c r="I1096" s="33" t="s">
        <v>1002</v>
      </c>
      <c r="J1096" s="44">
        <v>44614</v>
      </c>
      <c r="K1096" s="35" t="s">
        <v>1041</v>
      </c>
      <c r="L1096" s="27"/>
      <c r="M1096" s="27"/>
      <c r="N1096" s="27"/>
      <c r="O1096" s="27"/>
      <c r="P1096" s="27"/>
      <c r="Q1096" s="27"/>
      <c r="R1096" s="27"/>
      <c r="S1096" s="27"/>
      <c r="T1096" s="27"/>
      <c r="U1096" s="27"/>
      <c r="V1096" s="27"/>
      <c r="W1096" s="27"/>
      <c r="X1096" s="27"/>
      <c r="Y1096" s="27"/>
      <c r="Z1096" s="27"/>
      <c r="AA1096" s="27"/>
      <c r="AF1096" s="27"/>
      <c r="AG1096" s="27"/>
      <c r="AH1096" s="27"/>
      <c r="AI1096" s="27"/>
      <c r="AJ1096" s="27"/>
      <c r="AK1096" s="27"/>
      <c r="AL1096" s="27"/>
      <c r="AM1096" s="27"/>
      <c r="AN1096" s="27"/>
      <c r="AO1096" s="27"/>
      <c r="AP1096" s="27"/>
      <c r="AQ1096" s="27"/>
      <c r="AR1096" s="27"/>
      <c r="AS1096" s="27"/>
      <c r="AT1096" s="27"/>
      <c r="AU1096" s="27"/>
    </row>
    <row r="1097" spans="1:47" ht="15.75" customHeight="1">
      <c r="A1097" s="44">
        <v>44896</v>
      </c>
      <c r="B1097" s="51" t="s">
        <v>1658</v>
      </c>
      <c r="C1097" s="46" t="s">
        <v>48</v>
      </c>
      <c r="D1097" s="33" t="s">
        <v>1037</v>
      </c>
      <c r="E1097" s="98">
        <v>30000</v>
      </c>
      <c r="F1097" s="33" t="s">
        <v>1659</v>
      </c>
      <c r="G1097" s="44" t="s">
        <v>835</v>
      </c>
      <c r="H1097" s="44" t="s">
        <v>86</v>
      </c>
      <c r="I1097" s="44" t="s">
        <v>1006</v>
      </c>
      <c r="J1097" s="44">
        <v>44594</v>
      </c>
      <c r="K1097" s="44" t="s">
        <v>1179</v>
      </c>
      <c r="L1097" s="27"/>
      <c r="M1097" s="27"/>
      <c r="N1097" s="27"/>
      <c r="O1097" s="27"/>
      <c r="P1097" s="27"/>
      <c r="Q1097" s="27"/>
      <c r="R1097" s="27"/>
      <c r="S1097" s="27"/>
      <c r="T1097" s="27"/>
      <c r="U1097" s="27"/>
      <c r="V1097" s="27"/>
      <c r="W1097" s="27"/>
      <c r="X1097" s="27"/>
      <c r="Y1097" s="27"/>
      <c r="Z1097" s="27"/>
      <c r="AA1097" s="27"/>
      <c r="AF1097" s="27"/>
      <c r="AG1097" s="27"/>
      <c r="AH1097" s="27"/>
      <c r="AI1097" s="27"/>
      <c r="AJ1097" s="27"/>
      <c r="AK1097" s="27"/>
      <c r="AL1097" s="27"/>
      <c r="AM1097" s="27"/>
      <c r="AN1097" s="27"/>
      <c r="AO1097" s="27"/>
      <c r="AP1097" s="27"/>
      <c r="AQ1097" s="27"/>
      <c r="AR1097" s="27"/>
      <c r="AS1097" s="27"/>
      <c r="AT1097" s="27"/>
      <c r="AU1097" s="27"/>
    </row>
    <row r="1098" spans="1:47" ht="15.75" customHeight="1">
      <c r="A1098" s="44">
        <v>44896</v>
      </c>
      <c r="B1098" s="57" t="s">
        <v>1962</v>
      </c>
      <c r="C1098" s="33" t="s">
        <v>48</v>
      </c>
      <c r="D1098" s="33" t="s">
        <v>1037</v>
      </c>
      <c r="E1098" s="90">
        <v>60000</v>
      </c>
      <c r="F1098" s="33" t="s">
        <v>1963</v>
      </c>
      <c r="G1098" s="33" t="s">
        <v>835</v>
      </c>
      <c r="H1098" s="33" t="s">
        <v>1299</v>
      </c>
      <c r="I1098" s="33" t="s">
        <v>963</v>
      </c>
      <c r="J1098" s="44">
        <v>44714</v>
      </c>
      <c r="K1098" s="33" t="s">
        <v>1054</v>
      </c>
      <c r="L1098" s="27"/>
      <c r="M1098" s="27"/>
      <c r="N1098" s="27"/>
      <c r="O1098" s="27"/>
      <c r="P1098" s="27"/>
      <c r="Q1098" s="27"/>
      <c r="R1098" s="27"/>
      <c r="S1098" s="27"/>
      <c r="T1098" s="27"/>
      <c r="U1098" s="27"/>
      <c r="V1098" s="27"/>
      <c r="W1098" s="27"/>
      <c r="X1098" s="27"/>
      <c r="Y1098" s="27"/>
      <c r="Z1098" s="27"/>
      <c r="AA1098" s="27"/>
      <c r="AF1098" s="27"/>
      <c r="AG1098" s="27"/>
      <c r="AH1098" s="27"/>
      <c r="AI1098" s="27"/>
      <c r="AJ1098" s="27"/>
      <c r="AK1098" s="27"/>
      <c r="AL1098" s="27"/>
      <c r="AM1098" s="27"/>
      <c r="AN1098" s="27"/>
      <c r="AO1098" s="27"/>
      <c r="AP1098" s="27"/>
      <c r="AQ1098" s="27"/>
      <c r="AR1098" s="27"/>
      <c r="AS1098" s="27"/>
      <c r="AT1098" s="27"/>
      <c r="AU1098" s="27"/>
    </row>
    <row r="1099" spans="1:47" ht="15.75" customHeight="1">
      <c r="A1099" s="44">
        <v>44897</v>
      </c>
      <c r="B1099" s="57" t="s">
        <v>1816</v>
      </c>
      <c r="C1099" s="33" t="s">
        <v>48</v>
      </c>
      <c r="D1099" s="33" t="s">
        <v>1037</v>
      </c>
      <c r="E1099" s="90">
        <v>30000</v>
      </c>
      <c r="F1099" s="33" t="s">
        <v>1817</v>
      </c>
      <c r="G1099" s="33" t="s">
        <v>835</v>
      </c>
      <c r="H1099" s="33" t="s">
        <v>1299</v>
      </c>
      <c r="I1099" s="33" t="s">
        <v>900</v>
      </c>
      <c r="J1099" s="44">
        <v>44445</v>
      </c>
      <c r="K1099" s="33" t="s">
        <v>1179</v>
      </c>
      <c r="L1099" s="27"/>
      <c r="M1099" s="27"/>
      <c r="N1099" s="27"/>
      <c r="O1099" s="27"/>
      <c r="P1099" s="27"/>
      <c r="Q1099" s="27"/>
      <c r="R1099" s="27"/>
      <c r="S1099" s="27"/>
      <c r="T1099" s="27"/>
      <c r="U1099" s="27"/>
      <c r="V1099" s="27"/>
      <c r="W1099" s="27"/>
      <c r="X1099" s="27"/>
      <c r="Y1099" s="27"/>
      <c r="Z1099" s="27"/>
      <c r="AA1099" s="27"/>
      <c r="AF1099" s="27"/>
      <c r="AG1099" s="27"/>
      <c r="AH1099" s="27"/>
      <c r="AI1099" s="27"/>
      <c r="AJ1099" s="27"/>
      <c r="AK1099" s="27"/>
      <c r="AL1099" s="27"/>
      <c r="AM1099" s="27"/>
      <c r="AN1099" s="27"/>
      <c r="AO1099" s="27"/>
      <c r="AP1099" s="27"/>
      <c r="AQ1099" s="27"/>
      <c r="AR1099" s="27"/>
      <c r="AS1099" s="27"/>
      <c r="AT1099" s="27"/>
      <c r="AU1099" s="27"/>
    </row>
    <row r="1100" spans="1:47" ht="15.75" customHeight="1">
      <c r="A1100" s="44">
        <v>44901</v>
      </c>
      <c r="B1100" s="72">
        <v>3241823</v>
      </c>
      <c r="C1100" s="33" t="s">
        <v>48</v>
      </c>
      <c r="D1100" s="33" t="s">
        <v>1037</v>
      </c>
      <c r="E1100" s="90">
        <v>1620</v>
      </c>
      <c r="F1100" s="33" t="s">
        <v>1924</v>
      </c>
      <c r="G1100" s="33" t="s">
        <v>835</v>
      </c>
      <c r="H1100" s="33" t="s">
        <v>86</v>
      </c>
      <c r="I1100" s="33" t="s">
        <v>1001</v>
      </c>
      <c r="J1100" s="44">
        <v>44819</v>
      </c>
      <c r="K1100" s="33" t="s">
        <v>1054</v>
      </c>
      <c r="L1100" s="27"/>
      <c r="M1100" s="27"/>
      <c r="N1100" s="27"/>
      <c r="O1100" s="27"/>
      <c r="P1100" s="27"/>
      <c r="Q1100" s="27"/>
      <c r="R1100" s="27"/>
      <c r="S1100" s="27"/>
      <c r="T1100" s="27"/>
      <c r="U1100" s="27"/>
      <c r="V1100" s="27"/>
      <c r="W1100" s="27"/>
      <c r="X1100" s="27"/>
      <c r="Y1100" s="27"/>
      <c r="Z1100" s="27"/>
      <c r="AA1100" s="27"/>
      <c r="AF1100" s="27"/>
      <c r="AG1100" s="27"/>
      <c r="AH1100" s="27"/>
      <c r="AI1100" s="27"/>
      <c r="AJ1100" s="27"/>
      <c r="AK1100" s="27"/>
      <c r="AL1100" s="27"/>
      <c r="AM1100" s="27"/>
      <c r="AN1100" s="27"/>
      <c r="AO1100" s="27"/>
      <c r="AP1100" s="27"/>
      <c r="AQ1100" s="27"/>
      <c r="AR1100" s="27"/>
      <c r="AS1100" s="27"/>
      <c r="AT1100" s="27"/>
      <c r="AU1100" s="27"/>
    </row>
    <row r="1101" spans="1:47" ht="15.75" customHeight="1">
      <c r="A1101" s="44">
        <v>44901</v>
      </c>
      <c r="B1101" s="57" t="s">
        <v>1948</v>
      </c>
      <c r="C1101" s="33" t="s">
        <v>48</v>
      </c>
      <c r="D1101" s="33" t="s">
        <v>1037</v>
      </c>
      <c r="E1101" s="90">
        <v>80000</v>
      </c>
      <c r="F1101" s="33" t="s">
        <v>1949</v>
      </c>
      <c r="G1101" s="33" t="s">
        <v>835</v>
      </c>
      <c r="H1101" s="33" t="s">
        <v>86</v>
      </c>
      <c r="I1101" s="33" t="s">
        <v>990</v>
      </c>
      <c r="J1101" s="44">
        <v>44802</v>
      </c>
      <c r="K1101" s="33" t="s">
        <v>1179</v>
      </c>
      <c r="L1101" s="27"/>
      <c r="M1101" s="27"/>
      <c r="N1101" s="27"/>
      <c r="O1101" s="27"/>
      <c r="P1101" s="27"/>
      <c r="Q1101" s="27"/>
      <c r="R1101" s="27"/>
      <c r="S1101" s="27"/>
      <c r="T1101" s="27"/>
      <c r="U1101" s="27"/>
      <c r="V1101" s="27"/>
      <c r="W1101" s="27"/>
      <c r="X1101" s="27"/>
      <c r="Y1101" s="27"/>
      <c r="Z1101" s="27"/>
      <c r="AA1101" s="27"/>
      <c r="AF1101" s="27"/>
      <c r="AG1101" s="27"/>
      <c r="AH1101" s="27"/>
      <c r="AI1101" s="27"/>
      <c r="AJ1101" s="27"/>
      <c r="AK1101" s="27"/>
      <c r="AL1101" s="27"/>
      <c r="AM1101" s="27"/>
      <c r="AN1101" s="27"/>
      <c r="AO1101" s="27"/>
      <c r="AP1101" s="27"/>
      <c r="AQ1101" s="27"/>
      <c r="AR1101" s="27"/>
      <c r="AS1101" s="27"/>
      <c r="AT1101" s="27"/>
      <c r="AU1101" s="27"/>
    </row>
    <row r="1102" spans="1:47" ht="15.75" customHeight="1">
      <c r="A1102" s="44">
        <v>44901</v>
      </c>
      <c r="B1102" s="57" t="s">
        <v>1960</v>
      </c>
      <c r="C1102" s="33" t="s">
        <v>48</v>
      </c>
      <c r="D1102" s="33" t="s">
        <v>1028</v>
      </c>
      <c r="E1102" s="90">
        <v>159092.51</v>
      </c>
      <c r="F1102" s="33" t="s">
        <v>1961</v>
      </c>
      <c r="G1102" s="33" t="s">
        <v>835</v>
      </c>
      <c r="H1102" s="33" t="s">
        <v>1299</v>
      </c>
      <c r="I1102" s="33" t="s">
        <v>849</v>
      </c>
      <c r="J1102" s="44">
        <v>44186</v>
      </c>
      <c r="K1102" s="33" t="s">
        <v>1122</v>
      </c>
      <c r="L1102" s="27"/>
      <c r="M1102" s="27"/>
      <c r="N1102" s="27"/>
      <c r="O1102" s="27"/>
      <c r="P1102" s="27"/>
      <c r="Q1102" s="27"/>
      <c r="R1102" s="27"/>
      <c r="S1102" s="27"/>
      <c r="T1102" s="27"/>
      <c r="U1102" s="27"/>
      <c r="V1102" s="27"/>
      <c r="W1102" s="27"/>
      <c r="X1102" s="27"/>
      <c r="Y1102" s="27"/>
      <c r="Z1102" s="27"/>
      <c r="AA1102" s="27"/>
      <c r="AF1102" s="27"/>
      <c r="AG1102" s="27"/>
      <c r="AH1102" s="27"/>
      <c r="AI1102" s="27"/>
      <c r="AJ1102" s="27"/>
      <c r="AK1102" s="27"/>
      <c r="AL1102" s="27"/>
      <c r="AM1102" s="27"/>
      <c r="AN1102" s="27"/>
      <c r="AO1102" s="27"/>
      <c r="AP1102" s="27"/>
      <c r="AQ1102" s="27"/>
      <c r="AR1102" s="27"/>
      <c r="AS1102" s="27"/>
      <c r="AT1102" s="27"/>
      <c r="AU1102" s="27"/>
    </row>
    <row r="1103" spans="1:47" ht="15.75" customHeight="1">
      <c r="A1103" s="44">
        <v>44907</v>
      </c>
      <c r="B1103" s="57">
        <v>4432780</v>
      </c>
      <c r="C1103" s="33" t="s">
        <v>48</v>
      </c>
      <c r="D1103" s="33" t="s">
        <v>1062</v>
      </c>
      <c r="E1103" s="90">
        <v>101114.41</v>
      </c>
      <c r="F1103" s="33" t="s">
        <v>1964</v>
      </c>
      <c r="G1103" s="33" t="s">
        <v>835</v>
      </c>
      <c r="H1103" s="33" t="s">
        <v>1965</v>
      </c>
      <c r="I1103" s="33" t="s">
        <v>1966</v>
      </c>
      <c r="J1103" s="44">
        <v>44078</v>
      </c>
      <c r="K1103" s="33" t="s">
        <v>1030</v>
      </c>
      <c r="L1103" s="27"/>
      <c r="M1103" s="27"/>
      <c r="N1103" s="27"/>
      <c r="O1103" s="27"/>
      <c r="P1103" s="27"/>
      <c r="Q1103" s="27"/>
      <c r="R1103" s="27"/>
      <c r="S1103" s="27"/>
      <c r="T1103" s="27"/>
      <c r="U1103" s="27"/>
      <c r="V1103" s="27"/>
      <c r="W1103" s="27"/>
      <c r="X1103" s="27"/>
      <c r="Y1103" s="27"/>
      <c r="Z1103" s="27"/>
      <c r="AA1103" s="27"/>
      <c r="AF1103" s="27"/>
      <c r="AG1103" s="27"/>
      <c r="AH1103" s="27"/>
      <c r="AI1103" s="27"/>
      <c r="AJ1103" s="27"/>
      <c r="AK1103" s="27"/>
      <c r="AL1103" s="27"/>
      <c r="AM1103" s="27"/>
      <c r="AN1103" s="27"/>
      <c r="AO1103" s="27"/>
      <c r="AP1103" s="27"/>
      <c r="AQ1103" s="27"/>
      <c r="AR1103" s="27"/>
      <c r="AS1103" s="27"/>
      <c r="AT1103" s="27"/>
      <c r="AU1103" s="27"/>
    </row>
    <row r="1104" spans="1:47" ht="15.75" customHeight="1">
      <c r="A1104" s="44">
        <v>44896</v>
      </c>
      <c r="B1104" s="57" t="s">
        <v>1967</v>
      </c>
      <c r="C1104" s="33" t="s">
        <v>48</v>
      </c>
      <c r="D1104" s="33" t="s">
        <v>1028</v>
      </c>
      <c r="E1104" s="90">
        <v>179504.09</v>
      </c>
      <c r="F1104" s="33" t="s">
        <v>1968</v>
      </c>
      <c r="G1104" s="33" t="s">
        <v>904</v>
      </c>
      <c r="H1104" s="33" t="s">
        <v>86</v>
      </c>
      <c r="I1104" s="33" t="s">
        <v>849</v>
      </c>
      <c r="J1104" s="44">
        <v>44246</v>
      </c>
      <c r="K1104" s="33" t="s">
        <v>1041</v>
      </c>
      <c r="L1104" s="27"/>
      <c r="M1104" s="27"/>
      <c r="N1104" s="27"/>
      <c r="O1104" s="27"/>
      <c r="P1104" s="27"/>
      <c r="Q1104" s="27"/>
      <c r="R1104" s="27"/>
      <c r="S1104" s="27"/>
      <c r="T1104" s="27"/>
      <c r="U1104" s="27"/>
      <c r="V1104" s="27"/>
      <c r="W1104" s="27"/>
      <c r="X1104" s="27"/>
      <c r="Y1104" s="27"/>
      <c r="Z1104" s="27"/>
      <c r="AA1104" s="27"/>
      <c r="AF1104" s="27"/>
      <c r="AG1104" s="27"/>
      <c r="AH1104" s="27"/>
      <c r="AI1104" s="27"/>
      <c r="AJ1104" s="27"/>
      <c r="AK1104" s="27"/>
      <c r="AL1104" s="27"/>
      <c r="AM1104" s="27"/>
      <c r="AN1104" s="27"/>
      <c r="AO1104" s="27"/>
      <c r="AP1104" s="27"/>
      <c r="AQ1104" s="27"/>
      <c r="AR1104" s="27"/>
      <c r="AS1104" s="27"/>
      <c r="AT1104" s="27"/>
      <c r="AU1104" s="27"/>
    </row>
    <row r="1105" spans="1:47" ht="15.75" customHeight="1">
      <c r="A1105" s="44">
        <v>44895</v>
      </c>
      <c r="B1105" s="57" t="s">
        <v>1969</v>
      </c>
      <c r="C1105" s="33" t="s">
        <v>48</v>
      </c>
      <c r="D1105" s="33" t="s">
        <v>1028</v>
      </c>
      <c r="E1105" s="90" t="s">
        <v>1970</v>
      </c>
      <c r="F1105" s="10" t="s">
        <v>1971</v>
      </c>
      <c r="G1105" s="33" t="s">
        <v>835</v>
      </c>
      <c r="H1105" s="33" t="s">
        <v>1299</v>
      </c>
      <c r="I1105" s="33" t="s">
        <v>886</v>
      </c>
      <c r="J1105" s="44">
        <v>44390</v>
      </c>
      <c r="K1105" s="33" t="s">
        <v>1030</v>
      </c>
      <c r="L1105" s="27"/>
      <c r="M1105" s="27"/>
      <c r="N1105" s="27"/>
      <c r="O1105" s="27"/>
      <c r="P1105" s="27"/>
      <c r="Q1105" s="27"/>
      <c r="R1105" s="27"/>
      <c r="S1105" s="27"/>
      <c r="T1105" s="27"/>
      <c r="U1105" s="27"/>
      <c r="V1105" s="27"/>
      <c r="W1105" s="27"/>
      <c r="X1105" s="27"/>
      <c r="Y1105" s="27"/>
      <c r="Z1105" s="27"/>
      <c r="AA1105" s="27"/>
      <c r="AF1105" s="27"/>
      <c r="AG1105" s="27"/>
      <c r="AH1105" s="27"/>
      <c r="AI1105" s="27"/>
      <c r="AJ1105" s="27"/>
      <c r="AK1105" s="27"/>
      <c r="AL1105" s="27"/>
      <c r="AM1105" s="27"/>
      <c r="AN1105" s="27"/>
      <c r="AO1105" s="27"/>
      <c r="AP1105" s="27"/>
      <c r="AQ1105" s="27"/>
      <c r="AR1105" s="27"/>
      <c r="AS1105" s="27"/>
      <c r="AT1105" s="27"/>
      <c r="AU1105" s="27"/>
    </row>
    <row r="1106" spans="1:47" ht="15.75" customHeight="1">
      <c r="A1106" s="44">
        <v>44901</v>
      </c>
      <c r="B1106" s="57" t="s">
        <v>1960</v>
      </c>
      <c r="C1106" s="33" t="s">
        <v>48</v>
      </c>
      <c r="D1106" s="33" t="s">
        <v>1028</v>
      </c>
      <c r="E1106" s="90">
        <v>156195.12</v>
      </c>
      <c r="F1106" s="33" t="s">
        <v>1961</v>
      </c>
      <c r="G1106" s="33" t="s">
        <v>904</v>
      </c>
      <c r="H1106" s="33" t="s">
        <v>86</v>
      </c>
      <c r="I1106" s="33" t="s">
        <v>849</v>
      </c>
      <c r="J1106" s="44">
        <v>44186</v>
      </c>
      <c r="K1106" s="33" t="s">
        <v>1122</v>
      </c>
      <c r="L1106" s="27"/>
      <c r="M1106" s="27"/>
      <c r="N1106" s="27"/>
      <c r="O1106" s="27"/>
      <c r="P1106" s="27"/>
      <c r="Q1106" s="27"/>
      <c r="R1106" s="27"/>
      <c r="S1106" s="27"/>
      <c r="T1106" s="27"/>
      <c r="U1106" s="27"/>
      <c r="V1106" s="27"/>
      <c r="W1106" s="27"/>
      <c r="X1106" s="27"/>
      <c r="Y1106" s="27"/>
      <c r="Z1106" s="27"/>
      <c r="AA1106" s="27"/>
      <c r="AF1106" s="27"/>
      <c r="AG1106" s="27"/>
      <c r="AH1106" s="27"/>
      <c r="AI1106" s="27"/>
      <c r="AJ1106" s="27"/>
      <c r="AK1106" s="27"/>
      <c r="AL1106" s="27"/>
      <c r="AM1106" s="27"/>
      <c r="AN1106" s="27"/>
      <c r="AO1106" s="27"/>
      <c r="AP1106" s="27"/>
      <c r="AQ1106" s="27"/>
      <c r="AR1106" s="27"/>
      <c r="AS1106" s="27"/>
      <c r="AT1106" s="27"/>
      <c r="AU1106" s="27"/>
    </row>
    <row r="1107" spans="1:47" ht="15.75" customHeight="1">
      <c r="A1107" s="44">
        <v>44896</v>
      </c>
      <c r="B1107" s="57" t="s">
        <v>1580</v>
      </c>
      <c r="C1107" s="33" t="s">
        <v>48</v>
      </c>
      <c r="D1107" s="33" t="s">
        <v>1028</v>
      </c>
      <c r="E1107" s="90">
        <v>244812.62</v>
      </c>
      <c r="F1107" s="33" t="s">
        <v>1581</v>
      </c>
      <c r="G1107" s="33" t="s">
        <v>904</v>
      </c>
      <c r="H1107" s="33" t="s">
        <v>1299</v>
      </c>
      <c r="I1107" s="33" t="s">
        <v>1966</v>
      </c>
      <c r="J1107" s="44">
        <v>44340</v>
      </c>
      <c r="K1107" s="33" t="s">
        <v>1030</v>
      </c>
      <c r="L1107" s="27"/>
      <c r="M1107" s="27"/>
      <c r="N1107" s="27"/>
      <c r="O1107" s="27"/>
      <c r="P1107" s="27"/>
      <c r="Q1107" s="27"/>
      <c r="R1107" s="27"/>
      <c r="S1107" s="27"/>
      <c r="T1107" s="27"/>
      <c r="U1107" s="27"/>
      <c r="V1107" s="27"/>
      <c r="W1107" s="27"/>
      <c r="X1107" s="27"/>
      <c r="Y1107" s="27"/>
      <c r="Z1107" s="27"/>
      <c r="AA1107" s="27"/>
      <c r="AF1107" s="27"/>
      <c r="AG1107" s="27"/>
      <c r="AH1107" s="27"/>
      <c r="AI1107" s="27"/>
      <c r="AJ1107" s="27"/>
      <c r="AK1107" s="27"/>
      <c r="AL1107" s="27"/>
      <c r="AM1107" s="27"/>
      <c r="AN1107" s="27"/>
      <c r="AO1107" s="27"/>
      <c r="AP1107" s="27"/>
      <c r="AQ1107" s="27"/>
      <c r="AR1107" s="27"/>
      <c r="AS1107" s="27"/>
      <c r="AT1107" s="27"/>
      <c r="AU1107" s="27"/>
    </row>
    <row r="1108" spans="1:47" ht="15.75" customHeight="1">
      <c r="A1108" s="44">
        <v>44543</v>
      </c>
      <c r="B1108" s="57" t="s">
        <v>1972</v>
      </c>
      <c r="C1108" s="33" t="s">
        <v>48</v>
      </c>
      <c r="D1108" s="33" t="s">
        <v>1037</v>
      </c>
      <c r="E1108" s="90">
        <v>5000</v>
      </c>
      <c r="F1108" s="33" t="s">
        <v>1973</v>
      </c>
      <c r="G1108" s="33" t="s">
        <v>904</v>
      </c>
      <c r="H1108" s="33" t="s">
        <v>86</v>
      </c>
      <c r="I1108" s="33" t="s">
        <v>853</v>
      </c>
      <c r="J1108" s="44">
        <v>44421</v>
      </c>
      <c r="K1108" s="33" t="s">
        <v>1030</v>
      </c>
      <c r="L1108" s="27"/>
      <c r="M1108" s="27"/>
      <c r="N1108" s="27"/>
      <c r="O1108" s="27"/>
      <c r="P1108" s="27"/>
      <c r="Q1108" s="27"/>
      <c r="R1108" s="27"/>
      <c r="S1108" s="27"/>
      <c r="T1108" s="27"/>
      <c r="U1108" s="27"/>
      <c r="V1108" s="27"/>
      <c r="W1108" s="27"/>
      <c r="X1108" s="27"/>
      <c r="Y1108" s="27"/>
      <c r="Z1108" s="27"/>
      <c r="AA1108" s="27"/>
      <c r="AF1108" s="27"/>
      <c r="AG1108" s="27"/>
      <c r="AH1108" s="27"/>
      <c r="AI1108" s="27"/>
      <c r="AJ1108" s="27"/>
      <c r="AK1108" s="27"/>
      <c r="AL1108" s="27"/>
      <c r="AM1108" s="27"/>
      <c r="AN1108" s="27"/>
      <c r="AO1108" s="27"/>
      <c r="AP1108" s="27"/>
      <c r="AQ1108" s="27"/>
      <c r="AR1108" s="27"/>
      <c r="AS1108" s="27"/>
      <c r="AT1108" s="27"/>
      <c r="AU1108" s="27"/>
    </row>
    <row r="1109" spans="1:47" ht="15.75" customHeight="1">
      <c r="A1109" s="44">
        <v>44908</v>
      </c>
      <c r="B1109" s="57" t="s">
        <v>1974</v>
      </c>
      <c r="C1109" s="33" t="s">
        <v>48</v>
      </c>
      <c r="D1109" s="33" t="s">
        <v>1037</v>
      </c>
      <c r="E1109" s="90">
        <v>25000</v>
      </c>
      <c r="F1109" s="33" t="s">
        <v>1975</v>
      </c>
      <c r="G1109" s="33" t="s">
        <v>835</v>
      </c>
      <c r="H1109" s="33" t="s">
        <v>1299</v>
      </c>
      <c r="I1109" s="33" t="s">
        <v>1002</v>
      </c>
      <c r="J1109" s="44">
        <v>44655</v>
      </c>
      <c r="K1109" s="33" t="s">
        <v>1179</v>
      </c>
      <c r="L1109" s="27"/>
      <c r="M1109" s="27"/>
      <c r="N1109" s="27"/>
      <c r="O1109" s="27"/>
      <c r="P1109" s="27"/>
      <c r="Q1109" s="27"/>
      <c r="R1109" s="27"/>
      <c r="S1109" s="27"/>
      <c r="T1109" s="27"/>
      <c r="U1109" s="27"/>
      <c r="V1109" s="27"/>
      <c r="W1109" s="27"/>
      <c r="X1109" s="27"/>
      <c r="Y1109" s="27"/>
      <c r="Z1109" s="27"/>
      <c r="AA1109" s="27"/>
      <c r="AF1109" s="27"/>
      <c r="AG1109" s="27"/>
      <c r="AH1109" s="27"/>
      <c r="AI1109" s="27"/>
      <c r="AJ1109" s="27"/>
      <c r="AK1109" s="27"/>
      <c r="AL1109" s="27"/>
      <c r="AM1109" s="27"/>
      <c r="AN1109" s="27"/>
      <c r="AO1109" s="27"/>
      <c r="AP1109" s="27"/>
      <c r="AQ1109" s="27"/>
      <c r="AR1109" s="27"/>
      <c r="AS1109" s="27"/>
      <c r="AT1109" s="27"/>
      <c r="AU1109" s="27"/>
    </row>
    <row r="1110" spans="1:47" ht="15.75" customHeight="1">
      <c r="A1110" s="44">
        <v>44908</v>
      </c>
      <c r="B1110" s="57" t="s">
        <v>1429</v>
      </c>
      <c r="C1110" s="33" t="s">
        <v>1027</v>
      </c>
      <c r="D1110" s="33" t="s">
        <v>1028</v>
      </c>
      <c r="E1110" s="109">
        <v>70026.759999999995</v>
      </c>
      <c r="F1110" s="35" t="s">
        <v>1430</v>
      </c>
      <c r="G1110" s="33" t="s">
        <v>835</v>
      </c>
      <c r="H1110" s="33" t="s">
        <v>1176</v>
      </c>
      <c r="I1110" s="33" t="s">
        <v>975</v>
      </c>
      <c r="J1110" s="43">
        <v>44267</v>
      </c>
      <c r="K1110" s="33" t="s">
        <v>1041</v>
      </c>
      <c r="L1110" s="27"/>
      <c r="M1110" s="27"/>
      <c r="N1110" s="27"/>
      <c r="O1110" s="27"/>
      <c r="P1110" s="27"/>
      <c r="Q1110" s="27"/>
      <c r="R1110" s="27"/>
      <c r="S1110" s="27"/>
      <c r="T1110" s="27"/>
      <c r="U1110" s="27"/>
      <c r="V1110" s="27"/>
      <c r="W1110" s="27"/>
      <c r="X1110" s="27"/>
      <c r="Y1110" s="27"/>
      <c r="Z1110" s="27"/>
      <c r="AA1110" s="27"/>
      <c r="AF1110" s="27"/>
      <c r="AG1110" s="27"/>
      <c r="AH1110" s="27"/>
      <c r="AI1110" s="27"/>
      <c r="AJ1110" s="27"/>
      <c r="AK1110" s="27"/>
      <c r="AL1110" s="27"/>
      <c r="AM1110" s="27"/>
      <c r="AN1110" s="27"/>
      <c r="AO1110" s="27"/>
      <c r="AP1110" s="27"/>
      <c r="AQ1110" s="27"/>
      <c r="AR1110" s="27"/>
      <c r="AS1110" s="27"/>
      <c r="AT1110" s="27"/>
      <c r="AU1110" s="27"/>
    </row>
    <row r="1111" spans="1:47" ht="15.75" customHeight="1">
      <c r="A1111" s="44">
        <v>44908</v>
      </c>
      <c r="B1111" s="57" t="s">
        <v>648</v>
      </c>
      <c r="C1111" s="33" t="s">
        <v>1027</v>
      </c>
      <c r="D1111" s="33" t="s">
        <v>1028</v>
      </c>
      <c r="E1111" s="90">
        <v>0</v>
      </c>
      <c r="F1111" s="10" t="s">
        <v>1430</v>
      </c>
      <c r="G1111" s="33" t="s">
        <v>835</v>
      </c>
      <c r="H1111" s="33" t="s">
        <v>1176</v>
      </c>
      <c r="I1111" s="33" t="s">
        <v>975</v>
      </c>
      <c r="J1111" s="33" t="s">
        <v>648</v>
      </c>
      <c r="K1111" s="33" t="s">
        <v>1914</v>
      </c>
      <c r="L1111" s="27"/>
      <c r="M1111" s="27"/>
      <c r="N1111" s="27"/>
      <c r="O1111" s="27"/>
      <c r="P1111" s="27"/>
      <c r="Q1111" s="27"/>
      <c r="R1111" s="27"/>
      <c r="S1111" s="27"/>
      <c r="T1111" s="27"/>
      <c r="U1111" s="27"/>
      <c r="V1111" s="27"/>
      <c r="W1111" s="27"/>
      <c r="X1111" s="27"/>
      <c r="Y1111" s="27"/>
      <c r="Z1111" s="27"/>
      <c r="AA1111" s="27"/>
      <c r="AF1111" s="27"/>
      <c r="AG1111" s="27"/>
      <c r="AH1111" s="27"/>
      <c r="AI1111" s="27"/>
      <c r="AJ1111" s="27"/>
      <c r="AK1111" s="27"/>
      <c r="AL1111" s="27"/>
      <c r="AM1111" s="27"/>
      <c r="AN1111" s="27"/>
      <c r="AO1111" s="27"/>
      <c r="AP1111" s="27"/>
      <c r="AQ1111" s="27"/>
      <c r="AR1111" s="27"/>
      <c r="AS1111" s="27"/>
      <c r="AT1111" s="27"/>
      <c r="AU1111" s="27"/>
    </row>
    <row r="1112" spans="1:47" ht="15.75" customHeight="1">
      <c r="A1112" s="44">
        <v>44907</v>
      </c>
      <c r="B1112" s="57" t="s">
        <v>1976</v>
      </c>
      <c r="C1112" s="33" t="s">
        <v>1027</v>
      </c>
      <c r="D1112" s="33" t="s">
        <v>1028</v>
      </c>
      <c r="E1112" s="90" t="s">
        <v>1977</v>
      </c>
      <c r="F1112" s="33" t="s">
        <v>1978</v>
      </c>
      <c r="G1112" s="33" t="s">
        <v>835</v>
      </c>
      <c r="H1112" s="33" t="s">
        <v>1176</v>
      </c>
      <c r="I1112" s="33" t="s">
        <v>975</v>
      </c>
      <c r="J1112" s="44">
        <v>44733</v>
      </c>
      <c r="K1112" s="33" t="s">
        <v>1179</v>
      </c>
      <c r="L1112" s="27"/>
      <c r="M1112" s="27"/>
      <c r="N1112" s="27"/>
      <c r="O1112" s="27"/>
      <c r="P1112" s="27"/>
      <c r="Q1112" s="27"/>
      <c r="R1112" s="27"/>
      <c r="S1112" s="27"/>
      <c r="T1112" s="27"/>
      <c r="U1112" s="27"/>
      <c r="V1112" s="27"/>
      <c r="W1112" s="27"/>
      <c r="X1112" s="27"/>
      <c r="Y1112" s="27"/>
      <c r="Z1112" s="27"/>
      <c r="AA1112" s="27"/>
      <c r="AF1112" s="27"/>
      <c r="AG1112" s="27"/>
      <c r="AH1112" s="27"/>
      <c r="AI1112" s="27"/>
      <c r="AJ1112" s="27"/>
      <c r="AK1112" s="27"/>
      <c r="AL1112" s="27"/>
      <c r="AM1112" s="27"/>
      <c r="AN1112" s="27"/>
      <c r="AO1112" s="27"/>
      <c r="AP1112" s="27"/>
      <c r="AQ1112" s="27"/>
      <c r="AR1112" s="27"/>
      <c r="AS1112" s="27"/>
      <c r="AT1112" s="27"/>
      <c r="AU1112" s="27"/>
    </row>
    <row r="1113" spans="1:47" ht="15.75" customHeight="1">
      <c r="A1113" s="44">
        <v>44890</v>
      </c>
      <c r="B1113" s="57" t="s">
        <v>1824</v>
      </c>
      <c r="C1113" s="33" t="s">
        <v>48</v>
      </c>
      <c r="D1113" s="33" t="s">
        <v>1028</v>
      </c>
      <c r="E1113" s="90">
        <v>251143.6</v>
      </c>
      <c r="F1113" s="33" t="s">
        <v>1825</v>
      </c>
      <c r="G1113" s="33" t="s">
        <v>835</v>
      </c>
      <c r="H1113" s="33" t="s">
        <v>1299</v>
      </c>
      <c r="I1113" s="33" t="s">
        <v>886</v>
      </c>
      <c r="J1113" s="44"/>
      <c r="K1113" s="44"/>
      <c r="L1113" s="27"/>
      <c r="M1113" s="27"/>
      <c r="N1113" s="27"/>
      <c r="O1113" s="27"/>
      <c r="P1113" s="27"/>
      <c r="Q1113" s="27"/>
      <c r="R1113" s="27"/>
      <c r="S1113" s="27"/>
      <c r="T1113" s="27"/>
      <c r="U1113" s="27"/>
      <c r="V1113" s="27"/>
      <c r="W1113" s="27"/>
      <c r="X1113" s="27"/>
      <c r="Y1113" s="27"/>
      <c r="Z1113" s="27"/>
      <c r="AA1113" s="27"/>
      <c r="AF1113" s="27"/>
      <c r="AG1113" s="27"/>
      <c r="AH1113" s="27"/>
      <c r="AI1113" s="27"/>
      <c r="AJ1113" s="27"/>
      <c r="AK1113" s="27"/>
      <c r="AL1113" s="27"/>
      <c r="AM1113" s="27"/>
      <c r="AN1113" s="27"/>
      <c r="AO1113" s="27"/>
      <c r="AP1113" s="27"/>
      <c r="AQ1113" s="27"/>
      <c r="AR1113" s="27"/>
      <c r="AS1113" s="27"/>
      <c r="AT1113" s="27"/>
      <c r="AU1113" s="27"/>
    </row>
    <row r="1114" spans="1:47" ht="15.75" customHeight="1">
      <c r="A1114" s="45">
        <v>44909</v>
      </c>
      <c r="B1114" s="38" t="s">
        <v>1671</v>
      </c>
      <c r="C1114" s="10" t="s">
        <v>48</v>
      </c>
      <c r="D1114" s="46" t="s">
        <v>1037</v>
      </c>
      <c r="E1114" s="47">
        <v>10000</v>
      </c>
      <c r="F1114" s="46" t="s">
        <v>1672</v>
      </c>
      <c r="G1114" s="46" t="s">
        <v>835</v>
      </c>
      <c r="H1114" s="46" t="s">
        <v>1299</v>
      </c>
      <c r="I1114" s="46" t="s">
        <v>1002</v>
      </c>
      <c r="J1114" s="45">
        <v>44609</v>
      </c>
      <c r="K1114" s="10" t="s">
        <v>1054</v>
      </c>
      <c r="L1114" s="27"/>
      <c r="M1114" s="27"/>
      <c r="N1114" s="27"/>
      <c r="O1114" s="27"/>
      <c r="P1114" s="27"/>
      <c r="Q1114" s="27"/>
      <c r="R1114" s="27"/>
      <c r="S1114" s="27"/>
      <c r="T1114" s="27"/>
      <c r="U1114" s="27"/>
      <c r="V1114" s="27"/>
      <c r="W1114" s="27"/>
      <c r="X1114" s="27"/>
      <c r="Y1114" s="27"/>
      <c r="Z1114" s="27"/>
      <c r="AA1114" s="27"/>
      <c r="AF1114" s="27"/>
      <c r="AG1114" s="27"/>
      <c r="AH1114" s="27"/>
      <c r="AI1114" s="27"/>
      <c r="AJ1114" s="27"/>
      <c r="AK1114" s="27"/>
      <c r="AL1114" s="27"/>
      <c r="AM1114" s="27"/>
      <c r="AN1114" s="27"/>
      <c r="AO1114" s="27"/>
      <c r="AP1114" s="27"/>
      <c r="AQ1114" s="27"/>
      <c r="AR1114" s="27"/>
      <c r="AS1114" s="27"/>
      <c r="AT1114" s="27"/>
      <c r="AU1114" s="27"/>
    </row>
    <row r="1115" spans="1:47" ht="15.75" customHeight="1">
      <c r="A1115" s="44">
        <v>44911</v>
      </c>
      <c r="B1115" s="57" t="s">
        <v>1244</v>
      </c>
      <c r="C1115" s="10" t="s">
        <v>48</v>
      </c>
      <c r="D1115" s="33" t="s">
        <v>1028</v>
      </c>
      <c r="E1115" s="90">
        <v>115969.72</v>
      </c>
      <c r="F1115" s="33" t="s">
        <v>1245</v>
      </c>
      <c r="G1115" s="33" t="s">
        <v>904</v>
      </c>
      <c r="H1115" s="33" t="s">
        <v>86</v>
      </c>
      <c r="I1115" s="33" t="s">
        <v>1979</v>
      </c>
      <c r="J1115" s="44">
        <v>44203</v>
      </c>
      <c r="K1115" s="33" t="s">
        <v>1041</v>
      </c>
      <c r="L1115" s="27"/>
      <c r="M1115" s="27"/>
      <c r="N1115" s="27"/>
      <c r="O1115" s="27"/>
      <c r="P1115" s="27"/>
      <c r="Q1115" s="27"/>
      <c r="R1115" s="27"/>
      <c r="S1115" s="27"/>
      <c r="T1115" s="27"/>
      <c r="U1115" s="27"/>
      <c r="V1115" s="27"/>
      <c r="W1115" s="27"/>
      <c r="X1115" s="27"/>
      <c r="Y1115" s="27"/>
      <c r="Z1115" s="27"/>
      <c r="AA1115" s="27"/>
      <c r="AF1115" s="27"/>
      <c r="AG1115" s="27"/>
      <c r="AH1115" s="27"/>
      <c r="AI1115" s="27"/>
      <c r="AJ1115" s="27"/>
      <c r="AK1115" s="27"/>
      <c r="AL1115" s="27"/>
      <c r="AM1115" s="27"/>
      <c r="AN1115" s="27"/>
      <c r="AO1115" s="27"/>
      <c r="AP1115" s="27"/>
      <c r="AQ1115" s="27"/>
      <c r="AR1115" s="27"/>
      <c r="AS1115" s="27"/>
      <c r="AT1115" s="27"/>
      <c r="AU1115" s="27"/>
    </row>
    <row r="1116" spans="1:47" ht="15.75" customHeight="1">
      <c r="A1116" s="44">
        <v>44911</v>
      </c>
      <c r="B1116" s="57" t="s">
        <v>1980</v>
      </c>
      <c r="C1116" s="33" t="s">
        <v>1027</v>
      </c>
      <c r="D1116" s="33" t="s">
        <v>1028</v>
      </c>
      <c r="E1116" s="109">
        <v>6543.8</v>
      </c>
      <c r="F1116" s="33" t="s">
        <v>1981</v>
      </c>
      <c r="G1116" s="33" t="s">
        <v>835</v>
      </c>
      <c r="H1116" s="33" t="s">
        <v>1176</v>
      </c>
      <c r="I1116" s="33" t="s">
        <v>973</v>
      </c>
      <c r="J1116" s="44">
        <v>44263</v>
      </c>
      <c r="K1116" s="33" t="s">
        <v>1122</v>
      </c>
      <c r="L1116" s="27"/>
      <c r="M1116" s="27"/>
      <c r="N1116" s="27"/>
      <c r="O1116" s="27"/>
      <c r="P1116" s="27"/>
      <c r="Q1116" s="27"/>
      <c r="R1116" s="27"/>
      <c r="S1116" s="27"/>
      <c r="T1116" s="27"/>
      <c r="U1116" s="27"/>
      <c r="V1116" s="27"/>
      <c r="W1116" s="27"/>
      <c r="X1116" s="27"/>
      <c r="Y1116" s="27"/>
      <c r="Z1116" s="27"/>
      <c r="AA1116" s="27"/>
      <c r="AF1116" s="27"/>
      <c r="AG1116" s="27"/>
      <c r="AH1116" s="27"/>
      <c r="AI1116" s="27"/>
      <c r="AJ1116" s="27"/>
      <c r="AK1116" s="27"/>
      <c r="AL1116" s="27"/>
      <c r="AM1116" s="27"/>
      <c r="AN1116" s="27"/>
      <c r="AO1116" s="27"/>
      <c r="AP1116" s="27"/>
      <c r="AQ1116" s="27"/>
      <c r="AR1116" s="27"/>
      <c r="AS1116" s="27"/>
      <c r="AT1116" s="27"/>
      <c r="AU1116" s="27"/>
    </row>
    <row r="1117" spans="1:47" ht="15.75" customHeight="1">
      <c r="A1117" s="44">
        <v>44914</v>
      </c>
      <c r="B1117" s="57">
        <v>6604192</v>
      </c>
      <c r="C1117" s="33" t="s">
        <v>48</v>
      </c>
      <c r="D1117" s="33" t="s">
        <v>1037</v>
      </c>
      <c r="E1117" s="109">
        <v>3700</v>
      </c>
      <c r="F1117" s="33" t="s">
        <v>1982</v>
      </c>
      <c r="G1117" s="33" t="s">
        <v>835</v>
      </c>
      <c r="H1117" s="33" t="s">
        <v>86</v>
      </c>
      <c r="I1117" s="33" t="s">
        <v>872</v>
      </c>
      <c r="J1117" s="44">
        <v>44460</v>
      </c>
      <c r="K1117" s="33" t="s">
        <v>1179</v>
      </c>
      <c r="L1117" s="27"/>
      <c r="M1117" s="27"/>
      <c r="N1117" s="27"/>
      <c r="O1117" s="27"/>
      <c r="P1117" s="27"/>
      <c r="Q1117" s="27"/>
      <c r="R1117" s="27"/>
      <c r="S1117" s="27"/>
      <c r="T1117" s="27"/>
      <c r="U1117" s="27"/>
      <c r="V1117" s="27"/>
      <c r="W1117" s="27"/>
      <c r="X1117" s="27"/>
      <c r="Y1117" s="27"/>
      <c r="Z1117" s="27"/>
      <c r="AA1117" s="27"/>
      <c r="AF1117" s="27"/>
      <c r="AG1117" s="27"/>
      <c r="AH1117" s="27"/>
      <c r="AI1117" s="27"/>
      <c r="AJ1117" s="27"/>
      <c r="AK1117" s="27"/>
      <c r="AL1117" s="27"/>
      <c r="AM1117" s="27"/>
      <c r="AN1117" s="27"/>
      <c r="AO1117" s="27"/>
      <c r="AP1117" s="27"/>
      <c r="AQ1117" s="27"/>
      <c r="AR1117" s="27"/>
      <c r="AS1117" s="27"/>
      <c r="AT1117" s="27"/>
      <c r="AU1117" s="27"/>
    </row>
    <row r="1118" spans="1:47" ht="15.75" customHeight="1">
      <c r="A1118" s="44">
        <v>44917</v>
      </c>
      <c r="B1118" s="57">
        <v>5371919</v>
      </c>
      <c r="C1118" s="33" t="s">
        <v>48</v>
      </c>
      <c r="D1118" s="33" t="s">
        <v>1037</v>
      </c>
      <c r="E1118" s="109">
        <v>250000</v>
      </c>
      <c r="F1118" s="33" t="s">
        <v>1983</v>
      </c>
      <c r="G1118" s="33" t="s">
        <v>904</v>
      </c>
      <c r="H1118" s="33" t="s">
        <v>86</v>
      </c>
      <c r="I1118" s="33" t="s">
        <v>1005</v>
      </c>
      <c r="J1118" s="44">
        <v>44714</v>
      </c>
      <c r="K1118" s="10" t="s">
        <v>1054</v>
      </c>
      <c r="L1118" s="27"/>
      <c r="M1118" s="27"/>
      <c r="N1118" s="27"/>
      <c r="O1118" s="27"/>
      <c r="P1118" s="27"/>
      <c r="Q1118" s="27"/>
      <c r="R1118" s="27"/>
      <c r="S1118" s="27"/>
      <c r="T1118" s="27"/>
      <c r="U1118" s="27"/>
      <c r="V1118" s="27"/>
      <c r="W1118" s="27"/>
      <c r="X1118" s="27"/>
      <c r="Y1118" s="27"/>
      <c r="Z1118" s="27"/>
      <c r="AA1118" s="27"/>
      <c r="AF1118" s="27"/>
      <c r="AG1118" s="27"/>
      <c r="AH1118" s="27"/>
      <c r="AI1118" s="27"/>
      <c r="AJ1118" s="27"/>
      <c r="AK1118" s="27"/>
      <c r="AL1118" s="27"/>
      <c r="AM1118" s="27"/>
      <c r="AN1118" s="27"/>
      <c r="AO1118" s="27"/>
      <c r="AP1118" s="27"/>
      <c r="AQ1118" s="27"/>
      <c r="AR1118" s="27"/>
      <c r="AS1118" s="27"/>
      <c r="AT1118" s="27"/>
      <c r="AU1118" s="27"/>
    </row>
    <row r="1119" spans="1:47" ht="15.75" customHeight="1">
      <c r="A1119" s="44">
        <v>44917</v>
      </c>
      <c r="B1119" s="57">
        <v>3730315</v>
      </c>
      <c r="C1119" s="33" t="s">
        <v>48</v>
      </c>
      <c r="D1119" s="33" t="s">
        <v>1037</v>
      </c>
      <c r="E1119" s="109">
        <v>150000</v>
      </c>
      <c r="F1119" s="33" t="s">
        <v>1984</v>
      </c>
      <c r="G1119" s="33" t="s">
        <v>904</v>
      </c>
      <c r="H1119" s="33" t="s">
        <v>86</v>
      </c>
      <c r="I1119" s="33" t="s">
        <v>1005</v>
      </c>
      <c r="J1119" s="44">
        <v>44714</v>
      </c>
      <c r="K1119" s="10" t="s">
        <v>1054</v>
      </c>
      <c r="L1119" s="27"/>
      <c r="M1119" s="27"/>
      <c r="N1119" s="27"/>
      <c r="O1119" s="27"/>
      <c r="P1119" s="27"/>
      <c r="Q1119" s="27"/>
      <c r="R1119" s="27"/>
      <c r="S1119" s="27"/>
      <c r="T1119" s="27"/>
      <c r="U1119" s="27"/>
      <c r="V1119" s="27"/>
      <c r="W1119" s="27"/>
      <c r="X1119" s="27"/>
      <c r="Y1119" s="27"/>
      <c r="Z1119" s="27"/>
      <c r="AA1119" s="27"/>
      <c r="AF1119" s="27"/>
      <c r="AG1119" s="27"/>
      <c r="AH1119" s="27"/>
      <c r="AI1119" s="27"/>
      <c r="AJ1119" s="27"/>
      <c r="AK1119" s="27"/>
      <c r="AL1119" s="27"/>
      <c r="AM1119" s="27"/>
      <c r="AN1119" s="27"/>
      <c r="AO1119" s="27"/>
      <c r="AP1119" s="27"/>
      <c r="AQ1119" s="27"/>
      <c r="AR1119" s="27"/>
      <c r="AS1119" s="27"/>
      <c r="AT1119" s="27"/>
      <c r="AU1119" s="27"/>
    </row>
    <row r="1120" spans="1:47" ht="15.75" customHeight="1">
      <c r="A1120" s="44">
        <v>44918</v>
      </c>
      <c r="B1120" s="57" t="s">
        <v>1985</v>
      </c>
      <c r="C1120" s="33" t="s">
        <v>48</v>
      </c>
      <c r="D1120" s="33" t="s">
        <v>1037</v>
      </c>
      <c r="E1120" s="90">
        <v>54000</v>
      </c>
      <c r="F1120" s="33" t="s">
        <v>1238</v>
      </c>
      <c r="G1120" s="33" t="s">
        <v>904</v>
      </c>
      <c r="H1120" s="33" t="s">
        <v>86</v>
      </c>
      <c r="I1120" s="33" t="s">
        <v>894</v>
      </c>
      <c r="J1120" s="44">
        <v>44134</v>
      </c>
      <c r="K1120" s="33" t="s">
        <v>1122</v>
      </c>
      <c r="L1120" s="27"/>
      <c r="M1120" s="27"/>
      <c r="N1120" s="27"/>
      <c r="O1120" s="27"/>
      <c r="P1120" s="27"/>
      <c r="Q1120" s="27"/>
      <c r="R1120" s="27"/>
      <c r="S1120" s="27"/>
      <c r="T1120" s="27"/>
      <c r="U1120" s="27"/>
      <c r="V1120" s="27"/>
      <c r="W1120" s="27"/>
      <c r="X1120" s="27"/>
      <c r="Y1120" s="27"/>
      <c r="Z1120" s="27"/>
      <c r="AA1120" s="27"/>
      <c r="AF1120" s="27"/>
      <c r="AG1120" s="27"/>
      <c r="AH1120" s="27"/>
      <c r="AI1120" s="27"/>
      <c r="AJ1120" s="27"/>
      <c r="AK1120" s="27"/>
      <c r="AL1120" s="27"/>
      <c r="AM1120" s="27"/>
      <c r="AN1120" s="27"/>
      <c r="AO1120" s="27"/>
      <c r="AP1120" s="27"/>
      <c r="AQ1120" s="27"/>
      <c r="AR1120" s="27"/>
      <c r="AS1120" s="27"/>
      <c r="AT1120" s="27"/>
      <c r="AU1120" s="27"/>
    </row>
    <row r="1121" spans="1:47" ht="15.75" customHeight="1">
      <c r="A1121" s="44">
        <v>44918</v>
      </c>
      <c r="B1121" s="57" t="s">
        <v>1986</v>
      </c>
      <c r="C1121" s="33" t="s">
        <v>48</v>
      </c>
      <c r="D1121" s="33" t="s">
        <v>1062</v>
      </c>
      <c r="E1121" s="90">
        <v>105535.73</v>
      </c>
      <c r="F1121" s="33" t="s">
        <v>1987</v>
      </c>
      <c r="G1121" s="33" t="s">
        <v>904</v>
      </c>
      <c r="H1121" s="33" t="s">
        <v>86</v>
      </c>
      <c r="I1121" s="33" t="s">
        <v>1004</v>
      </c>
      <c r="J1121" s="44">
        <v>44361</v>
      </c>
      <c r="K1121" s="33" t="s">
        <v>1054</v>
      </c>
      <c r="L1121" s="27"/>
      <c r="M1121" s="27"/>
      <c r="N1121" s="27"/>
      <c r="O1121" s="27"/>
      <c r="P1121" s="27"/>
      <c r="Q1121" s="27"/>
      <c r="R1121" s="27"/>
      <c r="S1121" s="27"/>
      <c r="T1121" s="27"/>
      <c r="U1121" s="27"/>
      <c r="V1121" s="27"/>
      <c r="W1121" s="27"/>
      <c r="X1121" s="27"/>
      <c r="Y1121" s="27"/>
      <c r="Z1121" s="27"/>
      <c r="AA1121" s="27"/>
      <c r="AF1121" s="27"/>
      <c r="AG1121" s="27"/>
      <c r="AH1121" s="27"/>
      <c r="AI1121" s="27"/>
      <c r="AJ1121" s="27"/>
      <c r="AK1121" s="27"/>
      <c r="AL1121" s="27"/>
      <c r="AM1121" s="27"/>
      <c r="AN1121" s="27"/>
      <c r="AO1121" s="27"/>
      <c r="AP1121" s="27"/>
      <c r="AQ1121" s="27"/>
      <c r="AR1121" s="27"/>
      <c r="AS1121" s="27"/>
      <c r="AT1121" s="27"/>
      <c r="AU1121" s="27"/>
    </row>
    <row r="1122" spans="1:47" ht="15.75" customHeight="1">
      <c r="A1122" s="44">
        <v>44918</v>
      </c>
      <c r="B1122" s="57" t="s">
        <v>1658</v>
      </c>
      <c r="C1122" s="33" t="s">
        <v>48</v>
      </c>
      <c r="D1122" s="33" t="s">
        <v>1037</v>
      </c>
      <c r="E1122" s="90">
        <v>30000</v>
      </c>
      <c r="F1122" s="33" t="s">
        <v>1659</v>
      </c>
      <c r="G1122" s="44" t="s">
        <v>835</v>
      </c>
      <c r="H1122" s="44" t="s">
        <v>86</v>
      </c>
      <c r="I1122" s="44" t="s">
        <v>1006</v>
      </c>
      <c r="J1122" s="44">
        <v>44594</v>
      </c>
      <c r="K1122" s="44" t="s">
        <v>1179</v>
      </c>
      <c r="L1122" s="27"/>
      <c r="M1122" s="27"/>
      <c r="N1122" s="27"/>
      <c r="O1122" s="27"/>
      <c r="P1122" s="27"/>
      <c r="Q1122" s="27"/>
      <c r="R1122" s="27"/>
      <c r="S1122" s="27"/>
      <c r="T1122" s="27"/>
      <c r="U1122" s="27"/>
      <c r="V1122" s="27"/>
      <c r="W1122" s="27"/>
      <c r="X1122" s="27"/>
      <c r="Y1122" s="27"/>
      <c r="Z1122" s="27"/>
      <c r="AA1122" s="27"/>
      <c r="AF1122" s="27"/>
      <c r="AG1122" s="27"/>
      <c r="AH1122" s="27"/>
      <c r="AI1122" s="27"/>
      <c r="AJ1122" s="27"/>
      <c r="AK1122" s="27"/>
      <c r="AL1122" s="27"/>
      <c r="AM1122" s="27"/>
      <c r="AN1122" s="27"/>
      <c r="AO1122" s="27"/>
      <c r="AP1122" s="27"/>
      <c r="AQ1122" s="27"/>
      <c r="AR1122" s="27"/>
      <c r="AS1122" s="27"/>
      <c r="AT1122" s="27"/>
      <c r="AU1122" s="27"/>
    </row>
    <row r="1123" spans="1:47" ht="15.75" customHeight="1">
      <c r="A1123" s="44">
        <v>44921</v>
      </c>
      <c r="B1123" s="57" t="s">
        <v>1846</v>
      </c>
      <c r="C1123" s="33" t="s">
        <v>48</v>
      </c>
      <c r="D1123" s="33" t="s">
        <v>1037</v>
      </c>
      <c r="E1123" s="90">
        <v>11000</v>
      </c>
      <c r="F1123" s="33" t="s">
        <v>1847</v>
      </c>
      <c r="G1123" s="33" t="s">
        <v>835</v>
      </c>
      <c r="H1123" s="33" t="s">
        <v>86</v>
      </c>
      <c r="I1123" s="33" t="s">
        <v>920</v>
      </c>
      <c r="J1123" s="44">
        <v>44393</v>
      </c>
      <c r="K1123" s="33" t="s">
        <v>1122</v>
      </c>
      <c r="L1123" s="27"/>
      <c r="M1123" s="27"/>
      <c r="N1123" s="27"/>
      <c r="O1123" s="27"/>
      <c r="P1123" s="27"/>
      <c r="Q1123" s="27"/>
      <c r="R1123" s="27"/>
      <c r="S1123" s="27"/>
      <c r="T1123" s="27"/>
      <c r="U1123" s="27"/>
      <c r="V1123" s="27"/>
      <c r="W1123" s="27"/>
      <c r="X1123" s="27"/>
      <c r="Y1123" s="27"/>
      <c r="Z1123" s="27"/>
      <c r="AA1123" s="27"/>
      <c r="AF1123" s="27"/>
      <c r="AG1123" s="27"/>
      <c r="AH1123" s="27"/>
      <c r="AI1123" s="27"/>
      <c r="AJ1123" s="27"/>
      <c r="AK1123" s="27"/>
      <c r="AL1123" s="27"/>
      <c r="AM1123" s="27"/>
      <c r="AN1123" s="27"/>
      <c r="AO1123" s="27"/>
      <c r="AP1123" s="27"/>
      <c r="AQ1123" s="27"/>
      <c r="AR1123" s="27"/>
      <c r="AS1123" s="27"/>
      <c r="AT1123" s="27"/>
      <c r="AU1123" s="27"/>
    </row>
    <row r="1124" spans="1:47" ht="15.75" customHeight="1">
      <c r="A1124" s="44">
        <v>44921</v>
      </c>
      <c r="B1124" s="57" t="s">
        <v>1988</v>
      </c>
      <c r="C1124" s="33" t="s">
        <v>48</v>
      </c>
      <c r="D1124" s="33" t="s">
        <v>1037</v>
      </c>
      <c r="E1124" s="90">
        <v>12000</v>
      </c>
      <c r="F1124" s="33" t="s">
        <v>1989</v>
      </c>
      <c r="G1124" s="33" t="s">
        <v>835</v>
      </c>
      <c r="H1124" s="33" t="s">
        <v>86</v>
      </c>
      <c r="I1124" s="33" t="s">
        <v>1017</v>
      </c>
      <c r="J1124" s="44">
        <v>44076</v>
      </c>
      <c r="K1124" s="33" t="s">
        <v>1054</v>
      </c>
      <c r="L1124" s="27"/>
      <c r="M1124" s="27"/>
      <c r="N1124" s="27"/>
      <c r="O1124" s="27"/>
      <c r="P1124" s="27"/>
      <c r="Q1124" s="27"/>
      <c r="R1124" s="27"/>
      <c r="S1124" s="27"/>
      <c r="T1124" s="27"/>
      <c r="U1124" s="27"/>
      <c r="V1124" s="27"/>
      <c r="W1124" s="27"/>
      <c r="X1124" s="27"/>
      <c r="Y1124" s="27"/>
      <c r="Z1124" s="27"/>
      <c r="AA1124" s="27"/>
      <c r="AF1124" s="27"/>
      <c r="AG1124" s="27"/>
      <c r="AH1124" s="27"/>
      <c r="AI1124" s="27"/>
      <c r="AJ1124" s="27"/>
      <c r="AK1124" s="27"/>
      <c r="AL1124" s="27"/>
      <c r="AM1124" s="27"/>
      <c r="AN1124" s="27"/>
      <c r="AO1124" s="27"/>
      <c r="AP1124" s="27"/>
      <c r="AQ1124" s="27"/>
      <c r="AR1124" s="27"/>
      <c r="AS1124" s="27"/>
      <c r="AT1124" s="27"/>
      <c r="AU1124" s="27"/>
    </row>
    <row r="1125" spans="1:47" ht="15.75" customHeight="1">
      <c r="A1125" s="44">
        <v>44921</v>
      </c>
      <c r="B1125" s="57" t="s">
        <v>1990</v>
      </c>
      <c r="C1125" s="33" t="s">
        <v>48</v>
      </c>
      <c r="D1125" s="33" t="s">
        <v>1037</v>
      </c>
      <c r="E1125" s="90">
        <v>36019.279999999999</v>
      </c>
      <c r="F1125" s="33" t="s">
        <v>1651</v>
      </c>
      <c r="G1125" s="44" t="s">
        <v>835</v>
      </c>
      <c r="H1125" s="44" t="s">
        <v>1299</v>
      </c>
      <c r="I1125" s="44" t="s">
        <v>900</v>
      </c>
      <c r="J1125" s="44">
        <v>44511</v>
      </c>
      <c r="K1125" s="44" t="s">
        <v>1041</v>
      </c>
      <c r="L1125" s="27"/>
      <c r="M1125" s="27"/>
      <c r="N1125" s="27"/>
      <c r="O1125" s="27"/>
      <c r="P1125" s="27"/>
      <c r="Q1125" s="27"/>
      <c r="R1125" s="27"/>
      <c r="S1125" s="27"/>
      <c r="T1125" s="27"/>
      <c r="U1125" s="27"/>
      <c r="V1125" s="27"/>
      <c r="W1125" s="27"/>
      <c r="X1125" s="27"/>
      <c r="Y1125" s="27"/>
      <c r="Z1125" s="27"/>
      <c r="AA1125" s="27"/>
      <c r="AF1125" s="27"/>
      <c r="AG1125" s="27"/>
      <c r="AH1125" s="27"/>
      <c r="AI1125" s="27"/>
      <c r="AJ1125" s="27"/>
      <c r="AK1125" s="27"/>
      <c r="AL1125" s="27"/>
      <c r="AM1125" s="27"/>
      <c r="AN1125" s="27"/>
      <c r="AO1125" s="27"/>
      <c r="AP1125" s="27"/>
      <c r="AQ1125" s="27"/>
      <c r="AR1125" s="27"/>
      <c r="AS1125" s="27"/>
      <c r="AT1125" s="27"/>
      <c r="AU1125" s="27"/>
    </row>
    <row r="1126" spans="1:47" ht="15.75" customHeight="1">
      <c r="A1126" s="44">
        <v>44922</v>
      </c>
      <c r="B1126" s="57" t="s">
        <v>1821</v>
      </c>
      <c r="C1126" s="33" t="s">
        <v>48</v>
      </c>
      <c r="D1126" s="33" t="s">
        <v>1037</v>
      </c>
      <c r="E1126" s="90">
        <v>10000</v>
      </c>
      <c r="F1126" s="33" t="s">
        <v>1822</v>
      </c>
      <c r="G1126" s="46" t="s">
        <v>835</v>
      </c>
      <c r="H1126" s="46" t="s">
        <v>1299</v>
      </c>
      <c r="I1126" s="46" t="s">
        <v>963</v>
      </c>
      <c r="J1126" s="45">
        <v>44568</v>
      </c>
      <c r="K1126" s="10" t="s">
        <v>1823</v>
      </c>
      <c r="L1126" s="27"/>
      <c r="M1126" s="27"/>
      <c r="N1126" s="27"/>
      <c r="O1126" s="27"/>
      <c r="P1126" s="27"/>
      <c r="Q1126" s="27"/>
      <c r="R1126" s="27"/>
      <c r="S1126" s="27"/>
      <c r="T1126" s="27"/>
      <c r="U1126" s="27"/>
      <c r="V1126" s="27"/>
      <c r="W1126" s="27"/>
      <c r="X1126" s="27"/>
      <c r="Y1126" s="27"/>
      <c r="Z1126" s="27"/>
      <c r="AA1126" s="27"/>
      <c r="AF1126" s="27"/>
      <c r="AG1126" s="27"/>
      <c r="AH1126" s="27"/>
      <c r="AI1126" s="27"/>
      <c r="AJ1126" s="27"/>
      <c r="AK1126" s="27"/>
      <c r="AL1126" s="27"/>
      <c r="AM1126" s="27"/>
      <c r="AN1126" s="27"/>
      <c r="AO1126" s="27"/>
      <c r="AP1126" s="27"/>
      <c r="AQ1126" s="27"/>
      <c r="AR1126" s="27"/>
      <c r="AS1126" s="27"/>
      <c r="AT1126" s="27"/>
      <c r="AU1126" s="27"/>
    </row>
    <row r="1127" spans="1:47" ht="15.75" customHeight="1">
      <c r="A1127" s="44">
        <v>44922</v>
      </c>
      <c r="B1127" s="57" t="s">
        <v>1919</v>
      </c>
      <c r="C1127" s="33" t="s">
        <v>48</v>
      </c>
      <c r="D1127" s="33" t="s">
        <v>1062</v>
      </c>
      <c r="E1127" s="90">
        <v>44803.44</v>
      </c>
      <c r="F1127" s="33" t="s">
        <v>1920</v>
      </c>
      <c r="G1127" s="33" t="s">
        <v>835</v>
      </c>
      <c r="H1127" s="33" t="s">
        <v>86</v>
      </c>
      <c r="I1127" s="33" t="s">
        <v>990</v>
      </c>
      <c r="J1127" s="110">
        <v>44652</v>
      </c>
      <c r="K1127" s="33" t="s">
        <v>1179</v>
      </c>
      <c r="L1127" s="27"/>
      <c r="M1127" s="27"/>
      <c r="N1127" s="27"/>
      <c r="O1127" s="27"/>
      <c r="P1127" s="27"/>
      <c r="Q1127" s="27"/>
      <c r="R1127" s="27"/>
      <c r="S1127" s="27"/>
      <c r="T1127" s="27"/>
      <c r="U1127" s="27"/>
      <c r="V1127" s="27"/>
      <c r="W1127" s="27"/>
      <c r="X1127" s="27"/>
      <c r="Y1127" s="27"/>
      <c r="Z1127" s="27"/>
      <c r="AA1127" s="27"/>
      <c r="AF1127" s="27"/>
      <c r="AG1127" s="27"/>
      <c r="AH1127" s="27"/>
      <c r="AI1127" s="27"/>
      <c r="AJ1127" s="27"/>
      <c r="AK1127" s="27"/>
      <c r="AL1127" s="27"/>
      <c r="AM1127" s="27"/>
      <c r="AN1127" s="27"/>
      <c r="AO1127" s="27"/>
      <c r="AP1127" s="27"/>
      <c r="AQ1127" s="27"/>
      <c r="AR1127" s="27"/>
      <c r="AS1127" s="27"/>
      <c r="AT1127" s="27"/>
      <c r="AU1127" s="27"/>
    </row>
    <row r="1128" spans="1:47" ht="15.75" customHeight="1">
      <c r="A1128" s="44">
        <v>44922</v>
      </c>
      <c r="B1128" s="57" t="s">
        <v>1582</v>
      </c>
      <c r="C1128" s="33" t="s">
        <v>48</v>
      </c>
      <c r="D1128" s="33" t="s">
        <v>1062</v>
      </c>
      <c r="E1128" s="90">
        <v>25323.14</v>
      </c>
      <c r="F1128" s="33" t="s">
        <v>1991</v>
      </c>
      <c r="G1128" s="33" t="s">
        <v>835</v>
      </c>
      <c r="H1128" s="33" t="s">
        <v>86</v>
      </c>
      <c r="I1128" s="33" t="s">
        <v>920</v>
      </c>
      <c r="J1128" s="44">
        <v>44399</v>
      </c>
      <c r="K1128" s="33" t="s">
        <v>1041</v>
      </c>
      <c r="L1128" s="27"/>
      <c r="M1128" s="27"/>
      <c r="N1128" s="27"/>
      <c r="O1128" s="27"/>
      <c r="P1128" s="27"/>
      <c r="Q1128" s="27"/>
      <c r="R1128" s="27"/>
      <c r="S1128" s="27"/>
      <c r="T1128" s="27"/>
      <c r="U1128" s="27"/>
      <c r="V1128" s="27"/>
      <c r="W1128" s="27"/>
      <c r="X1128" s="27"/>
      <c r="Y1128" s="27"/>
      <c r="Z1128" s="27"/>
      <c r="AA1128" s="27"/>
      <c r="AF1128" s="27"/>
      <c r="AG1128" s="27"/>
      <c r="AH1128" s="27"/>
      <c r="AI1128" s="27"/>
      <c r="AJ1128" s="27"/>
      <c r="AK1128" s="27"/>
      <c r="AL1128" s="27"/>
      <c r="AM1128" s="27"/>
      <c r="AN1128" s="27"/>
      <c r="AO1128" s="27"/>
      <c r="AP1128" s="27"/>
      <c r="AQ1128" s="27"/>
      <c r="AR1128" s="27"/>
      <c r="AS1128" s="27"/>
      <c r="AT1128" s="27"/>
      <c r="AU1128" s="27"/>
    </row>
    <row r="1129" spans="1:47" ht="15.75" customHeight="1">
      <c r="A1129" s="44">
        <v>44930</v>
      </c>
      <c r="B1129" s="57" t="s">
        <v>1950</v>
      </c>
      <c r="C1129" s="33" t="s">
        <v>48</v>
      </c>
      <c r="D1129" s="33" t="s">
        <v>1037</v>
      </c>
      <c r="E1129" s="90">
        <v>5000</v>
      </c>
      <c r="F1129" s="33" t="s">
        <v>1951</v>
      </c>
      <c r="G1129" s="33" t="s">
        <v>835</v>
      </c>
      <c r="H1129" s="33" t="s">
        <v>1299</v>
      </c>
      <c r="I1129" s="33" t="s">
        <v>963</v>
      </c>
      <c r="J1129" s="45">
        <v>44767</v>
      </c>
      <c r="K1129" s="45" t="s">
        <v>1179</v>
      </c>
      <c r="L1129" s="27"/>
      <c r="M1129" s="27"/>
      <c r="N1129" s="27"/>
      <c r="O1129" s="27"/>
      <c r="P1129" s="27"/>
      <c r="Q1129" s="27"/>
      <c r="R1129" s="27"/>
      <c r="S1129" s="27"/>
      <c r="T1129" s="27"/>
      <c r="U1129" s="27"/>
      <c r="V1129" s="27"/>
      <c r="W1129" s="27"/>
      <c r="X1129" s="27"/>
      <c r="Y1129" s="27"/>
      <c r="Z1129" s="27"/>
      <c r="AA1129" s="27"/>
      <c r="AF1129" s="27"/>
      <c r="AG1129" s="27"/>
      <c r="AH1129" s="27"/>
      <c r="AI1129" s="27"/>
      <c r="AJ1129" s="27"/>
      <c r="AK1129" s="27"/>
      <c r="AL1129" s="27"/>
      <c r="AM1129" s="27"/>
      <c r="AN1129" s="27"/>
      <c r="AO1129" s="27"/>
      <c r="AP1129" s="27"/>
      <c r="AQ1129" s="27"/>
      <c r="AR1129" s="27"/>
      <c r="AS1129" s="27"/>
      <c r="AT1129" s="27"/>
      <c r="AU1129" s="27"/>
    </row>
    <row r="1130" spans="1:47" ht="15.75" customHeight="1">
      <c r="A1130" s="44">
        <v>44930</v>
      </c>
      <c r="B1130" s="57" t="s">
        <v>1197</v>
      </c>
      <c r="C1130" s="33" t="s">
        <v>48</v>
      </c>
      <c r="D1130" s="33" t="s">
        <v>1028</v>
      </c>
      <c r="E1130" s="90">
        <v>47562.04</v>
      </c>
      <c r="F1130" s="33" t="s">
        <v>1992</v>
      </c>
      <c r="G1130" s="33" t="s">
        <v>835</v>
      </c>
      <c r="H1130" s="33" t="s">
        <v>86</v>
      </c>
      <c r="I1130" s="33" t="s">
        <v>990</v>
      </c>
      <c r="J1130" s="44">
        <v>44089</v>
      </c>
      <c r="K1130" s="33" t="s">
        <v>1179</v>
      </c>
      <c r="L1130" s="27"/>
      <c r="M1130" s="27"/>
      <c r="N1130" s="27"/>
      <c r="O1130" s="27"/>
      <c r="P1130" s="27"/>
      <c r="Q1130" s="27"/>
      <c r="R1130" s="27"/>
      <c r="S1130" s="27"/>
      <c r="T1130" s="27"/>
      <c r="U1130" s="27"/>
      <c r="V1130" s="27"/>
      <c r="W1130" s="27"/>
      <c r="X1130" s="27"/>
      <c r="Y1130" s="27"/>
      <c r="Z1130" s="27"/>
      <c r="AA1130" s="27"/>
      <c r="AF1130" s="27"/>
      <c r="AG1130" s="27"/>
      <c r="AH1130" s="27"/>
      <c r="AI1130" s="27"/>
      <c r="AJ1130" s="27"/>
      <c r="AK1130" s="27"/>
      <c r="AL1130" s="27"/>
      <c r="AM1130" s="27"/>
      <c r="AN1130" s="27"/>
      <c r="AO1130" s="27"/>
      <c r="AP1130" s="27"/>
      <c r="AQ1130" s="27"/>
      <c r="AR1130" s="27"/>
      <c r="AS1130" s="27"/>
      <c r="AT1130" s="27"/>
      <c r="AU1130" s="27"/>
    </row>
    <row r="1131" spans="1:47" ht="15.75" customHeight="1">
      <c r="A1131" s="44">
        <v>44932</v>
      </c>
      <c r="B1131" s="57" t="s">
        <v>1993</v>
      </c>
      <c r="C1131" s="33" t="s">
        <v>48</v>
      </c>
      <c r="D1131" s="33" t="s">
        <v>1037</v>
      </c>
      <c r="E1131" s="90">
        <v>39735.11</v>
      </c>
      <c r="F1131" s="46" t="s">
        <v>1706</v>
      </c>
      <c r="G1131" s="46" t="s">
        <v>835</v>
      </c>
      <c r="H1131" s="46" t="s">
        <v>1299</v>
      </c>
      <c r="I1131" s="46" t="s">
        <v>1002</v>
      </c>
      <c r="J1131" s="45">
        <v>44645</v>
      </c>
      <c r="K1131" s="10" t="s">
        <v>1041</v>
      </c>
      <c r="L1131" s="27"/>
      <c r="M1131" s="27"/>
      <c r="N1131" s="27"/>
      <c r="O1131" s="27"/>
      <c r="P1131" s="27"/>
      <c r="Q1131" s="27"/>
      <c r="R1131" s="27"/>
      <c r="S1131" s="27"/>
      <c r="T1131" s="27"/>
      <c r="U1131" s="27"/>
      <c r="V1131" s="27"/>
      <c r="W1131" s="27"/>
      <c r="X1131" s="27"/>
      <c r="Y1131" s="27"/>
      <c r="Z1131" s="27"/>
      <c r="AA1131" s="27"/>
      <c r="AF1131" s="27"/>
      <c r="AG1131" s="27"/>
      <c r="AH1131" s="27"/>
      <c r="AI1131" s="27"/>
      <c r="AJ1131" s="27"/>
      <c r="AK1131" s="27"/>
      <c r="AL1131" s="27"/>
      <c r="AM1131" s="27"/>
      <c r="AN1131" s="27"/>
      <c r="AO1131" s="27"/>
      <c r="AP1131" s="27"/>
      <c r="AQ1131" s="27"/>
      <c r="AR1131" s="27"/>
      <c r="AS1131" s="27"/>
      <c r="AT1131" s="27"/>
      <c r="AU1131" s="27"/>
    </row>
    <row r="1132" spans="1:47" ht="15.75" customHeight="1">
      <c r="A1132" s="44">
        <v>44565</v>
      </c>
      <c r="B1132" s="57" t="s">
        <v>1846</v>
      </c>
      <c r="C1132" s="33" t="s">
        <v>48</v>
      </c>
      <c r="D1132" s="33" t="s">
        <v>1037</v>
      </c>
      <c r="E1132" s="90">
        <v>18000</v>
      </c>
      <c r="F1132" s="33" t="s">
        <v>1847</v>
      </c>
      <c r="G1132" s="33" t="s">
        <v>835</v>
      </c>
      <c r="H1132" s="33" t="s">
        <v>86</v>
      </c>
      <c r="I1132" s="33" t="s">
        <v>920</v>
      </c>
      <c r="J1132" s="44">
        <v>44393</v>
      </c>
      <c r="K1132" s="33" t="s">
        <v>1122</v>
      </c>
      <c r="L1132" s="27"/>
      <c r="M1132" s="27"/>
      <c r="N1132" s="27"/>
      <c r="O1132" s="27"/>
      <c r="P1132" s="27"/>
      <c r="Q1132" s="27"/>
      <c r="R1132" s="27"/>
      <c r="S1132" s="27"/>
      <c r="T1132" s="27"/>
      <c r="U1132" s="27"/>
      <c r="V1132" s="27"/>
      <c r="W1132" s="27"/>
      <c r="X1132" s="27"/>
      <c r="Y1132" s="27"/>
      <c r="Z1132" s="27"/>
      <c r="AA1132" s="27"/>
      <c r="AF1132" s="27"/>
      <c r="AG1132" s="27"/>
      <c r="AH1132" s="27"/>
      <c r="AI1132" s="27"/>
      <c r="AJ1132" s="27"/>
      <c r="AK1132" s="27"/>
      <c r="AL1132" s="27"/>
      <c r="AM1132" s="27"/>
      <c r="AN1132" s="27"/>
      <c r="AO1132" s="27"/>
      <c r="AP1132" s="27"/>
      <c r="AQ1132" s="27"/>
      <c r="AR1132" s="27"/>
      <c r="AS1132" s="27"/>
      <c r="AT1132" s="27"/>
      <c r="AU1132" s="27"/>
    </row>
    <row r="1133" spans="1:47" ht="15.75" customHeight="1">
      <c r="A1133" s="44">
        <v>44935</v>
      </c>
      <c r="B1133" s="57" t="s">
        <v>1994</v>
      </c>
      <c r="C1133" s="33" t="s">
        <v>73</v>
      </c>
      <c r="D1133" s="33" t="s">
        <v>1037</v>
      </c>
      <c r="E1133" s="90">
        <v>51409.52</v>
      </c>
      <c r="F1133" s="33" t="s">
        <v>1995</v>
      </c>
      <c r="G1133" s="33" t="s">
        <v>835</v>
      </c>
      <c r="H1133" s="33" t="s">
        <v>1299</v>
      </c>
      <c r="I1133" s="33" t="s">
        <v>870</v>
      </c>
      <c r="J1133" s="44">
        <v>44951</v>
      </c>
      <c r="K1133" s="33" t="s">
        <v>1179</v>
      </c>
      <c r="L1133" s="27"/>
      <c r="M1133" s="27"/>
      <c r="N1133" s="27"/>
      <c r="O1133" s="27"/>
      <c r="P1133" s="27"/>
      <c r="Q1133" s="27"/>
      <c r="R1133" s="27"/>
      <c r="S1133" s="27"/>
      <c r="T1133" s="27"/>
      <c r="U1133" s="27"/>
      <c r="V1133" s="27"/>
      <c r="W1133" s="27"/>
      <c r="X1133" s="27"/>
      <c r="Y1133" s="27"/>
      <c r="Z1133" s="27"/>
      <c r="AA1133" s="27"/>
      <c r="AF1133" s="27"/>
      <c r="AG1133" s="27"/>
      <c r="AH1133" s="27"/>
      <c r="AI1133" s="27"/>
      <c r="AJ1133" s="27"/>
      <c r="AK1133" s="27"/>
      <c r="AL1133" s="27"/>
      <c r="AM1133" s="27"/>
      <c r="AN1133" s="27"/>
      <c r="AO1133" s="27"/>
      <c r="AP1133" s="27"/>
      <c r="AQ1133" s="27"/>
      <c r="AR1133" s="27"/>
      <c r="AS1133" s="27"/>
      <c r="AT1133" s="27"/>
      <c r="AU1133" s="27"/>
    </row>
    <row r="1134" spans="1:47" ht="15.75" customHeight="1">
      <c r="A1134" s="44"/>
      <c r="B1134" s="57" t="s">
        <v>1996</v>
      </c>
      <c r="C1134" s="33" t="s">
        <v>73</v>
      </c>
      <c r="D1134" s="33" t="s">
        <v>1037</v>
      </c>
      <c r="E1134" s="90">
        <v>9000</v>
      </c>
      <c r="F1134" s="33" t="s">
        <v>1997</v>
      </c>
      <c r="G1134" s="33" t="s">
        <v>835</v>
      </c>
      <c r="H1134" s="33" t="s">
        <v>86</v>
      </c>
      <c r="I1134" s="33" t="s">
        <v>990</v>
      </c>
      <c r="J1134" s="44">
        <v>44888</v>
      </c>
      <c r="K1134" s="33" t="s">
        <v>1179</v>
      </c>
      <c r="L1134" s="27"/>
      <c r="M1134" s="27"/>
      <c r="N1134" s="27"/>
      <c r="O1134" s="27"/>
      <c r="P1134" s="27"/>
      <c r="Q1134" s="27"/>
      <c r="R1134" s="27"/>
      <c r="S1134" s="27"/>
      <c r="T1134" s="27"/>
      <c r="U1134" s="27"/>
      <c r="V1134" s="27"/>
      <c r="W1134" s="27"/>
      <c r="X1134" s="27"/>
      <c r="Y1134" s="27"/>
      <c r="Z1134" s="27"/>
      <c r="AA1134" s="27"/>
      <c r="AF1134" s="27"/>
      <c r="AG1134" s="27"/>
      <c r="AH1134" s="27"/>
      <c r="AI1134" s="27"/>
      <c r="AJ1134" s="27"/>
      <c r="AK1134" s="27"/>
      <c r="AL1134" s="27"/>
      <c r="AM1134" s="27"/>
      <c r="AN1134" s="27"/>
      <c r="AO1134" s="27"/>
      <c r="AP1134" s="27"/>
      <c r="AQ1134" s="27"/>
      <c r="AR1134" s="27"/>
      <c r="AS1134" s="27"/>
      <c r="AT1134" s="27"/>
      <c r="AU1134" s="27"/>
    </row>
    <row r="1135" spans="1:47" ht="15.75" customHeight="1">
      <c r="A1135" s="44">
        <v>44565</v>
      </c>
      <c r="B1135" s="57" t="s">
        <v>1846</v>
      </c>
      <c r="C1135" s="33" t="s">
        <v>48</v>
      </c>
      <c r="D1135" s="33" t="s">
        <v>1037</v>
      </c>
      <c r="E1135" s="90">
        <v>9500</v>
      </c>
      <c r="F1135" s="33" t="s">
        <v>1847</v>
      </c>
      <c r="G1135" s="33" t="s">
        <v>835</v>
      </c>
      <c r="H1135" s="33" t="s">
        <v>86</v>
      </c>
      <c r="I1135" s="33" t="s">
        <v>920</v>
      </c>
      <c r="J1135" s="44">
        <v>44393</v>
      </c>
      <c r="K1135" s="33" t="s">
        <v>1122</v>
      </c>
      <c r="L1135" s="27"/>
      <c r="M1135" s="27"/>
      <c r="N1135" s="27"/>
      <c r="O1135" s="27"/>
      <c r="P1135" s="27"/>
      <c r="Q1135" s="27"/>
      <c r="R1135" s="27"/>
      <c r="S1135" s="27"/>
      <c r="T1135" s="27"/>
      <c r="U1135" s="27"/>
      <c r="V1135" s="27"/>
      <c r="W1135" s="27"/>
      <c r="X1135" s="27"/>
      <c r="Y1135" s="27"/>
      <c r="Z1135" s="27"/>
      <c r="AA1135" s="27"/>
      <c r="AF1135" s="27"/>
      <c r="AG1135" s="27"/>
      <c r="AH1135" s="27"/>
      <c r="AI1135" s="27"/>
      <c r="AJ1135" s="27"/>
      <c r="AK1135" s="27"/>
      <c r="AL1135" s="27"/>
      <c r="AM1135" s="27"/>
      <c r="AN1135" s="27"/>
      <c r="AO1135" s="27"/>
      <c r="AP1135" s="27"/>
      <c r="AQ1135" s="27"/>
      <c r="AR1135" s="27"/>
      <c r="AS1135" s="27"/>
      <c r="AT1135" s="27"/>
      <c r="AU1135" s="27"/>
    </row>
    <row r="1136" spans="1:47" ht="15.75" customHeight="1">
      <c r="A1136" s="44">
        <v>44937</v>
      </c>
      <c r="B1136" s="57" t="s">
        <v>1120</v>
      </c>
      <c r="C1136" s="33" t="s">
        <v>1076</v>
      </c>
      <c r="D1136" s="33" t="s">
        <v>1037</v>
      </c>
      <c r="E1136" s="90">
        <v>10000</v>
      </c>
      <c r="F1136" s="33" t="s">
        <v>1998</v>
      </c>
      <c r="G1136" s="33" t="s">
        <v>835</v>
      </c>
      <c r="H1136" s="33" t="s">
        <v>86</v>
      </c>
      <c r="I1136" s="33" t="s">
        <v>920</v>
      </c>
      <c r="J1136" s="44">
        <v>43934</v>
      </c>
      <c r="K1136" s="33" t="s">
        <v>1122</v>
      </c>
      <c r="L1136" s="27"/>
      <c r="M1136" s="27"/>
      <c r="N1136" s="27"/>
      <c r="O1136" s="27"/>
      <c r="P1136" s="27"/>
      <c r="Q1136" s="27"/>
      <c r="R1136" s="27"/>
      <c r="S1136" s="27"/>
      <c r="T1136" s="27"/>
      <c r="U1136" s="27"/>
      <c r="V1136" s="27"/>
      <c r="W1136" s="27"/>
      <c r="X1136" s="27"/>
      <c r="Y1136" s="27"/>
      <c r="Z1136" s="27"/>
      <c r="AA1136" s="27"/>
      <c r="AF1136" s="27"/>
      <c r="AG1136" s="27"/>
      <c r="AH1136" s="27"/>
      <c r="AI1136" s="27"/>
      <c r="AJ1136" s="27"/>
      <c r="AK1136" s="27"/>
      <c r="AL1136" s="27"/>
      <c r="AM1136" s="27"/>
      <c r="AN1136" s="27"/>
      <c r="AO1136" s="27"/>
      <c r="AP1136" s="27"/>
      <c r="AQ1136" s="27"/>
      <c r="AR1136" s="27"/>
      <c r="AS1136" s="27"/>
      <c r="AT1136" s="27"/>
      <c r="AU1136" s="27"/>
    </row>
    <row r="1137" spans="1:47" ht="15.75" customHeight="1">
      <c r="A1137" s="44">
        <v>44935</v>
      </c>
      <c r="B1137" s="57" t="s">
        <v>1999</v>
      </c>
      <c r="C1137" s="33" t="s">
        <v>48</v>
      </c>
      <c r="D1137" s="33" t="s">
        <v>1062</v>
      </c>
      <c r="E1137" s="90" t="s">
        <v>2000</v>
      </c>
      <c r="F1137" s="62" t="s">
        <v>2001</v>
      </c>
      <c r="G1137" s="33" t="s">
        <v>835</v>
      </c>
      <c r="H1137" s="33" t="s">
        <v>1299</v>
      </c>
      <c r="I1137" s="33" t="s">
        <v>886</v>
      </c>
      <c r="J1137" s="33" t="s">
        <v>2002</v>
      </c>
      <c r="K1137" s="33" t="s">
        <v>1041</v>
      </c>
      <c r="L1137" s="27"/>
      <c r="M1137" s="27"/>
      <c r="N1137" s="27"/>
      <c r="O1137" s="27"/>
      <c r="P1137" s="27"/>
      <c r="Q1137" s="27"/>
      <c r="R1137" s="27"/>
      <c r="S1137" s="27"/>
      <c r="T1137" s="27"/>
      <c r="U1137" s="27"/>
      <c r="V1137" s="27"/>
      <c r="W1137" s="27"/>
      <c r="X1137" s="27"/>
      <c r="Y1137" s="27"/>
      <c r="Z1137" s="27"/>
      <c r="AA1137" s="27"/>
      <c r="AF1137" s="27"/>
      <c r="AG1137" s="27"/>
      <c r="AH1137" s="27"/>
      <c r="AI1137" s="27"/>
      <c r="AJ1137" s="27"/>
      <c r="AK1137" s="27"/>
      <c r="AL1137" s="27"/>
      <c r="AM1137" s="27"/>
      <c r="AN1137" s="27"/>
      <c r="AO1137" s="27"/>
      <c r="AP1137" s="27"/>
      <c r="AQ1137" s="27"/>
      <c r="AR1137" s="27"/>
      <c r="AS1137" s="27"/>
      <c r="AT1137" s="27"/>
      <c r="AU1137" s="27"/>
    </row>
    <row r="1138" spans="1:47" ht="15.75" customHeight="1">
      <c r="A1138" s="44">
        <v>44949</v>
      </c>
      <c r="B1138" s="57" t="s">
        <v>1821</v>
      </c>
      <c r="C1138" s="33" t="s">
        <v>48</v>
      </c>
      <c r="D1138" s="33" t="s">
        <v>1062</v>
      </c>
      <c r="E1138" s="90">
        <v>4119326.59</v>
      </c>
      <c r="F1138" s="33" t="s">
        <v>1822</v>
      </c>
      <c r="G1138" s="46" t="s">
        <v>835</v>
      </c>
      <c r="H1138" s="46" t="s">
        <v>1299</v>
      </c>
      <c r="I1138" s="46" t="s">
        <v>963</v>
      </c>
      <c r="J1138" s="45">
        <v>44568</v>
      </c>
      <c r="K1138" s="10" t="s">
        <v>1823</v>
      </c>
      <c r="L1138" s="27"/>
      <c r="M1138" s="27"/>
      <c r="N1138" s="27"/>
      <c r="O1138" s="27"/>
      <c r="P1138" s="27"/>
      <c r="Q1138" s="27"/>
      <c r="R1138" s="27"/>
      <c r="S1138" s="27"/>
      <c r="T1138" s="27"/>
      <c r="U1138" s="27"/>
      <c r="V1138" s="27"/>
      <c r="W1138" s="27"/>
      <c r="X1138" s="27"/>
      <c r="Y1138" s="27"/>
      <c r="Z1138" s="27"/>
      <c r="AA1138" s="27"/>
      <c r="AF1138" s="27"/>
      <c r="AG1138" s="27"/>
      <c r="AH1138" s="27"/>
      <c r="AI1138" s="27"/>
      <c r="AJ1138" s="27"/>
      <c r="AK1138" s="27"/>
      <c r="AL1138" s="27"/>
      <c r="AM1138" s="27"/>
      <c r="AN1138" s="27"/>
      <c r="AO1138" s="27"/>
      <c r="AP1138" s="27"/>
      <c r="AQ1138" s="27"/>
      <c r="AR1138" s="27"/>
      <c r="AS1138" s="27"/>
      <c r="AT1138" s="27"/>
      <c r="AU1138" s="27"/>
    </row>
    <row r="1139" spans="1:47" ht="15.75" customHeight="1">
      <c r="A1139" s="44">
        <v>44931</v>
      </c>
      <c r="B1139" s="73" t="s">
        <v>1240</v>
      </c>
      <c r="C1139" s="33" t="s">
        <v>48</v>
      </c>
      <c r="D1139" s="33" t="s">
        <v>1062</v>
      </c>
      <c r="E1139" s="90">
        <v>97046.39</v>
      </c>
      <c r="F1139" s="35" t="s">
        <v>1241</v>
      </c>
      <c r="G1139" s="33" t="s">
        <v>904</v>
      </c>
      <c r="H1139" s="33" t="s">
        <v>86</v>
      </c>
      <c r="I1139" s="33" t="s">
        <v>912</v>
      </c>
      <c r="J1139" s="44">
        <v>44180</v>
      </c>
      <c r="K1139" s="33" t="s">
        <v>1041</v>
      </c>
      <c r="L1139" s="27"/>
      <c r="M1139" s="27"/>
      <c r="N1139" s="27"/>
      <c r="O1139" s="27"/>
      <c r="P1139" s="27"/>
      <c r="Q1139" s="27"/>
      <c r="R1139" s="27"/>
      <c r="S1139" s="27"/>
      <c r="T1139" s="27"/>
      <c r="U1139" s="27"/>
      <c r="V1139" s="27"/>
      <c r="W1139" s="27"/>
      <c r="X1139" s="27"/>
      <c r="Y1139" s="27"/>
      <c r="Z1139" s="27"/>
      <c r="AA1139" s="27"/>
      <c r="AF1139" s="27"/>
      <c r="AG1139" s="27"/>
      <c r="AH1139" s="27"/>
      <c r="AI1139" s="27"/>
      <c r="AJ1139" s="27"/>
      <c r="AK1139" s="27"/>
      <c r="AL1139" s="27"/>
      <c r="AM1139" s="27"/>
      <c r="AN1139" s="27"/>
      <c r="AO1139" s="27"/>
      <c r="AP1139" s="27"/>
      <c r="AQ1139" s="27"/>
      <c r="AR1139" s="27"/>
      <c r="AS1139" s="27"/>
      <c r="AT1139" s="27"/>
      <c r="AU1139" s="27"/>
    </row>
    <row r="1140" spans="1:47" ht="15.75" customHeight="1">
      <c r="A1140" s="44">
        <v>44938</v>
      </c>
      <c r="B1140" s="57" t="s">
        <v>2003</v>
      </c>
      <c r="C1140" s="33" t="s">
        <v>73</v>
      </c>
      <c r="D1140" s="33" t="s">
        <v>1037</v>
      </c>
      <c r="E1140" s="90">
        <v>13092.93</v>
      </c>
      <c r="F1140" s="33" t="s">
        <v>2004</v>
      </c>
      <c r="G1140" s="33" t="s">
        <v>835</v>
      </c>
      <c r="H1140" s="33" t="s">
        <v>1299</v>
      </c>
      <c r="I1140" s="33" t="s">
        <v>886</v>
      </c>
      <c r="J1140" s="110">
        <v>44951</v>
      </c>
      <c r="K1140" s="33" t="s">
        <v>1179</v>
      </c>
      <c r="L1140" s="27"/>
      <c r="M1140" s="27"/>
      <c r="N1140" s="27"/>
      <c r="O1140" s="27"/>
      <c r="P1140" s="27"/>
      <c r="Q1140" s="27"/>
      <c r="R1140" s="27"/>
      <c r="S1140" s="27"/>
      <c r="T1140" s="27"/>
      <c r="U1140" s="27"/>
      <c r="V1140" s="27"/>
      <c r="W1140" s="27"/>
      <c r="X1140" s="27"/>
      <c r="Y1140" s="27"/>
      <c r="Z1140" s="27"/>
      <c r="AA1140" s="27"/>
      <c r="AF1140" s="27"/>
      <c r="AG1140" s="27"/>
      <c r="AH1140" s="27"/>
      <c r="AI1140" s="27"/>
      <c r="AJ1140" s="27"/>
      <c r="AK1140" s="27"/>
      <c r="AL1140" s="27"/>
      <c r="AM1140" s="27"/>
      <c r="AN1140" s="27"/>
      <c r="AO1140" s="27"/>
      <c r="AP1140" s="27"/>
      <c r="AQ1140" s="27"/>
      <c r="AR1140" s="27"/>
      <c r="AS1140" s="27"/>
      <c r="AT1140" s="27"/>
      <c r="AU1140" s="27"/>
    </row>
    <row r="1141" spans="1:47" ht="15.75" customHeight="1">
      <c r="A1141" s="44">
        <v>44939</v>
      </c>
      <c r="B1141" s="57" t="s">
        <v>1950</v>
      </c>
      <c r="C1141" s="33" t="s">
        <v>48</v>
      </c>
      <c r="D1141" s="33" t="s">
        <v>1037</v>
      </c>
      <c r="E1141" s="90">
        <v>1000</v>
      </c>
      <c r="F1141" s="33" t="s">
        <v>1951</v>
      </c>
      <c r="G1141" s="33" t="s">
        <v>835</v>
      </c>
      <c r="H1141" s="33" t="s">
        <v>1299</v>
      </c>
      <c r="I1141" s="33" t="s">
        <v>963</v>
      </c>
      <c r="J1141" s="110">
        <v>44767</v>
      </c>
      <c r="K1141" s="33" t="s">
        <v>1179</v>
      </c>
      <c r="L1141" s="27"/>
      <c r="M1141" s="27"/>
      <c r="N1141" s="27"/>
      <c r="O1141" s="27"/>
      <c r="P1141" s="27"/>
      <c r="Q1141" s="27"/>
      <c r="R1141" s="27"/>
      <c r="S1141" s="27"/>
      <c r="T1141" s="27"/>
      <c r="U1141" s="27"/>
      <c r="V1141" s="27"/>
      <c r="W1141" s="27"/>
      <c r="X1141" s="27"/>
      <c r="Y1141" s="27"/>
      <c r="Z1141" s="27"/>
      <c r="AA1141" s="27"/>
      <c r="AF1141" s="27"/>
      <c r="AG1141" s="27"/>
      <c r="AH1141" s="27"/>
      <c r="AI1141" s="27"/>
      <c r="AJ1141" s="27"/>
      <c r="AK1141" s="27"/>
      <c r="AL1141" s="27"/>
      <c r="AM1141" s="27"/>
      <c r="AN1141" s="27"/>
      <c r="AO1141" s="27"/>
      <c r="AP1141" s="27"/>
      <c r="AQ1141" s="27"/>
      <c r="AR1141" s="27"/>
      <c r="AS1141" s="27"/>
      <c r="AT1141" s="27"/>
      <c r="AU1141" s="27"/>
    </row>
    <row r="1142" spans="1:47" ht="15.75" customHeight="1">
      <c r="A1142" s="100"/>
      <c r="E1142" s="94"/>
      <c r="F1142" s="100"/>
      <c r="G1142" s="100"/>
      <c r="H1142" s="100"/>
      <c r="I1142" s="100"/>
      <c r="J1142" s="100"/>
      <c r="K1142" s="100"/>
      <c r="L1142" s="27"/>
      <c r="M1142" s="27"/>
      <c r="N1142" s="27"/>
      <c r="O1142" s="27"/>
      <c r="P1142" s="27"/>
      <c r="Q1142" s="27"/>
      <c r="R1142" s="27"/>
      <c r="S1142" s="27"/>
      <c r="T1142" s="27"/>
      <c r="U1142" s="27"/>
      <c r="V1142" s="27"/>
      <c r="W1142" s="27"/>
      <c r="X1142" s="27"/>
      <c r="Y1142" s="27"/>
      <c r="Z1142" s="27"/>
      <c r="AA1142" s="27"/>
      <c r="AF1142" s="27"/>
      <c r="AG1142" s="27"/>
      <c r="AH1142" s="27"/>
      <c r="AI1142" s="27"/>
      <c r="AJ1142" s="27"/>
      <c r="AK1142" s="27"/>
      <c r="AL1142" s="27"/>
      <c r="AM1142" s="27"/>
      <c r="AN1142" s="27"/>
      <c r="AO1142" s="27"/>
      <c r="AP1142" s="27"/>
      <c r="AQ1142" s="27"/>
      <c r="AR1142" s="27"/>
      <c r="AS1142" s="27"/>
      <c r="AT1142" s="27"/>
      <c r="AU1142" s="27"/>
    </row>
    <row r="1143" spans="1:47" ht="15.75" customHeight="1">
      <c r="A1143" s="100"/>
      <c r="E1143" s="94"/>
      <c r="F1143" s="100"/>
      <c r="G1143" s="100"/>
      <c r="H1143" s="100"/>
      <c r="I1143" s="100"/>
      <c r="J1143" s="100"/>
      <c r="K1143" s="100"/>
      <c r="L1143" s="27"/>
      <c r="M1143" s="27"/>
      <c r="N1143" s="27"/>
      <c r="O1143" s="27"/>
      <c r="P1143" s="27"/>
      <c r="Q1143" s="27"/>
      <c r="R1143" s="27"/>
      <c r="S1143" s="27"/>
      <c r="T1143" s="27"/>
      <c r="U1143" s="27"/>
      <c r="V1143" s="27"/>
      <c r="W1143" s="27"/>
      <c r="X1143" s="27"/>
      <c r="Y1143" s="27"/>
      <c r="Z1143" s="27"/>
      <c r="AA1143" s="27"/>
      <c r="AF1143" s="27"/>
      <c r="AG1143" s="27"/>
      <c r="AH1143" s="27"/>
      <c r="AI1143" s="27"/>
      <c r="AJ1143" s="27"/>
      <c r="AK1143" s="27"/>
      <c r="AL1143" s="27"/>
      <c r="AM1143" s="27"/>
      <c r="AN1143" s="27"/>
      <c r="AO1143" s="27"/>
      <c r="AP1143" s="27"/>
      <c r="AQ1143" s="27"/>
      <c r="AR1143" s="27"/>
      <c r="AS1143" s="27"/>
      <c r="AT1143" s="27"/>
      <c r="AU1143" s="27"/>
    </row>
    <row r="1144" spans="1:47" ht="15.75" customHeight="1">
      <c r="A1144" s="100"/>
      <c r="E1144" s="94"/>
      <c r="F1144" s="100"/>
      <c r="G1144" s="100"/>
      <c r="H1144" s="100"/>
      <c r="I1144" s="100"/>
      <c r="J1144" s="100"/>
      <c r="K1144" s="100"/>
      <c r="L1144" s="27"/>
      <c r="M1144" s="27"/>
      <c r="N1144" s="27"/>
      <c r="O1144" s="27"/>
      <c r="P1144" s="27"/>
      <c r="Q1144" s="27"/>
      <c r="R1144" s="27"/>
      <c r="S1144" s="27"/>
      <c r="T1144" s="27"/>
      <c r="U1144" s="27"/>
      <c r="V1144" s="27"/>
      <c r="W1144" s="27"/>
      <c r="X1144" s="27"/>
      <c r="Y1144" s="27"/>
      <c r="Z1144" s="27"/>
      <c r="AA1144" s="27"/>
      <c r="AF1144" s="27"/>
      <c r="AG1144" s="27"/>
      <c r="AH1144" s="27"/>
      <c r="AI1144" s="27"/>
      <c r="AJ1144" s="27"/>
      <c r="AK1144" s="27"/>
      <c r="AL1144" s="27"/>
      <c r="AM1144" s="27"/>
      <c r="AN1144" s="27"/>
      <c r="AO1144" s="27"/>
      <c r="AP1144" s="27"/>
      <c r="AQ1144" s="27"/>
      <c r="AR1144" s="27"/>
      <c r="AS1144" s="27"/>
      <c r="AT1144" s="27"/>
      <c r="AU1144" s="27"/>
    </row>
    <row r="1145" spans="1:47" ht="15.75" customHeight="1">
      <c r="A1145" s="100"/>
      <c r="E1145" s="94"/>
      <c r="F1145" s="100"/>
      <c r="G1145" s="100"/>
      <c r="H1145" s="100"/>
      <c r="I1145" s="100"/>
      <c r="J1145" s="100"/>
      <c r="K1145" s="100"/>
      <c r="L1145" s="27"/>
      <c r="M1145" s="27"/>
      <c r="N1145" s="27"/>
      <c r="O1145" s="27"/>
      <c r="P1145" s="27"/>
      <c r="Q1145" s="27"/>
      <c r="R1145" s="27"/>
      <c r="S1145" s="27"/>
      <c r="T1145" s="27"/>
      <c r="U1145" s="27"/>
      <c r="V1145" s="27"/>
      <c r="W1145" s="27"/>
      <c r="X1145" s="27"/>
      <c r="Y1145" s="27"/>
      <c r="Z1145" s="27"/>
      <c r="AA1145" s="27"/>
      <c r="AF1145" s="27"/>
      <c r="AG1145" s="27"/>
      <c r="AH1145" s="27"/>
      <c r="AI1145" s="27"/>
      <c r="AJ1145" s="27"/>
      <c r="AK1145" s="27"/>
      <c r="AL1145" s="27"/>
      <c r="AM1145" s="27"/>
      <c r="AN1145" s="27"/>
      <c r="AO1145" s="27"/>
      <c r="AP1145" s="27"/>
      <c r="AQ1145" s="27"/>
      <c r="AR1145" s="27"/>
      <c r="AS1145" s="27"/>
      <c r="AT1145" s="27"/>
      <c r="AU1145" s="27"/>
    </row>
    <row r="1146" spans="1:47" ht="15.75" customHeight="1">
      <c r="A1146" s="100"/>
      <c r="E1146" s="94"/>
      <c r="F1146" s="100"/>
      <c r="G1146" s="100"/>
      <c r="H1146" s="100"/>
      <c r="I1146" s="100"/>
      <c r="J1146" s="100"/>
      <c r="K1146" s="100"/>
      <c r="L1146" s="27"/>
      <c r="M1146" s="27"/>
      <c r="N1146" s="27"/>
      <c r="O1146" s="27"/>
      <c r="P1146" s="27"/>
      <c r="Q1146" s="27"/>
      <c r="R1146" s="27"/>
      <c r="S1146" s="27"/>
      <c r="T1146" s="27"/>
      <c r="U1146" s="27"/>
      <c r="V1146" s="27"/>
      <c r="W1146" s="27"/>
      <c r="X1146" s="27"/>
      <c r="Y1146" s="27"/>
      <c r="Z1146" s="27"/>
      <c r="AA1146" s="27"/>
      <c r="AF1146" s="27"/>
      <c r="AG1146" s="27"/>
      <c r="AH1146" s="27"/>
      <c r="AI1146" s="27"/>
      <c r="AJ1146" s="27"/>
      <c r="AK1146" s="27"/>
      <c r="AL1146" s="27"/>
      <c r="AM1146" s="27"/>
      <c r="AN1146" s="27"/>
      <c r="AO1146" s="27"/>
      <c r="AP1146" s="27"/>
      <c r="AQ1146" s="27"/>
      <c r="AR1146" s="27"/>
      <c r="AS1146" s="27"/>
      <c r="AT1146" s="27"/>
      <c r="AU1146" s="27"/>
    </row>
    <row r="1147" spans="1:47" ht="15.75" customHeight="1">
      <c r="A1147" s="100"/>
      <c r="E1147" s="94"/>
      <c r="F1147" s="100"/>
      <c r="G1147" s="100"/>
      <c r="H1147" s="100"/>
      <c r="I1147" s="100"/>
      <c r="J1147" s="100"/>
      <c r="K1147" s="100"/>
      <c r="L1147" s="27"/>
      <c r="M1147" s="27"/>
      <c r="N1147" s="27"/>
      <c r="O1147" s="27"/>
      <c r="P1147" s="27"/>
      <c r="Q1147" s="27"/>
      <c r="R1147" s="27"/>
      <c r="S1147" s="27"/>
      <c r="T1147" s="27"/>
      <c r="U1147" s="27"/>
      <c r="V1147" s="27"/>
      <c r="W1147" s="27"/>
      <c r="X1147" s="27"/>
      <c r="Y1147" s="27"/>
      <c r="Z1147" s="27"/>
      <c r="AA1147" s="27"/>
      <c r="AF1147" s="27"/>
      <c r="AG1147" s="27"/>
      <c r="AH1147" s="27"/>
      <c r="AI1147" s="27"/>
      <c r="AJ1147" s="27"/>
      <c r="AK1147" s="27"/>
      <c r="AL1147" s="27"/>
      <c r="AM1147" s="27"/>
      <c r="AN1147" s="27"/>
      <c r="AO1147" s="27"/>
      <c r="AP1147" s="27"/>
      <c r="AQ1147" s="27"/>
      <c r="AR1147" s="27"/>
      <c r="AS1147" s="27"/>
      <c r="AT1147" s="27"/>
      <c r="AU1147" s="27"/>
    </row>
    <row r="1148" spans="1:47" ht="15.75" customHeight="1">
      <c r="A1148" s="100"/>
      <c r="E1148" s="94"/>
      <c r="F1148" s="100"/>
      <c r="G1148" s="100"/>
      <c r="H1148" s="100"/>
      <c r="I1148" s="100"/>
      <c r="J1148" s="100"/>
      <c r="K1148" s="100"/>
      <c r="L1148" s="27"/>
      <c r="M1148" s="27"/>
      <c r="N1148" s="27"/>
      <c r="O1148" s="27"/>
      <c r="P1148" s="27"/>
      <c r="Q1148" s="27"/>
      <c r="R1148" s="27"/>
      <c r="S1148" s="27"/>
      <c r="T1148" s="27"/>
      <c r="U1148" s="27"/>
      <c r="V1148" s="27"/>
      <c r="W1148" s="27"/>
      <c r="X1148" s="27"/>
      <c r="Y1148" s="27"/>
      <c r="Z1148" s="27"/>
      <c r="AA1148" s="27"/>
      <c r="AF1148" s="27"/>
      <c r="AG1148" s="27"/>
      <c r="AH1148" s="27"/>
      <c r="AI1148" s="27"/>
      <c r="AJ1148" s="27"/>
      <c r="AK1148" s="27"/>
      <c r="AL1148" s="27"/>
      <c r="AM1148" s="27"/>
      <c r="AN1148" s="27"/>
      <c r="AO1148" s="27"/>
      <c r="AP1148" s="27"/>
      <c r="AQ1148" s="27"/>
      <c r="AR1148" s="27"/>
      <c r="AS1148" s="27"/>
      <c r="AT1148" s="27"/>
      <c r="AU1148" s="27"/>
    </row>
    <row r="1149" spans="1:47" ht="15.75" customHeight="1">
      <c r="A1149" s="100"/>
      <c r="E1149" s="94"/>
      <c r="F1149" s="100"/>
      <c r="G1149" s="100"/>
      <c r="H1149" s="100"/>
      <c r="I1149" s="100"/>
      <c r="J1149" s="100"/>
      <c r="K1149" s="100"/>
      <c r="L1149" s="27"/>
      <c r="M1149" s="27"/>
      <c r="N1149" s="27"/>
      <c r="O1149" s="27"/>
      <c r="P1149" s="27"/>
      <c r="Q1149" s="27"/>
      <c r="R1149" s="27"/>
      <c r="S1149" s="27"/>
      <c r="T1149" s="27"/>
      <c r="U1149" s="27"/>
      <c r="V1149" s="27"/>
      <c r="W1149" s="27"/>
      <c r="X1149" s="27"/>
      <c r="Y1149" s="27"/>
      <c r="Z1149" s="27"/>
      <c r="AA1149" s="27"/>
      <c r="AF1149" s="27"/>
      <c r="AG1149" s="27"/>
      <c r="AH1149" s="27"/>
      <c r="AI1149" s="27"/>
      <c r="AJ1149" s="27"/>
      <c r="AK1149" s="27"/>
      <c r="AL1149" s="27"/>
      <c r="AM1149" s="27"/>
      <c r="AN1149" s="27"/>
      <c r="AO1149" s="27"/>
      <c r="AP1149" s="27"/>
      <c r="AQ1149" s="27"/>
      <c r="AR1149" s="27"/>
      <c r="AS1149" s="27"/>
      <c r="AT1149" s="27"/>
      <c r="AU1149" s="27"/>
    </row>
    <row r="1150" spans="1:47" ht="15.75" customHeight="1">
      <c r="A1150" s="100"/>
      <c r="E1150" s="94"/>
      <c r="F1150" s="100"/>
      <c r="G1150" s="100"/>
      <c r="H1150" s="100"/>
      <c r="I1150" s="100"/>
      <c r="J1150" s="100"/>
      <c r="K1150" s="100"/>
      <c r="L1150" s="27"/>
      <c r="M1150" s="27"/>
      <c r="N1150" s="27"/>
      <c r="O1150" s="27"/>
      <c r="P1150" s="27"/>
      <c r="Q1150" s="27"/>
      <c r="R1150" s="27"/>
      <c r="S1150" s="27"/>
      <c r="T1150" s="27"/>
      <c r="U1150" s="27"/>
      <c r="V1150" s="27"/>
      <c r="W1150" s="27"/>
      <c r="X1150" s="27"/>
      <c r="Y1150" s="27"/>
      <c r="Z1150" s="27"/>
      <c r="AA1150" s="27"/>
      <c r="AF1150" s="27"/>
      <c r="AG1150" s="27"/>
      <c r="AH1150" s="27"/>
      <c r="AI1150" s="27"/>
      <c r="AJ1150" s="27"/>
      <c r="AK1150" s="27"/>
      <c r="AL1150" s="27"/>
      <c r="AM1150" s="27"/>
      <c r="AN1150" s="27"/>
      <c r="AO1150" s="27"/>
      <c r="AP1150" s="27"/>
      <c r="AQ1150" s="27"/>
      <c r="AR1150" s="27"/>
      <c r="AS1150" s="27"/>
      <c r="AT1150" s="27"/>
      <c r="AU1150" s="27"/>
    </row>
    <row r="1151" spans="1:47" ht="15.75" customHeight="1">
      <c r="A1151" s="100"/>
      <c r="E1151" s="94"/>
      <c r="F1151" s="100"/>
      <c r="G1151" s="100"/>
      <c r="H1151" s="100"/>
      <c r="I1151" s="100"/>
      <c r="J1151" s="100"/>
      <c r="K1151" s="100"/>
      <c r="L1151" s="27"/>
      <c r="M1151" s="27"/>
      <c r="N1151" s="27"/>
      <c r="O1151" s="27"/>
      <c r="P1151" s="27"/>
      <c r="Q1151" s="27"/>
      <c r="R1151" s="27"/>
      <c r="S1151" s="27"/>
      <c r="T1151" s="27"/>
      <c r="U1151" s="27"/>
      <c r="V1151" s="27"/>
      <c r="W1151" s="27"/>
      <c r="X1151" s="27"/>
      <c r="Y1151" s="27"/>
      <c r="Z1151" s="27"/>
      <c r="AA1151" s="27"/>
      <c r="AF1151" s="27"/>
      <c r="AG1151" s="27"/>
      <c r="AH1151" s="27"/>
      <c r="AI1151" s="27"/>
      <c r="AJ1151" s="27"/>
      <c r="AK1151" s="27"/>
      <c r="AL1151" s="27"/>
      <c r="AM1151" s="27"/>
      <c r="AN1151" s="27"/>
      <c r="AO1151" s="27"/>
      <c r="AP1151" s="27"/>
      <c r="AQ1151" s="27"/>
      <c r="AR1151" s="27"/>
      <c r="AS1151" s="27"/>
      <c r="AT1151" s="27"/>
      <c r="AU1151" s="27"/>
    </row>
    <row r="1152" spans="1:47" ht="15.75" customHeight="1">
      <c r="A1152" s="100"/>
      <c r="E1152" s="94"/>
      <c r="F1152" s="100"/>
      <c r="G1152" s="100"/>
      <c r="H1152" s="100"/>
      <c r="I1152" s="100"/>
      <c r="J1152" s="100"/>
      <c r="K1152" s="100"/>
      <c r="L1152" s="27"/>
      <c r="M1152" s="27"/>
      <c r="N1152" s="27"/>
      <c r="O1152" s="27"/>
      <c r="P1152" s="27"/>
      <c r="Q1152" s="27"/>
      <c r="R1152" s="27"/>
      <c r="S1152" s="27"/>
      <c r="T1152" s="27"/>
      <c r="U1152" s="27"/>
      <c r="V1152" s="27"/>
      <c r="W1152" s="27"/>
      <c r="X1152" s="27"/>
      <c r="Y1152" s="27"/>
      <c r="Z1152" s="27"/>
      <c r="AA1152" s="27"/>
      <c r="AF1152" s="27"/>
      <c r="AG1152" s="27"/>
      <c r="AH1152" s="27"/>
      <c r="AI1152" s="27"/>
      <c r="AJ1152" s="27"/>
      <c r="AK1152" s="27"/>
      <c r="AL1152" s="27"/>
      <c r="AM1152" s="27"/>
      <c r="AN1152" s="27"/>
      <c r="AO1152" s="27"/>
      <c r="AP1152" s="27"/>
      <c r="AQ1152" s="27"/>
      <c r="AR1152" s="27"/>
      <c r="AS1152" s="27"/>
      <c r="AT1152" s="27"/>
      <c r="AU1152" s="27"/>
    </row>
    <row r="1153" spans="1:47" ht="15.75" customHeight="1">
      <c r="A1153" s="100"/>
      <c r="E1153" s="94"/>
      <c r="F1153" s="100"/>
      <c r="G1153" s="100"/>
      <c r="H1153" s="100"/>
      <c r="I1153" s="100"/>
      <c r="J1153" s="100"/>
      <c r="K1153" s="100"/>
      <c r="L1153" s="27"/>
      <c r="M1153" s="27"/>
      <c r="N1153" s="27"/>
      <c r="O1153" s="27"/>
      <c r="P1153" s="27"/>
      <c r="Q1153" s="27"/>
      <c r="R1153" s="27"/>
      <c r="S1153" s="27"/>
      <c r="T1153" s="27"/>
      <c r="U1153" s="27"/>
      <c r="V1153" s="27"/>
      <c r="W1153" s="27"/>
      <c r="X1153" s="27"/>
      <c r="Y1153" s="27"/>
      <c r="Z1153" s="27"/>
      <c r="AA1153" s="27"/>
      <c r="AF1153" s="27"/>
      <c r="AG1153" s="27"/>
      <c r="AH1153" s="27"/>
      <c r="AI1153" s="27"/>
      <c r="AJ1153" s="27"/>
      <c r="AK1153" s="27"/>
      <c r="AL1153" s="27"/>
      <c r="AM1153" s="27"/>
      <c r="AN1153" s="27"/>
      <c r="AO1153" s="27"/>
      <c r="AP1153" s="27"/>
      <c r="AQ1153" s="27"/>
      <c r="AR1153" s="27"/>
      <c r="AS1153" s="27"/>
      <c r="AT1153" s="27"/>
      <c r="AU1153" s="27"/>
    </row>
    <row r="1154" spans="1:47" ht="15.75" customHeight="1">
      <c r="A1154" s="100"/>
      <c r="E1154" s="94"/>
      <c r="F1154" s="100"/>
      <c r="G1154" s="100"/>
      <c r="H1154" s="100"/>
      <c r="I1154" s="100"/>
      <c r="J1154" s="100"/>
      <c r="K1154" s="100"/>
      <c r="L1154" s="27"/>
      <c r="M1154" s="27"/>
      <c r="N1154" s="27"/>
      <c r="O1154" s="27"/>
      <c r="P1154" s="27"/>
      <c r="Q1154" s="27"/>
      <c r="R1154" s="27"/>
      <c r="S1154" s="27"/>
      <c r="T1154" s="27"/>
      <c r="U1154" s="27"/>
      <c r="V1154" s="27"/>
      <c r="W1154" s="27"/>
      <c r="X1154" s="27"/>
      <c r="Y1154" s="27"/>
      <c r="Z1154" s="27"/>
      <c r="AA1154" s="27"/>
      <c r="AF1154" s="27"/>
      <c r="AG1154" s="27"/>
      <c r="AH1154" s="27"/>
      <c r="AI1154" s="27"/>
      <c r="AJ1154" s="27"/>
      <c r="AK1154" s="27"/>
      <c r="AL1154" s="27"/>
      <c r="AM1154" s="27"/>
      <c r="AN1154" s="27"/>
      <c r="AO1154" s="27"/>
      <c r="AP1154" s="27"/>
      <c r="AQ1154" s="27"/>
      <c r="AR1154" s="27"/>
      <c r="AS1154" s="27"/>
      <c r="AT1154" s="27"/>
      <c r="AU1154" s="27"/>
    </row>
    <row r="1155" spans="1:47" ht="15.75" customHeight="1">
      <c r="A1155" s="100"/>
      <c r="E1155" s="94"/>
      <c r="F1155" s="100"/>
      <c r="G1155" s="100"/>
      <c r="H1155" s="100"/>
      <c r="I1155" s="100"/>
      <c r="J1155" s="100"/>
      <c r="K1155" s="100"/>
      <c r="L1155" s="27"/>
      <c r="M1155" s="27"/>
      <c r="N1155" s="27"/>
      <c r="O1155" s="27"/>
      <c r="P1155" s="27"/>
      <c r="Q1155" s="27"/>
      <c r="R1155" s="27"/>
      <c r="S1155" s="27"/>
      <c r="T1155" s="27"/>
      <c r="U1155" s="27"/>
      <c r="V1155" s="27"/>
      <c r="W1155" s="27"/>
      <c r="X1155" s="27"/>
      <c r="Y1155" s="27"/>
      <c r="Z1155" s="27"/>
      <c r="AA1155" s="27"/>
      <c r="AF1155" s="27"/>
      <c r="AG1155" s="27"/>
      <c r="AH1155" s="27"/>
      <c r="AI1155" s="27"/>
      <c r="AJ1155" s="27"/>
      <c r="AK1155" s="27"/>
      <c r="AL1155" s="27"/>
      <c r="AM1155" s="27"/>
      <c r="AN1155" s="27"/>
      <c r="AO1155" s="27"/>
      <c r="AP1155" s="27"/>
      <c r="AQ1155" s="27"/>
      <c r="AR1155" s="27"/>
      <c r="AS1155" s="27"/>
      <c r="AT1155" s="27"/>
      <c r="AU1155" s="27"/>
    </row>
    <row r="1156" spans="1:47" ht="15.75" customHeight="1">
      <c r="A1156" s="100"/>
      <c r="E1156" s="94"/>
      <c r="F1156" s="100"/>
      <c r="G1156" s="100"/>
      <c r="H1156" s="100"/>
      <c r="I1156" s="100"/>
      <c r="J1156" s="100"/>
      <c r="K1156" s="100"/>
      <c r="L1156" s="27"/>
      <c r="M1156" s="27"/>
      <c r="N1156" s="27"/>
      <c r="O1156" s="27"/>
      <c r="P1156" s="27"/>
      <c r="Q1156" s="27"/>
      <c r="R1156" s="27"/>
      <c r="S1156" s="27"/>
      <c r="T1156" s="27"/>
      <c r="U1156" s="27"/>
      <c r="V1156" s="27"/>
      <c r="W1156" s="27"/>
      <c r="X1156" s="27"/>
      <c r="Y1156" s="27"/>
      <c r="Z1156" s="27"/>
      <c r="AA1156" s="27"/>
      <c r="AF1156" s="27"/>
      <c r="AG1156" s="27"/>
      <c r="AH1156" s="27"/>
      <c r="AI1156" s="27"/>
      <c r="AJ1156" s="27"/>
      <c r="AK1156" s="27"/>
      <c r="AL1156" s="27"/>
      <c r="AM1156" s="27"/>
      <c r="AN1156" s="27"/>
      <c r="AO1156" s="27"/>
      <c r="AP1156" s="27"/>
      <c r="AQ1156" s="27"/>
      <c r="AR1156" s="27"/>
      <c r="AS1156" s="27"/>
      <c r="AT1156" s="27"/>
      <c r="AU1156" s="27"/>
    </row>
    <row r="1157" spans="1:47" ht="15.75" customHeight="1">
      <c r="A1157" s="100"/>
      <c r="E1157" s="94"/>
      <c r="F1157" s="100"/>
      <c r="G1157" s="100"/>
      <c r="H1157" s="100"/>
      <c r="I1157" s="100"/>
      <c r="J1157" s="100"/>
      <c r="K1157" s="100"/>
      <c r="L1157" s="27"/>
      <c r="M1157" s="27"/>
      <c r="N1157" s="27"/>
      <c r="O1157" s="27"/>
      <c r="P1157" s="27"/>
      <c r="Q1157" s="27"/>
      <c r="R1157" s="27"/>
      <c r="S1157" s="27"/>
      <c r="T1157" s="27"/>
      <c r="U1157" s="27"/>
      <c r="V1157" s="27"/>
      <c r="W1157" s="27"/>
      <c r="X1157" s="27"/>
      <c r="Y1157" s="27"/>
      <c r="Z1157" s="27"/>
      <c r="AA1157" s="27"/>
      <c r="AF1157" s="27"/>
      <c r="AG1157" s="27"/>
      <c r="AH1157" s="27"/>
      <c r="AI1157" s="27"/>
      <c r="AJ1157" s="27"/>
      <c r="AK1157" s="27"/>
      <c r="AL1157" s="27"/>
      <c r="AM1157" s="27"/>
      <c r="AN1157" s="27"/>
      <c r="AO1157" s="27"/>
      <c r="AP1157" s="27"/>
      <c r="AQ1157" s="27"/>
      <c r="AR1157" s="27"/>
      <c r="AS1157" s="27"/>
      <c r="AT1157" s="27"/>
      <c r="AU1157" s="27"/>
    </row>
    <row r="1158" spans="1:47" ht="15.75" customHeight="1">
      <c r="A1158" s="100"/>
      <c r="E1158" s="94"/>
      <c r="F1158" s="100"/>
      <c r="G1158" s="100"/>
      <c r="H1158" s="100"/>
      <c r="I1158" s="100"/>
      <c r="J1158" s="100"/>
      <c r="K1158" s="100"/>
      <c r="L1158" s="27"/>
      <c r="M1158" s="27"/>
      <c r="N1158" s="27"/>
      <c r="O1158" s="27"/>
      <c r="P1158" s="27"/>
      <c r="Q1158" s="27"/>
      <c r="R1158" s="27"/>
      <c r="S1158" s="27"/>
      <c r="T1158" s="27"/>
      <c r="U1158" s="27"/>
      <c r="V1158" s="27"/>
      <c r="W1158" s="27"/>
      <c r="X1158" s="27"/>
      <c r="Y1158" s="27"/>
      <c r="Z1158" s="27"/>
      <c r="AA1158" s="27"/>
      <c r="AF1158" s="27"/>
      <c r="AG1158" s="27"/>
      <c r="AH1158" s="27"/>
      <c r="AI1158" s="27"/>
      <c r="AJ1158" s="27"/>
      <c r="AK1158" s="27"/>
      <c r="AL1158" s="27"/>
      <c r="AM1158" s="27"/>
      <c r="AN1158" s="27"/>
      <c r="AO1158" s="27"/>
      <c r="AP1158" s="27"/>
      <c r="AQ1158" s="27"/>
      <c r="AR1158" s="27"/>
      <c r="AS1158" s="27"/>
      <c r="AT1158" s="27"/>
      <c r="AU1158" s="27"/>
    </row>
    <row r="1159" spans="1:47" ht="15.75" customHeight="1">
      <c r="A1159" s="100"/>
      <c r="E1159" s="94"/>
      <c r="F1159" s="100"/>
      <c r="G1159" s="100"/>
      <c r="H1159" s="100"/>
      <c r="I1159" s="100"/>
      <c r="J1159" s="100"/>
      <c r="K1159" s="100"/>
      <c r="L1159" s="27"/>
      <c r="M1159" s="27"/>
      <c r="N1159" s="27"/>
      <c r="O1159" s="27"/>
      <c r="P1159" s="27"/>
      <c r="Q1159" s="27"/>
      <c r="R1159" s="27"/>
      <c r="S1159" s="27"/>
      <c r="T1159" s="27"/>
      <c r="U1159" s="27"/>
      <c r="V1159" s="27"/>
      <c r="W1159" s="27"/>
      <c r="X1159" s="27"/>
      <c r="Y1159" s="27"/>
      <c r="Z1159" s="27"/>
      <c r="AA1159" s="27"/>
      <c r="AF1159" s="27"/>
      <c r="AG1159" s="27"/>
      <c r="AH1159" s="27"/>
      <c r="AI1159" s="27"/>
      <c r="AJ1159" s="27"/>
      <c r="AK1159" s="27"/>
      <c r="AL1159" s="27"/>
      <c r="AM1159" s="27"/>
      <c r="AN1159" s="27"/>
      <c r="AO1159" s="27"/>
      <c r="AP1159" s="27"/>
      <c r="AQ1159" s="27"/>
      <c r="AR1159" s="27"/>
      <c r="AS1159" s="27"/>
      <c r="AT1159" s="27"/>
      <c r="AU1159" s="27"/>
    </row>
    <row r="1160" spans="1:47" ht="15.75" customHeight="1">
      <c r="A1160" s="100"/>
      <c r="E1160" s="94"/>
      <c r="F1160" s="100"/>
      <c r="G1160" s="100"/>
      <c r="H1160" s="100"/>
      <c r="I1160" s="100"/>
      <c r="J1160" s="100"/>
      <c r="K1160" s="100"/>
      <c r="L1160" s="27"/>
      <c r="M1160" s="27"/>
      <c r="N1160" s="27"/>
      <c r="O1160" s="27"/>
      <c r="P1160" s="27"/>
      <c r="Q1160" s="27"/>
      <c r="R1160" s="27"/>
      <c r="S1160" s="27"/>
      <c r="T1160" s="27"/>
      <c r="U1160" s="27"/>
      <c r="V1160" s="27"/>
      <c r="W1160" s="27"/>
      <c r="X1160" s="27"/>
      <c r="Y1160" s="27"/>
      <c r="Z1160" s="27"/>
      <c r="AA1160" s="27"/>
      <c r="AF1160" s="27"/>
      <c r="AG1160" s="27"/>
      <c r="AH1160" s="27"/>
      <c r="AI1160" s="27"/>
      <c r="AJ1160" s="27"/>
      <c r="AK1160" s="27"/>
      <c r="AL1160" s="27"/>
      <c r="AM1160" s="27"/>
      <c r="AN1160" s="27"/>
      <c r="AO1160" s="27"/>
      <c r="AP1160" s="27"/>
      <c r="AQ1160" s="27"/>
      <c r="AR1160" s="27"/>
      <c r="AS1160" s="27"/>
      <c r="AT1160" s="27"/>
      <c r="AU1160" s="27"/>
    </row>
    <row r="1161" spans="1:47" ht="15.75" customHeight="1">
      <c r="A1161" s="100"/>
      <c r="E1161" s="94"/>
      <c r="F1161" s="100"/>
      <c r="G1161" s="100"/>
      <c r="H1161" s="100"/>
      <c r="I1161" s="100"/>
      <c r="J1161" s="100"/>
      <c r="K1161" s="100"/>
      <c r="L1161" s="27"/>
      <c r="M1161" s="27"/>
      <c r="N1161" s="27"/>
      <c r="O1161" s="27"/>
      <c r="P1161" s="27"/>
      <c r="Q1161" s="27"/>
      <c r="R1161" s="27"/>
      <c r="S1161" s="27"/>
      <c r="T1161" s="27"/>
      <c r="U1161" s="27"/>
      <c r="V1161" s="27"/>
      <c r="W1161" s="27"/>
      <c r="X1161" s="27"/>
      <c r="Y1161" s="27"/>
      <c r="Z1161" s="27"/>
      <c r="AA1161" s="27"/>
      <c r="AF1161" s="27"/>
      <c r="AG1161" s="27"/>
      <c r="AH1161" s="27"/>
      <c r="AI1161" s="27"/>
      <c r="AJ1161" s="27"/>
      <c r="AK1161" s="27"/>
      <c r="AL1161" s="27"/>
      <c r="AM1161" s="27"/>
      <c r="AN1161" s="27"/>
      <c r="AO1161" s="27"/>
      <c r="AP1161" s="27"/>
      <c r="AQ1161" s="27"/>
      <c r="AR1161" s="27"/>
      <c r="AS1161" s="27"/>
      <c r="AT1161" s="27"/>
      <c r="AU1161" s="27"/>
    </row>
    <row r="1162" spans="1:47" ht="15.75" customHeight="1">
      <c r="A1162" s="100"/>
      <c r="E1162" s="94"/>
      <c r="F1162" s="100"/>
      <c r="G1162" s="100"/>
      <c r="H1162" s="100"/>
      <c r="I1162" s="100"/>
      <c r="J1162" s="100"/>
      <c r="K1162" s="100"/>
      <c r="L1162" s="27"/>
      <c r="M1162" s="27"/>
      <c r="N1162" s="27"/>
      <c r="O1162" s="27"/>
      <c r="P1162" s="27"/>
      <c r="Q1162" s="27"/>
      <c r="R1162" s="27"/>
      <c r="S1162" s="27"/>
      <c r="T1162" s="27"/>
      <c r="U1162" s="27"/>
      <c r="V1162" s="27"/>
      <c r="W1162" s="27"/>
      <c r="X1162" s="27"/>
      <c r="Y1162" s="27"/>
      <c r="Z1162" s="27"/>
      <c r="AA1162" s="27"/>
      <c r="AF1162" s="27"/>
      <c r="AG1162" s="27"/>
      <c r="AH1162" s="27"/>
      <c r="AI1162" s="27"/>
      <c r="AJ1162" s="27"/>
      <c r="AK1162" s="27"/>
      <c r="AL1162" s="27"/>
      <c r="AM1162" s="27"/>
      <c r="AN1162" s="27"/>
      <c r="AO1162" s="27"/>
      <c r="AP1162" s="27"/>
      <c r="AQ1162" s="27"/>
      <c r="AR1162" s="27"/>
      <c r="AS1162" s="27"/>
      <c r="AT1162" s="27"/>
      <c r="AU1162" s="27"/>
    </row>
    <row r="1163" spans="1:47" ht="15.75" customHeight="1">
      <c r="A1163" s="100"/>
      <c r="E1163" s="94"/>
      <c r="F1163" s="100"/>
      <c r="G1163" s="100"/>
      <c r="H1163" s="100"/>
      <c r="I1163" s="100"/>
      <c r="J1163" s="100"/>
      <c r="K1163" s="100"/>
      <c r="L1163" s="27"/>
      <c r="M1163" s="27"/>
      <c r="N1163" s="27"/>
      <c r="O1163" s="27"/>
      <c r="P1163" s="27"/>
      <c r="Q1163" s="27"/>
      <c r="R1163" s="27"/>
      <c r="S1163" s="27"/>
      <c r="T1163" s="27"/>
      <c r="U1163" s="27"/>
      <c r="V1163" s="27"/>
      <c r="W1163" s="27"/>
      <c r="X1163" s="27"/>
      <c r="Y1163" s="27"/>
      <c r="Z1163" s="27"/>
      <c r="AA1163" s="27"/>
      <c r="AF1163" s="27"/>
      <c r="AG1163" s="27"/>
      <c r="AH1163" s="27"/>
      <c r="AI1163" s="27"/>
      <c r="AJ1163" s="27"/>
      <c r="AK1163" s="27"/>
      <c r="AL1163" s="27"/>
      <c r="AM1163" s="27"/>
      <c r="AN1163" s="27"/>
      <c r="AO1163" s="27"/>
      <c r="AP1163" s="27"/>
      <c r="AQ1163" s="27"/>
      <c r="AR1163" s="27"/>
      <c r="AS1163" s="27"/>
      <c r="AT1163" s="27"/>
      <c r="AU1163" s="27"/>
    </row>
    <row r="1164" spans="1:47" ht="15.75" customHeight="1">
      <c r="A1164" s="100"/>
      <c r="E1164" s="94"/>
      <c r="F1164" s="100"/>
      <c r="G1164" s="100"/>
      <c r="H1164" s="100"/>
      <c r="I1164" s="100"/>
      <c r="J1164" s="100"/>
      <c r="K1164" s="100"/>
      <c r="L1164" s="27"/>
      <c r="M1164" s="27"/>
      <c r="N1164" s="27"/>
      <c r="O1164" s="27"/>
      <c r="P1164" s="27"/>
      <c r="Q1164" s="27"/>
      <c r="R1164" s="27"/>
      <c r="S1164" s="27"/>
      <c r="T1164" s="27"/>
      <c r="U1164" s="27"/>
      <c r="V1164" s="27"/>
      <c r="W1164" s="27"/>
      <c r="X1164" s="27"/>
      <c r="Y1164" s="27"/>
      <c r="Z1164" s="27"/>
      <c r="AA1164" s="27"/>
      <c r="AF1164" s="27"/>
      <c r="AG1164" s="27"/>
      <c r="AH1164" s="27"/>
      <c r="AI1164" s="27"/>
      <c r="AJ1164" s="27"/>
      <c r="AK1164" s="27"/>
      <c r="AL1164" s="27"/>
      <c r="AM1164" s="27"/>
      <c r="AN1164" s="27"/>
      <c r="AO1164" s="27"/>
      <c r="AP1164" s="27"/>
      <c r="AQ1164" s="27"/>
      <c r="AR1164" s="27"/>
      <c r="AS1164" s="27"/>
      <c r="AT1164" s="27"/>
      <c r="AU1164" s="27"/>
    </row>
    <row r="1165" spans="1:47" ht="15.75" customHeight="1">
      <c r="A1165" s="100"/>
      <c r="E1165" s="94"/>
      <c r="F1165" s="100"/>
      <c r="G1165" s="100"/>
      <c r="H1165" s="100"/>
      <c r="I1165" s="100"/>
      <c r="J1165" s="100"/>
      <c r="K1165" s="100"/>
      <c r="L1165" s="27"/>
      <c r="M1165" s="27"/>
      <c r="N1165" s="27"/>
      <c r="O1165" s="27"/>
      <c r="P1165" s="27"/>
      <c r="Q1165" s="27"/>
      <c r="R1165" s="27"/>
      <c r="S1165" s="27"/>
      <c r="T1165" s="27"/>
      <c r="U1165" s="27"/>
      <c r="V1165" s="27"/>
      <c r="W1165" s="27"/>
      <c r="X1165" s="27"/>
      <c r="Y1165" s="27"/>
      <c r="Z1165" s="27"/>
      <c r="AA1165" s="27"/>
      <c r="AF1165" s="27"/>
      <c r="AG1165" s="27"/>
      <c r="AH1165" s="27"/>
      <c r="AI1165" s="27"/>
      <c r="AJ1165" s="27"/>
      <c r="AK1165" s="27"/>
      <c r="AL1165" s="27"/>
      <c r="AM1165" s="27"/>
      <c r="AN1165" s="27"/>
      <c r="AO1165" s="27"/>
      <c r="AP1165" s="27"/>
      <c r="AQ1165" s="27"/>
      <c r="AR1165" s="27"/>
      <c r="AS1165" s="27"/>
      <c r="AT1165" s="27"/>
      <c r="AU1165" s="27"/>
    </row>
    <row r="1166" spans="1:47" ht="15.75" customHeight="1">
      <c r="A1166" s="100"/>
      <c r="E1166" s="94"/>
      <c r="F1166" s="100"/>
      <c r="G1166" s="100"/>
      <c r="H1166" s="100"/>
      <c r="I1166" s="100"/>
      <c r="J1166" s="100"/>
      <c r="K1166" s="100"/>
      <c r="L1166" s="27"/>
      <c r="M1166" s="27"/>
      <c r="N1166" s="27"/>
      <c r="O1166" s="27"/>
      <c r="P1166" s="27"/>
      <c r="Q1166" s="27"/>
      <c r="R1166" s="27"/>
      <c r="S1166" s="27"/>
      <c r="T1166" s="27"/>
      <c r="U1166" s="27"/>
      <c r="V1166" s="27"/>
      <c r="W1166" s="27"/>
      <c r="X1166" s="27"/>
      <c r="Y1166" s="27"/>
      <c r="Z1166" s="27"/>
      <c r="AA1166" s="27"/>
      <c r="AF1166" s="27"/>
      <c r="AG1166" s="27"/>
      <c r="AH1166" s="27"/>
      <c r="AI1166" s="27"/>
      <c r="AJ1166" s="27"/>
      <c r="AK1166" s="27"/>
      <c r="AL1166" s="27"/>
      <c r="AM1166" s="27"/>
      <c r="AN1166" s="27"/>
      <c r="AO1166" s="27"/>
      <c r="AP1166" s="27"/>
      <c r="AQ1166" s="27"/>
      <c r="AR1166" s="27"/>
      <c r="AS1166" s="27"/>
      <c r="AT1166" s="27"/>
      <c r="AU1166" s="27"/>
    </row>
    <row r="1167" spans="1:47" ht="15.75" customHeight="1">
      <c r="A1167" s="100"/>
      <c r="E1167" s="94"/>
      <c r="F1167" s="100"/>
      <c r="G1167" s="100"/>
      <c r="H1167" s="100"/>
      <c r="I1167" s="100"/>
      <c r="J1167" s="100"/>
      <c r="K1167" s="100"/>
      <c r="L1167" s="27"/>
      <c r="M1167" s="27"/>
      <c r="N1167" s="27"/>
      <c r="O1167" s="27"/>
      <c r="P1167" s="27"/>
      <c r="Q1167" s="27"/>
      <c r="R1167" s="27"/>
      <c r="S1167" s="27"/>
      <c r="T1167" s="27"/>
      <c r="U1167" s="27"/>
      <c r="V1167" s="27"/>
      <c r="W1167" s="27"/>
      <c r="X1167" s="27"/>
      <c r="Y1167" s="27"/>
      <c r="Z1167" s="27"/>
      <c r="AA1167" s="27"/>
      <c r="AF1167" s="27"/>
      <c r="AG1167" s="27"/>
      <c r="AH1167" s="27"/>
      <c r="AI1167" s="27"/>
      <c r="AJ1167" s="27"/>
      <c r="AK1167" s="27"/>
      <c r="AL1167" s="27"/>
      <c r="AM1167" s="27"/>
      <c r="AN1167" s="27"/>
      <c r="AO1167" s="27"/>
      <c r="AP1167" s="27"/>
      <c r="AQ1167" s="27"/>
      <c r="AR1167" s="27"/>
      <c r="AS1167" s="27"/>
      <c r="AT1167" s="27"/>
      <c r="AU1167" s="27"/>
    </row>
    <row r="1168" spans="1:47" ht="15.75" customHeight="1">
      <c r="A1168" s="100"/>
      <c r="E1168" s="94"/>
      <c r="F1168" s="100"/>
      <c r="G1168" s="100"/>
      <c r="H1168" s="100"/>
      <c r="I1168" s="100"/>
      <c r="J1168" s="100"/>
      <c r="K1168" s="100"/>
      <c r="L1168" s="27"/>
      <c r="M1168" s="27"/>
      <c r="N1168" s="27"/>
      <c r="O1168" s="27"/>
      <c r="P1168" s="27"/>
      <c r="Q1168" s="27"/>
      <c r="R1168" s="27"/>
      <c r="S1168" s="27"/>
      <c r="T1168" s="27"/>
      <c r="U1168" s="27"/>
      <c r="V1168" s="27"/>
      <c r="W1168" s="27"/>
      <c r="X1168" s="27"/>
      <c r="Y1168" s="27"/>
      <c r="Z1168" s="27"/>
      <c r="AA1168" s="27"/>
      <c r="AF1168" s="27"/>
      <c r="AG1168" s="27"/>
      <c r="AH1168" s="27"/>
      <c r="AI1168" s="27"/>
      <c r="AJ1168" s="27"/>
      <c r="AK1168" s="27"/>
      <c r="AL1168" s="27"/>
      <c r="AM1168" s="27"/>
      <c r="AN1168" s="27"/>
      <c r="AO1168" s="27"/>
      <c r="AP1168" s="27"/>
      <c r="AQ1168" s="27"/>
      <c r="AR1168" s="27"/>
      <c r="AS1168" s="27"/>
      <c r="AT1168" s="27"/>
      <c r="AU1168" s="27"/>
    </row>
    <row r="1169" spans="1:47" ht="15.75" customHeight="1">
      <c r="A1169" s="100"/>
      <c r="E1169" s="94"/>
      <c r="F1169" s="100"/>
      <c r="G1169" s="100"/>
      <c r="H1169" s="100"/>
      <c r="I1169" s="100"/>
      <c r="J1169" s="100"/>
      <c r="K1169" s="100"/>
      <c r="L1169" s="27"/>
      <c r="M1169" s="27"/>
      <c r="N1169" s="27"/>
      <c r="O1169" s="27"/>
      <c r="P1169" s="27"/>
      <c r="Q1169" s="27"/>
      <c r="R1169" s="27"/>
      <c r="S1169" s="27"/>
      <c r="T1169" s="27"/>
      <c r="U1169" s="27"/>
      <c r="V1169" s="27"/>
      <c r="W1169" s="27"/>
      <c r="X1169" s="27"/>
      <c r="Y1169" s="27"/>
      <c r="Z1169" s="27"/>
      <c r="AA1169" s="27"/>
      <c r="AF1169" s="27"/>
      <c r="AG1169" s="27"/>
      <c r="AH1169" s="27"/>
      <c r="AI1169" s="27"/>
      <c r="AJ1169" s="27"/>
      <c r="AK1169" s="27"/>
      <c r="AL1169" s="27"/>
      <c r="AM1169" s="27"/>
      <c r="AN1169" s="27"/>
      <c r="AO1169" s="27"/>
      <c r="AP1169" s="27"/>
      <c r="AQ1169" s="27"/>
      <c r="AR1169" s="27"/>
      <c r="AS1169" s="27"/>
      <c r="AT1169" s="27"/>
      <c r="AU1169" s="27"/>
    </row>
    <row r="1170" spans="1:47" ht="15.75" customHeight="1">
      <c r="A1170" s="100"/>
      <c r="E1170" s="94"/>
      <c r="F1170" s="100"/>
      <c r="G1170" s="100"/>
      <c r="H1170" s="100"/>
      <c r="I1170" s="100"/>
      <c r="J1170" s="100"/>
      <c r="K1170" s="100"/>
      <c r="L1170" s="27"/>
      <c r="M1170" s="27"/>
      <c r="N1170" s="27"/>
      <c r="O1170" s="27"/>
      <c r="P1170" s="27"/>
      <c r="Q1170" s="27"/>
      <c r="R1170" s="27"/>
      <c r="S1170" s="27"/>
      <c r="T1170" s="27"/>
      <c r="U1170" s="27"/>
      <c r="V1170" s="27"/>
      <c r="W1170" s="27"/>
      <c r="X1170" s="27"/>
      <c r="Y1170" s="27"/>
      <c r="Z1170" s="27"/>
      <c r="AA1170" s="27"/>
      <c r="AF1170" s="27"/>
      <c r="AG1170" s="27"/>
      <c r="AH1170" s="27"/>
      <c r="AI1170" s="27"/>
      <c r="AJ1170" s="27"/>
      <c r="AK1170" s="27"/>
      <c r="AL1170" s="27"/>
      <c r="AM1170" s="27"/>
      <c r="AN1170" s="27"/>
      <c r="AO1170" s="27"/>
      <c r="AP1170" s="27"/>
      <c r="AQ1170" s="27"/>
      <c r="AR1170" s="27"/>
      <c r="AS1170" s="27"/>
      <c r="AT1170" s="27"/>
      <c r="AU1170" s="27"/>
    </row>
    <row r="1171" spans="1:47" ht="15.75" customHeight="1">
      <c r="A1171" s="100"/>
      <c r="E1171" s="94"/>
      <c r="F1171" s="100"/>
      <c r="G1171" s="100"/>
      <c r="H1171" s="100"/>
      <c r="I1171" s="100"/>
      <c r="J1171" s="100"/>
      <c r="K1171" s="100"/>
      <c r="L1171" s="27"/>
      <c r="M1171" s="27"/>
      <c r="N1171" s="27"/>
      <c r="O1171" s="27"/>
      <c r="P1171" s="27"/>
      <c r="Q1171" s="27"/>
      <c r="R1171" s="27"/>
      <c r="S1171" s="27"/>
      <c r="T1171" s="27"/>
      <c r="U1171" s="27"/>
      <c r="V1171" s="27"/>
      <c r="W1171" s="27"/>
      <c r="X1171" s="27"/>
      <c r="Y1171" s="27"/>
      <c r="Z1171" s="27"/>
      <c r="AA1171" s="27"/>
      <c r="AF1171" s="27"/>
      <c r="AG1171" s="27"/>
      <c r="AH1171" s="27"/>
      <c r="AI1171" s="27"/>
      <c r="AJ1171" s="27"/>
      <c r="AK1171" s="27"/>
      <c r="AL1171" s="27"/>
      <c r="AM1171" s="27"/>
      <c r="AN1171" s="27"/>
      <c r="AO1171" s="27"/>
      <c r="AP1171" s="27"/>
      <c r="AQ1171" s="27"/>
      <c r="AR1171" s="27"/>
      <c r="AS1171" s="27"/>
      <c r="AT1171" s="27"/>
      <c r="AU1171" s="27"/>
    </row>
    <row r="1172" spans="1:47" ht="15.75" customHeight="1">
      <c r="A1172" s="100"/>
      <c r="E1172" s="94"/>
      <c r="F1172" s="100"/>
      <c r="G1172" s="100"/>
      <c r="H1172" s="100"/>
      <c r="I1172" s="100"/>
      <c r="J1172" s="100"/>
      <c r="K1172" s="100"/>
      <c r="L1172" s="27"/>
      <c r="M1172" s="27"/>
      <c r="N1172" s="27"/>
      <c r="O1172" s="27"/>
      <c r="P1172" s="27"/>
      <c r="Q1172" s="27"/>
      <c r="R1172" s="27"/>
      <c r="S1172" s="27"/>
      <c r="T1172" s="27"/>
      <c r="U1172" s="27"/>
      <c r="V1172" s="27"/>
      <c r="W1172" s="27"/>
      <c r="X1172" s="27"/>
      <c r="Y1172" s="27"/>
      <c r="Z1172" s="27"/>
      <c r="AA1172" s="27"/>
      <c r="AF1172" s="27"/>
      <c r="AG1172" s="27"/>
      <c r="AH1172" s="27"/>
      <c r="AI1172" s="27"/>
      <c r="AJ1172" s="27"/>
      <c r="AK1172" s="27"/>
      <c r="AL1172" s="27"/>
      <c r="AM1172" s="27"/>
      <c r="AN1172" s="27"/>
      <c r="AO1172" s="27"/>
      <c r="AP1172" s="27"/>
      <c r="AQ1172" s="27"/>
      <c r="AR1172" s="27"/>
      <c r="AS1172" s="27"/>
      <c r="AT1172" s="27"/>
      <c r="AU1172" s="27"/>
    </row>
    <row r="1173" spans="1:47" ht="15.75" customHeight="1">
      <c r="A1173" s="100"/>
      <c r="E1173" s="94"/>
      <c r="F1173" s="100"/>
      <c r="G1173" s="100"/>
      <c r="H1173" s="100"/>
      <c r="I1173" s="100"/>
      <c r="J1173" s="100"/>
      <c r="K1173" s="100"/>
      <c r="L1173" s="27"/>
      <c r="M1173" s="27"/>
      <c r="N1173" s="27"/>
      <c r="O1173" s="27"/>
      <c r="P1173" s="27"/>
      <c r="Q1173" s="27"/>
      <c r="R1173" s="27"/>
      <c r="S1173" s="27"/>
      <c r="T1173" s="27"/>
      <c r="U1173" s="27"/>
      <c r="V1173" s="27"/>
      <c r="W1173" s="27"/>
      <c r="X1173" s="27"/>
      <c r="Y1173" s="27"/>
      <c r="Z1173" s="27"/>
      <c r="AA1173" s="27"/>
      <c r="AF1173" s="27"/>
      <c r="AG1173" s="27"/>
      <c r="AH1173" s="27"/>
      <c r="AI1173" s="27"/>
      <c r="AJ1173" s="27"/>
      <c r="AK1173" s="27"/>
      <c r="AL1173" s="27"/>
      <c r="AM1173" s="27"/>
      <c r="AN1173" s="27"/>
      <c r="AO1173" s="27"/>
      <c r="AP1173" s="27"/>
      <c r="AQ1173" s="27"/>
      <c r="AR1173" s="27"/>
      <c r="AS1173" s="27"/>
      <c r="AT1173" s="27"/>
      <c r="AU1173" s="27"/>
    </row>
    <row r="1174" spans="1:47" ht="15.75" customHeight="1">
      <c r="A1174" s="100"/>
      <c r="E1174" s="94"/>
      <c r="F1174" s="100"/>
      <c r="G1174" s="100"/>
      <c r="H1174" s="100"/>
      <c r="I1174" s="100"/>
      <c r="J1174" s="100"/>
      <c r="K1174" s="100"/>
      <c r="L1174" s="27"/>
      <c r="M1174" s="27"/>
      <c r="N1174" s="27"/>
      <c r="O1174" s="27"/>
      <c r="P1174" s="27"/>
      <c r="Q1174" s="27"/>
      <c r="R1174" s="27"/>
      <c r="S1174" s="27"/>
      <c r="T1174" s="27"/>
      <c r="U1174" s="27"/>
      <c r="V1174" s="27"/>
      <c r="W1174" s="27"/>
      <c r="X1174" s="27"/>
      <c r="Y1174" s="27"/>
      <c r="Z1174" s="27"/>
      <c r="AA1174" s="27"/>
      <c r="AF1174" s="27"/>
      <c r="AG1174" s="27"/>
      <c r="AH1174" s="27"/>
      <c r="AI1174" s="27"/>
      <c r="AJ1174" s="27"/>
      <c r="AK1174" s="27"/>
      <c r="AL1174" s="27"/>
      <c r="AM1174" s="27"/>
      <c r="AN1174" s="27"/>
      <c r="AO1174" s="27"/>
      <c r="AP1174" s="27"/>
      <c r="AQ1174" s="27"/>
      <c r="AR1174" s="27"/>
      <c r="AS1174" s="27"/>
      <c r="AT1174" s="27"/>
      <c r="AU1174" s="27"/>
    </row>
    <row r="1175" spans="1:47" ht="15.75" customHeight="1">
      <c r="A1175" s="100"/>
      <c r="E1175" s="94"/>
      <c r="F1175" s="100"/>
      <c r="G1175" s="100"/>
      <c r="H1175" s="100"/>
      <c r="I1175" s="100"/>
      <c r="J1175" s="100"/>
      <c r="K1175" s="100"/>
      <c r="L1175" s="27"/>
      <c r="M1175" s="27"/>
      <c r="N1175" s="27"/>
      <c r="O1175" s="27"/>
      <c r="P1175" s="27"/>
      <c r="Q1175" s="27"/>
      <c r="R1175" s="27"/>
      <c r="S1175" s="27"/>
      <c r="T1175" s="27"/>
      <c r="U1175" s="27"/>
      <c r="V1175" s="27"/>
      <c r="W1175" s="27"/>
      <c r="X1175" s="27"/>
      <c r="Y1175" s="27"/>
      <c r="Z1175" s="27"/>
      <c r="AA1175" s="27"/>
      <c r="AF1175" s="27"/>
      <c r="AG1175" s="27"/>
      <c r="AH1175" s="27"/>
      <c r="AI1175" s="27"/>
      <c r="AJ1175" s="27"/>
      <c r="AK1175" s="27"/>
      <c r="AL1175" s="27"/>
      <c r="AM1175" s="27"/>
      <c r="AN1175" s="27"/>
      <c r="AO1175" s="27"/>
      <c r="AP1175" s="27"/>
      <c r="AQ1175" s="27"/>
      <c r="AR1175" s="27"/>
      <c r="AS1175" s="27"/>
      <c r="AT1175" s="27"/>
      <c r="AU1175" s="27"/>
    </row>
    <row r="1176" spans="1:47" ht="15.75" customHeight="1">
      <c r="A1176" s="100"/>
      <c r="E1176" s="94"/>
      <c r="F1176" s="100"/>
      <c r="G1176" s="100"/>
      <c r="H1176" s="100"/>
      <c r="I1176" s="100"/>
      <c r="J1176" s="100"/>
      <c r="K1176" s="100"/>
      <c r="L1176" s="27"/>
      <c r="M1176" s="27"/>
      <c r="N1176" s="27"/>
      <c r="O1176" s="27"/>
      <c r="P1176" s="27"/>
      <c r="Q1176" s="27"/>
      <c r="R1176" s="27"/>
      <c r="S1176" s="27"/>
      <c r="T1176" s="27"/>
      <c r="U1176" s="27"/>
      <c r="V1176" s="27"/>
      <c r="W1176" s="27"/>
      <c r="X1176" s="27"/>
      <c r="Y1176" s="27"/>
      <c r="Z1176" s="27"/>
      <c r="AA1176" s="27"/>
      <c r="AF1176" s="27"/>
      <c r="AG1176" s="27"/>
      <c r="AH1176" s="27"/>
      <c r="AI1176" s="27"/>
      <c r="AJ1176" s="27"/>
      <c r="AK1176" s="27"/>
      <c r="AL1176" s="27"/>
      <c r="AM1176" s="27"/>
      <c r="AN1176" s="27"/>
      <c r="AO1176" s="27"/>
      <c r="AP1176" s="27"/>
      <c r="AQ1176" s="27"/>
      <c r="AR1176" s="27"/>
      <c r="AS1176" s="27"/>
      <c r="AT1176" s="27"/>
      <c r="AU1176" s="27"/>
    </row>
    <row r="1177" spans="1:47" ht="15.75" customHeight="1">
      <c r="A1177" s="100"/>
      <c r="E1177" s="94"/>
      <c r="F1177" s="100"/>
      <c r="G1177" s="100"/>
      <c r="H1177" s="100"/>
      <c r="I1177" s="100"/>
      <c r="J1177" s="100"/>
      <c r="K1177" s="100"/>
      <c r="L1177" s="27"/>
      <c r="M1177" s="27"/>
      <c r="N1177" s="27"/>
      <c r="O1177" s="27"/>
      <c r="P1177" s="27"/>
      <c r="Q1177" s="27"/>
      <c r="R1177" s="27"/>
      <c r="S1177" s="27"/>
      <c r="T1177" s="27"/>
      <c r="U1177" s="27"/>
      <c r="V1177" s="27"/>
      <c r="W1177" s="27"/>
      <c r="X1177" s="27"/>
      <c r="Y1177" s="27"/>
      <c r="Z1177" s="27"/>
      <c r="AA1177" s="27"/>
      <c r="AF1177" s="27"/>
      <c r="AG1177" s="27"/>
      <c r="AH1177" s="27"/>
      <c r="AI1177" s="27"/>
      <c r="AJ1177" s="27"/>
      <c r="AK1177" s="27"/>
      <c r="AL1177" s="27"/>
      <c r="AM1177" s="27"/>
      <c r="AN1177" s="27"/>
      <c r="AO1177" s="27"/>
      <c r="AP1177" s="27"/>
      <c r="AQ1177" s="27"/>
      <c r="AR1177" s="27"/>
      <c r="AS1177" s="27"/>
      <c r="AT1177" s="27"/>
      <c r="AU1177" s="27"/>
    </row>
    <row r="1178" spans="1:47" ht="15.75" customHeight="1">
      <c r="A1178" s="100"/>
      <c r="E1178" s="94"/>
      <c r="F1178" s="100"/>
      <c r="G1178" s="100"/>
      <c r="H1178" s="100"/>
      <c r="I1178" s="100"/>
      <c r="J1178" s="100"/>
      <c r="K1178" s="100"/>
      <c r="L1178" s="27"/>
      <c r="M1178" s="27"/>
      <c r="N1178" s="27"/>
      <c r="O1178" s="27"/>
      <c r="P1178" s="27"/>
      <c r="Q1178" s="27"/>
      <c r="R1178" s="27"/>
      <c r="S1178" s="27"/>
      <c r="T1178" s="27"/>
      <c r="U1178" s="27"/>
      <c r="V1178" s="27"/>
      <c r="W1178" s="27"/>
      <c r="X1178" s="27"/>
      <c r="Y1178" s="27"/>
      <c r="Z1178" s="27"/>
      <c r="AA1178" s="27"/>
      <c r="AF1178" s="27"/>
      <c r="AG1178" s="27"/>
      <c r="AH1178" s="27"/>
      <c r="AI1178" s="27"/>
      <c r="AJ1178" s="27"/>
      <c r="AK1178" s="27"/>
      <c r="AL1178" s="27"/>
      <c r="AM1178" s="27"/>
      <c r="AN1178" s="27"/>
      <c r="AO1178" s="27"/>
      <c r="AP1178" s="27"/>
      <c r="AQ1178" s="27"/>
      <c r="AR1178" s="27"/>
      <c r="AS1178" s="27"/>
      <c r="AT1178" s="27"/>
      <c r="AU1178" s="27"/>
    </row>
    <row r="1179" spans="1:47" ht="15.75" customHeight="1">
      <c r="A1179" s="100"/>
      <c r="E1179" s="94"/>
      <c r="F1179" s="100"/>
      <c r="G1179" s="100"/>
      <c r="H1179" s="100"/>
      <c r="I1179" s="100"/>
      <c r="J1179" s="100"/>
      <c r="K1179" s="100"/>
      <c r="L1179" s="27"/>
      <c r="M1179" s="27"/>
      <c r="N1179" s="27"/>
      <c r="O1179" s="27"/>
      <c r="P1179" s="27"/>
      <c r="Q1179" s="27"/>
      <c r="R1179" s="27"/>
      <c r="S1179" s="27"/>
      <c r="T1179" s="27"/>
      <c r="U1179" s="27"/>
      <c r="V1179" s="27"/>
      <c r="W1179" s="27"/>
      <c r="X1179" s="27"/>
      <c r="Y1179" s="27"/>
      <c r="Z1179" s="27"/>
      <c r="AA1179" s="27"/>
      <c r="AF1179" s="27"/>
      <c r="AG1179" s="27"/>
      <c r="AH1179" s="27"/>
      <c r="AI1179" s="27"/>
      <c r="AJ1179" s="27"/>
      <c r="AK1179" s="27"/>
      <c r="AL1179" s="27"/>
      <c r="AM1179" s="27"/>
      <c r="AN1179" s="27"/>
      <c r="AO1179" s="27"/>
      <c r="AP1179" s="27"/>
      <c r="AQ1179" s="27"/>
      <c r="AR1179" s="27"/>
      <c r="AS1179" s="27"/>
      <c r="AT1179" s="27"/>
      <c r="AU1179" s="27"/>
    </row>
    <row r="1180" spans="1:47" ht="15.75" customHeight="1">
      <c r="A1180" s="100"/>
      <c r="E1180" s="94"/>
      <c r="F1180" s="100"/>
      <c r="G1180" s="100"/>
      <c r="H1180" s="100"/>
      <c r="I1180" s="100"/>
      <c r="J1180" s="100"/>
      <c r="K1180" s="100"/>
      <c r="L1180" s="27"/>
      <c r="M1180" s="27"/>
      <c r="N1180" s="27"/>
      <c r="O1180" s="27"/>
      <c r="P1180" s="27"/>
      <c r="Q1180" s="27"/>
      <c r="R1180" s="27"/>
      <c r="S1180" s="27"/>
      <c r="T1180" s="27"/>
      <c r="U1180" s="27"/>
      <c r="V1180" s="27"/>
      <c r="W1180" s="27"/>
      <c r="X1180" s="27"/>
      <c r="Y1180" s="27"/>
      <c r="Z1180" s="27"/>
      <c r="AA1180" s="27"/>
      <c r="AF1180" s="27"/>
      <c r="AG1180" s="27"/>
      <c r="AH1180" s="27"/>
      <c r="AI1180" s="27"/>
      <c r="AJ1180" s="27"/>
      <c r="AK1180" s="27"/>
      <c r="AL1180" s="27"/>
      <c r="AM1180" s="27"/>
      <c r="AN1180" s="27"/>
      <c r="AO1180" s="27"/>
      <c r="AP1180" s="27"/>
      <c r="AQ1180" s="27"/>
      <c r="AR1180" s="27"/>
      <c r="AS1180" s="27"/>
      <c r="AT1180" s="27"/>
      <c r="AU1180" s="27"/>
    </row>
    <row r="1181" spans="1:47" ht="15.75" customHeight="1">
      <c r="A1181" s="100"/>
      <c r="E1181" s="94"/>
      <c r="F1181" s="100"/>
      <c r="G1181" s="100"/>
      <c r="H1181" s="100"/>
      <c r="I1181" s="100"/>
      <c r="J1181" s="100"/>
      <c r="K1181" s="100"/>
      <c r="L1181" s="27"/>
      <c r="M1181" s="27"/>
      <c r="N1181" s="27"/>
      <c r="O1181" s="27"/>
      <c r="P1181" s="27"/>
      <c r="Q1181" s="27"/>
      <c r="R1181" s="27"/>
      <c r="S1181" s="27"/>
      <c r="T1181" s="27"/>
      <c r="U1181" s="27"/>
      <c r="V1181" s="27"/>
      <c r="W1181" s="27"/>
      <c r="X1181" s="27"/>
      <c r="Y1181" s="27"/>
      <c r="Z1181" s="27"/>
      <c r="AA1181" s="27"/>
      <c r="AF1181" s="27"/>
      <c r="AG1181" s="27"/>
      <c r="AH1181" s="27"/>
      <c r="AI1181" s="27"/>
      <c r="AJ1181" s="27"/>
      <c r="AK1181" s="27"/>
      <c r="AL1181" s="27"/>
      <c r="AM1181" s="27"/>
      <c r="AN1181" s="27"/>
      <c r="AO1181" s="27"/>
      <c r="AP1181" s="27"/>
      <c r="AQ1181" s="27"/>
      <c r="AR1181" s="27"/>
      <c r="AS1181" s="27"/>
      <c r="AT1181" s="27"/>
      <c r="AU1181" s="27"/>
    </row>
    <row r="1182" spans="1:47" ht="15.75" customHeight="1">
      <c r="A1182" s="100"/>
      <c r="E1182" s="94"/>
      <c r="F1182" s="100"/>
      <c r="G1182" s="100"/>
      <c r="H1182" s="100"/>
      <c r="I1182" s="100"/>
      <c r="J1182" s="100"/>
      <c r="K1182" s="100"/>
      <c r="L1182" s="27"/>
      <c r="M1182" s="27"/>
      <c r="N1182" s="27"/>
      <c r="O1182" s="27"/>
      <c r="P1182" s="27"/>
      <c r="Q1182" s="27"/>
      <c r="R1182" s="27"/>
      <c r="S1182" s="27"/>
      <c r="T1182" s="27"/>
      <c r="U1182" s="27"/>
      <c r="V1182" s="27"/>
      <c r="W1182" s="27"/>
      <c r="X1182" s="27"/>
      <c r="Y1182" s="27"/>
      <c r="Z1182" s="27"/>
      <c r="AA1182" s="27"/>
      <c r="AF1182" s="27"/>
      <c r="AG1182" s="27"/>
      <c r="AH1182" s="27"/>
      <c r="AI1182" s="27"/>
      <c r="AJ1182" s="27"/>
      <c r="AK1182" s="27"/>
      <c r="AL1182" s="27"/>
      <c r="AM1182" s="27"/>
      <c r="AN1182" s="27"/>
      <c r="AO1182" s="27"/>
      <c r="AP1182" s="27"/>
      <c r="AQ1182" s="27"/>
      <c r="AR1182" s="27"/>
      <c r="AS1182" s="27"/>
      <c r="AT1182" s="27"/>
      <c r="AU1182" s="27"/>
    </row>
    <row r="1183" spans="1:47" ht="15.75" customHeight="1">
      <c r="A1183" s="100"/>
      <c r="E1183" s="94"/>
      <c r="F1183" s="100"/>
      <c r="G1183" s="100"/>
      <c r="H1183" s="100"/>
      <c r="I1183" s="100"/>
      <c r="J1183" s="100"/>
      <c r="K1183" s="100"/>
      <c r="L1183" s="27"/>
      <c r="M1183" s="27"/>
      <c r="N1183" s="27"/>
      <c r="O1183" s="27"/>
      <c r="P1183" s="27"/>
      <c r="Q1183" s="27"/>
      <c r="R1183" s="27"/>
      <c r="S1183" s="27"/>
      <c r="T1183" s="27"/>
      <c r="U1183" s="27"/>
      <c r="V1183" s="27"/>
      <c r="W1183" s="27"/>
      <c r="X1183" s="27"/>
      <c r="Y1183" s="27"/>
      <c r="Z1183" s="27"/>
      <c r="AA1183" s="27"/>
      <c r="AF1183" s="27"/>
      <c r="AG1183" s="27"/>
      <c r="AH1183" s="27"/>
      <c r="AI1183" s="27"/>
      <c r="AJ1183" s="27"/>
      <c r="AK1183" s="27"/>
      <c r="AL1183" s="27"/>
      <c r="AM1183" s="27"/>
      <c r="AN1183" s="27"/>
      <c r="AO1183" s="27"/>
      <c r="AP1183" s="27"/>
      <c r="AQ1183" s="27"/>
      <c r="AR1183" s="27"/>
      <c r="AS1183" s="27"/>
      <c r="AT1183" s="27"/>
      <c r="AU1183" s="27"/>
    </row>
    <row r="1184" spans="1:47" ht="15.75" customHeight="1">
      <c r="A1184" s="100"/>
      <c r="E1184" s="94"/>
      <c r="F1184" s="100"/>
      <c r="G1184" s="100"/>
      <c r="H1184" s="100"/>
      <c r="I1184" s="100"/>
      <c r="J1184" s="100"/>
      <c r="K1184" s="100"/>
      <c r="L1184" s="27"/>
      <c r="M1184" s="27"/>
      <c r="N1184" s="27"/>
      <c r="O1184" s="27"/>
      <c r="P1184" s="27"/>
      <c r="Q1184" s="27"/>
      <c r="R1184" s="27"/>
      <c r="S1184" s="27"/>
      <c r="T1184" s="27"/>
      <c r="U1184" s="27"/>
      <c r="V1184" s="27"/>
      <c r="W1184" s="27"/>
      <c r="X1184" s="27"/>
      <c r="Y1184" s="27"/>
      <c r="Z1184" s="27"/>
      <c r="AA1184" s="27"/>
      <c r="AF1184" s="27"/>
      <c r="AG1184" s="27"/>
      <c r="AH1184" s="27"/>
      <c r="AI1184" s="27"/>
      <c r="AJ1184" s="27"/>
      <c r="AK1184" s="27"/>
      <c r="AL1184" s="27"/>
      <c r="AM1184" s="27"/>
      <c r="AN1184" s="27"/>
      <c r="AO1184" s="27"/>
      <c r="AP1184" s="27"/>
      <c r="AQ1184" s="27"/>
      <c r="AR1184" s="27"/>
      <c r="AS1184" s="27"/>
      <c r="AT1184" s="27"/>
      <c r="AU1184" s="27"/>
    </row>
    <row r="1185" spans="1:47" ht="15.75" customHeight="1">
      <c r="A1185" s="100"/>
      <c r="E1185" s="94"/>
      <c r="F1185" s="100"/>
      <c r="G1185" s="100"/>
      <c r="H1185" s="100"/>
      <c r="I1185" s="100"/>
      <c r="J1185" s="100"/>
      <c r="K1185" s="100"/>
      <c r="L1185" s="27"/>
      <c r="M1185" s="27"/>
      <c r="N1185" s="27"/>
      <c r="O1185" s="27"/>
      <c r="P1185" s="27"/>
      <c r="Q1185" s="27"/>
      <c r="R1185" s="27"/>
      <c r="S1185" s="27"/>
      <c r="T1185" s="27"/>
      <c r="U1185" s="27"/>
      <c r="V1185" s="27"/>
      <c r="W1185" s="27"/>
      <c r="X1185" s="27"/>
      <c r="Y1185" s="27"/>
      <c r="Z1185" s="27"/>
      <c r="AA1185" s="27"/>
      <c r="AF1185" s="27"/>
      <c r="AG1185" s="27"/>
      <c r="AH1185" s="27"/>
      <c r="AI1185" s="27"/>
      <c r="AJ1185" s="27"/>
      <c r="AK1185" s="27"/>
      <c r="AL1185" s="27"/>
      <c r="AM1185" s="27"/>
      <c r="AN1185" s="27"/>
      <c r="AO1185" s="27"/>
      <c r="AP1185" s="27"/>
      <c r="AQ1185" s="27"/>
      <c r="AR1185" s="27"/>
      <c r="AS1185" s="27"/>
      <c r="AT1185" s="27"/>
      <c r="AU1185" s="27"/>
    </row>
    <row r="1186" spans="1:47" ht="15.75" customHeight="1">
      <c r="A1186" s="100"/>
      <c r="E1186" s="94"/>
      <c r="F1186" s="100"/>
      <c r="G1186" s="100"/>
      <c r="H1186" s="100"/>
      <c r="I1186" s="100"/>
      <c r="J1186" s="100"/>
      <c r="K1186" s="100"/>
      <c r="L1186" s="27"/>
      <c r="M1186" s="27"/>
      <c r="N1186" s="27"/>
      <c r="O1186" s="27"/>
      <c r="P1186" s="27"/>
      <c r="Q1186" s="27"/>
      <c r="R1186" s="27"/>
      <c r="S1186" s="27"/>
      <c r="T1186" s="27"/>
      <c r="U1186" s="27"/>
      <c r="V1186" s="27"/>
      <c r="W1186" s="27"/>
      <c r="X1186" s="27"/>
      <c r="Y1186" s="27"/>
      <c r="Z1186" s="27"/>
      <c r="AA1186" s="27"/>
      <c r="AF1186" s="27"/>
      <c r="AG1186" s="27"/>
      <c r="AH1186" s="27"/>
      <c r="AI1186" s="27"/>
      <c r="AJ1186" s="27"/>
      <c r="AK1186" s="27"/>
      <c r="AL1186" s="27"/>
      <c r="AM1186" s="27"/>
      <c r="AN1186" s="27"/>
      <c r="AO1186" s="27"/>
      <c r="AP1186" s="27"/>
      <c r="AQ1186" s="27"/>
      <c r="AR1186" s="27"/>
      <c r="AS1186" s="27"/>
      <c r="AT1186" s="27"/>
      <c r="AU1186" s="27"/>
    </row>
    <row r="1187" spans="1:47" ht="15.75" customHeight="1">
      <c r="A1187" s="100"/>
      <c r="E1187" s="94"/>
      <c r="F1187" s="100"/>
      <c r="G1187" s="100"/>
      <c r="H1187" s="100"/>
      <c r="I1187" s="100"/>
      <c r="J1187" s="100"/>
      <c r="K1187" s="100"/>
      <c r="L1187" s="27"/>
      <c r="M1187" s="27"/>
      <c r="N1187" s="27"/>
      <c r="O1187" s="27"/>
      <c r="P1187" s="27"/>
      <c r="Q1187" s="27"/>
      <c r="R1187" s="27"/>
      <c r="S1187" s="27"/>
      <c r="T1187" s="27"/>
      <c r="U1187" s="27"/>
      <c r="V1187" s="27"/>
      <c r="W1187" s="27"/>
      <c r="X1187" s="27"/>
      <c r="Y1187" s="27"/>
      <c r="Z1187" s="27"/>
      <c r="AA1187" s="27"/>
      <c r="AF1187" s="27"/>
      <c r="AG1187" s="27"/>
      <c r="AH1187" s="27"/>
      <c r="AI1187" s="27"/>
      <c r="AJ1187" s="27"/>
      <c r="AK1187" s="27"/>
      <c r="AL1187" s="27"/>
      <c r="AM1187" s="27"/>
      <c r="AN1187" s="27"/>
      <c r="AO1187" s="27"/>
      <c r="AP1187" s="27"/>
      <c r="AQ1187" s="27"/>
      <c r="AR1187" s="27"/>
      <c r="AS1187" s="27"/>
      <c r="AT1187" s="27"/>
      <c r="AU1187" s="27"/>
    </row>
    <row r="1188" spans="1:47" ht="15.75" customHeight="1">
      <c r="A1188" s="100"/>
      <c r="E1188" s="94"/>
      <c r="F1188" s="100"/>
      <c r="G1188" s="100"/>
      <c r="H1188" s="100"/>
      <c r="I1188" s="100"/>
      <c r="J1188" s="100"/>
      <c r="K1188" s="100"/>
      <c r="L1188" s="27"/>
      <c r="M1188" s="27"/>
      <c r="N1188" s="27"/>
      <c r="O1188" s="27"/>
      <c r="P1188" s="27"/>
      <c r="Q1188" s="27"/>
      <c r="R1188" s="27"/>
      <c r="S1188" s="27"/>
      <c r="T1188" s="27"/>
      <c r="U1188" s="27"/>
      <c r="V1188" s="27"/>
      <c r="W1188" s="27"/>
      <c r="X1188" s="27"/>
      <c r="Y1188" s="27"/>
      <c r="Z1188" s="27"/>
      <c r="AA1188" s="27"/>
      <c r="AF1188" s="27"/>
      <c r="AG1188" s="27"/>
      <c r="AH1188" s="27"/>
      <c r="AI1188" s="27"/>
      <c r="AJ1188" s="27"/>
      <c r="AK1188" s="27"/>
      <c r="AL1188" s="27"/>
      <c r="AM1188" s="27"/>
      <c r="AN1188" s="27"/>
      <c r="AO1188" s="27"/>
      <c r="AP1188" s="27"/>
      <c r="AQ1188" s="27"/>
      <c r="AR1188" s="27"/>
      <c r="AS1188" s="27"/>
      <c r="AT1188" s="27"/>
      <c r="AU1188" s="27"/>
    </row>
    <row r="1189" spans="1:47" ht="15.75" customHeight="1">
      <c r="A1189" s="100"/>
      <c r="E1189" s="94"/>
      <c r="F1189" s="100"/>
      <c r="G1189" s="100"/>
      <c r="H1189" s="100"/>
      <c r="I1189" s="100"/>
      <c r="J1189" s="100"/>
      <c r="K1189" s="100"/>
      <c r="L1189" s="27"/>
      <c r="M1189" s="27"/>
      <c r="N1189" s="27"/>
      <c r="O1189" s="27"/>
      <c r="P1189" s="27"/>
      <c r="Q1189" s="27"/>
      <c r="R1189" s="27"/>
      <c r="S1189" s="27"/>
      <c r="T1189" s="27"/>
      <c r="U1189" s="27"/>
      <c r="V1189" s="27"/>
      <c r="W1189" s="27"/>
      <c r="X1189" s="27"/>
      <c r="Y1189" s="27"/>
      <c r="Z1189" s="27"/>
      <c r="AA1189" s="27"/>
      <c r="AF1189" s="27"/>
      <c r="AG1189" s="27"/>
      <c r="AH1189" s="27"/>
      <c r="AI1189" s="27"/>
      <c r="AJ1189" s="27"/>
      <c r="AK1189" s="27"/>
      <c r="AL1189" s="27"/>
      <c r="AM1189" s="27"/>
      <c r="AN1189" s="27"/>
      <c r="AO1189" s="27"/>
      <c r="AP1189" s="27"/>
      <c r="AQ1189" s="27"/>
      <c r="AR1189" s="27"/>
      <c r="AS1189" s="27"/>
      <c r="AT1189" s="27"/>
      <c r="AU1189" s="27"/>
    </row>
    <row r="1190" spans="1:47" ht="15.75" customHeight="1">
      <c r="A1190" s="100"/>
      <c r="E1190" s="94"/>
      <c r="F1190" s="100"/>
      <c r="G1190" s="100"/>
      <c r="H1190" s="100"/>
      <c r="I1190" s="100"/>
      <c r="J1190" s="100"/>
      <c r="K1190" s="100"/>
      <c r="L1190" s="27"/>
      <c r="M1190" s="27"/>
      <c r="N1190" s="27"/>
      <c r="O1190" s="27"/>
      <c r="P1190" s="27"/>
      <c r="Q1190" s="27"/>
      <c r="R1190" s="27"/>
      <c r="S1190" s="27"/>
      <c r="T1190" s="27"/>
      <c r="U1190" s="27"/>
      <c r="V1190" s="27"/>
      <c r="W1190" s="27"/>
      <c r="X1190" s="27"/>
      <c r="Y1190" s="27"/>
      <c r="Z1190" s="27"/>
      <c r="AA1190" s="27"/>
      <c r="AF1190" s="27"/>
      <c r="AG1190" s="27"/>
      <c r="AH1190" s="27"/>
      <c r="AI1190" s="27"/>
      <c r="AJ1190" s="27"/>
      <c r="AK1190" s="27"/>
      <c r="AL1190" s="27"/>
      <c r="AM1190" s="27"/>
      <c r="AN1190" s="27"/>
      <c r="AO1190" s="27"/>
      <c r="AP1190" s="27"/>
      <c r="AQ1190" s="27"/>
      <c r="AR1190" s="27"/>
      <c r="AS1190" s="27"/>
      <c r="AT1190" s="27"/>
      <c r="AU1190" s="27"/>
    </row>
    <row r="1191" spans="1:47" ht="15.75" customHeight="1">
      <c r="A1191" s="100"/>
      <c r="E1191" s="94"/>
      <c r="F1191" s="100"/>
      <c r="G1191" s="100"/>
      <c r="H1191" s="100"/>
      <c r="I1191" s="100"/>
      <c r="J1191" s="100"/>
      <c r="K1191" s="100"/>
      <c r="L1191" s="27"/>
      <c r="M1191" s="27"/>
      <c r="N1191" s="27"/>
      <c r="O1191" s="27"/>
      <c r="P1191" s="27"/>
      <c r="Q1191" s="27"/>
      <c r="R1191" s="27"/>
      <c r="S1191" s="27"/>
      <c r="T1191" s="27"/>
      <c r="U1191" s="27"/>
      <c r="V1191" s="27"/>
      <c r="W1191" s="27"/>
      <c r="X1191" s="27"/>
      <c r="Y1191" s="27"/>
      <c r="Z1191" s="27"/>
      <c r="AA1191" s="27"/>
      <c r="AF1191" s="27"/>
      <c r="AG1191" s="27"/>
      <c r="AH1191" s="27"/>
      <c r="AI1191" s="27"/>
      <c r="AJ1191" s="27"/>
      <c r="AK1191" s="27"/>
      <c r="AL1191" s="27"/>
      <c r="AM1191" s="27"/>
      <c r="AN1191" s="27"/>
      <c r="AO1191" s="27"/>
      <c r="AP1191" s="27"/>
      <c r="AQ1191" s="27"/>
      <c r="AR1191" s="27"/>
      <c r="AS1191" s="27"/>
      <c r="AT1191" s="27"/>
      <c r="AU1191" s="27"/>
    </row>
    <row r="1192" spans="1:47" ht="15.75" customHeight="1">
      <c r="A1192" s="100"/>
      <c r="E1192" s="94"/>
      <c r="F1192" s="100"/>
      <c r="G1192" s="100"/>
      <c r="H1192" s="100"/>
      <c r="I1192" s="100"/>
      <c r="J1192" s="100"/>
      <c r="K1192" s="100"/>
      <c r="L1192" s="27"/>
      <c r="M1192" s="27"/>
      <c r="N1192" s="27"/>
      <c r="O1192" s="27"/>
      <c r="P1192" s="27"/>
      <c r="Q1192" s="27"/>
      <c r="R1192" s="27"/>
      <c r="S1192" s="27"/>
      <c r="T1192" s="27"/>
      <c r="U1192" s="27"/>
      <c r="V1192" s="27"/>
      <c r="W1192" s="27"/>
      <c r="X1192" s="27"/>
      <c r="Y1192" s="27"/>
      <c r="Z1192" s="27"/>
      <c r="AA1192" s="27"/>
      <c r="AF1192" s="27"/>
      <c r="AG1192" s="27"/>
      <c r="AH1192" s="27"/>
      <c r="AI1192" s="27"/>
      <c r="AJ1192" s="27"/>
      <c r="AK1192" s="27"/>
      <c r="AL1192" s="27"/>
      <c r="AM1192" s="27"/>
      <c r="AN1192" s="27"/>
      <c r="AO1192" s="27"/>
      <c r="AP1192" s="27"/>
      <c r="AQ1192" s="27"/>
      <c r="AR1192" s="27"/>
      <c r="AS1192" s="27"/>
      <c r="AT1192" s="27"/>
      <c r="AU1192" s="27"/>
    </row>
    <row r="1193" spans="1:47" ht="15.75" customHeight="1">
      <c r="A1193" s="100"/>
      <c r="E1193" s="94"/>
      <c r="F1193" s="100"/>
      <c r="G1193" s="100"/>
      <c r="H1193" s="100"/>
      <c r="I1193" s="100"/>
      <c r="J1193" s="100"/>
      <c r="K1193" s="100"/>
      <c r="L1193" s="27"/>
      <c r="M1193" s="27"/>
      <c r="N1193" s="27"/>
      <c r="O1193" s="27"/>
      <c r="P1193" s="27"/>
      <c r="Q1193" s="27"/>
      <c r="R1193" s="27"/>
      <c r="S1193" s="27"/>
      <c r="T1193" s="27"/>
      <c r="U1193" s="27"/>
      <c r="V1193" s="27"/>
      <c r="W1193" s="27"/>
      <c r="X1193" s="27"/>
      <c r="Y1193" s="27"/>
      <c r="Z1193" s="27"/>
      <c r="AA1193" s="27"/>
      <c r="AF1193" s="27"/>
      <c r="AG1193" s="27"/>
      <c r="AH1193" s="27"/>
      <c r="AI1193" s="27"/>
      <c r="AJ1193" s="27"/>
      <c r="AK1193" s="27"/>
      <c r="AL1193" s="27"/>
      <c r="AM1193" s="27"/>
      <c r="AN1193" s="27"/>
      <c r="AO1193" s="27"/>
      <c r="AP1193" s="27"/>
      <c r="AQ1193" s="27"/>
      <c r="AR1193" s="27"/>
      <c r="AS1193" s="27"/>
      <c r="AT1193" s="27"/>
      <c r="AU1193" s="27"/>
    </row>
    <row r="1194" spans="1:47" ht="15.75" customHeight="1">
      <c r="A1194" s="100"/>
      <c r="E1194" s="94"/>
      <c r="F1194" s="100"/>
      <c r="G1194" s="100"/>
      <c r="H1194" s="100"/>
      <c r="I1194" s="100"/>
      <c r="J1194" s="100"/>
      <c r="K1194" s="100"/>
      <c r="L1194" s="27"/>
      <c r="M1194" s="27"/>
      <c r="N1194" s="27"/>
      <c r="O1194" s="27"/>
      <c r="P1194" s="27"/>
      <c r="Q1194" s="27"/>
      <c r="R1194" s="27"/>
      <c r="S1194" s="27"/>
      <c r="T1194" s="27"/>
      <c r="U1194" s="27"/>
      <c r="V1194" s="27"/>
      <c r="W1194" s="27"/>
      <c r="X1194" s="27"/>
      <c r="Y1194" s="27"/>
      <c r="Z1194" s="27"/>
      <c r="AA1194" s="27"/>
      <c r="AF1194" s="27"/>
      <c r="AG1194" s="27"/>
      <c r="AH1194" s="27"/>
      <c r="AI1194" s="27"/>
      <c r="AJ1194" s="27"/>
      <c r="AK1194" s="27"/>
      <c r="AL1194" s="27"/>
      <c r="AM1194" s="27"/>
      <c r="AN1194" s="27"/>
      <c r="AO1194" s="27"/>
      <c r="AP1194" s="27"/>
      <c r="AQ1194" s="27"/>
      <c r="AR1194" s="27"/>
      <c r="AS1194" s="27"/>
      <c r="AT1194" s="27"/>
      <c r="AU1194" s="27"/>
    </row>
    <row r="1195" spans="1:47" ht="15.75" customHeight="1">
      <c r="A1195" s="100"/>
      <c r="E1195" s="94"/>
      <c r="F1195" s="100"/>
      <c r="G1195" s="100"/>
      <c r="H1195" s="100"/>
      <c r="I1195" s="100"/>
      <c r="J1195" s="100"/>
      <c r="K1195" s="100"/>
      <c r="L1195" s="27"/>
      <c r="M1195" s="27"/>
      <c r="N1195" s="27"/>
      <c r="O1195" s="27"/>
      <c r="P1195" s="27"/>
      <c r="Q1195" s="27"/>
      <c r="R1195" s="27"/>
      <c r="S1195" s="27"/>
      <c r="T1195" s="27"/>
      <c r="U1195" s="27"/>
      <c r="V1195" s="27"/>
      <c r="W1195" s="27"/>
      <c r="X1195" s="27"/>
      <c r="Y1195" s="27"/>
      <c r="Z1195" s="27"/>
      <c r="AA1195" s="27"/>
      <c r="AF1195" s="27"/>
      <c r="AG1195" s="27"/>
      <c r="AH1195" s="27"/>
      <c r="AI1195" s="27"/>
      <c r="AJ1195" s="27"/>
      <c r="AK1195" s="27"/>
      <c r="AL1195" s="27"/>
      <c r="AM1195" s="27"/>
      <c r="AN1195" s="27"/>
      <c r="AO1195" s="27"/>
      <c r="AP1195" s="27"/>
      <c r="AQ1195" s="27"/>
      <c r="AR1195" s="27"/>
      <c r="AS1195" s="27"/>
      <c r="AT1195" s="27"/>
      <c r="AU1195" s="27"/>
    </row>
    <row r="1196" spans="1:47" ht="15.75" customHeight="1">
      <c r="A1196" s="100"/>
      <c r="E1196" s="94"/>
      <c r="F1196" s="100"/>
      <c r="G1196" s="100"/>
      <c r="H1196" s="100"/>
      <c r="I1196" s="100"/>
      <c r="J1196" s="100"/>
      <c r="K1196" s="100"/>
      <c r="L1196" s="27"/>
      <c r="M1196" s="27"/>
      <c r="N1196" s="27"/>
      <c r="O1196" s="27"/>
      <c r="P1196" s="27"/>
      <c r="Q1196" s="27"/>
      <c r="R1196" s="27"/>
      <c r="S1196" s="27"/>
      <c r="T1196" s="27"/>
      <c r="U1196" s="27"/>
      <c r="V1196" s="27"/>
      <c r="W1196" s="27"/>
      <c r="X1196" s="27"/>
      <c r="Y1196" s="27"/>
      <c r="Z1196" s="27"/>
      <c r="AA1196" s="27"/>
      <c r="AF1196" s="27"/>
      <c r="AG1196" s="27"/>
      <c r="AH1196" s="27"/>
      <c r="AI1196" s="27"/>
      <c r="AJ1196" s="27"/>
      <c r="AK1196" s="27"/>
      <c r="AL1196" s="27"/>
      <c r="AM1196" s="27"/>
      <c r="AN1196" s="27"/>
      <c r="AO1196" s="27"/>
      <c r="AP1196" s="27"/>
      <c r="AQ1196" s="27"/>
      <c r="AR1196" s="27"/>
      <c r="AS1196" s="27"/>
      <c r="AT1196" s="27"/>
      <c r="AU1196" s="27"/>
    </row>
    <row r="1197" spans="1:47" ht="15.75" customHeight="1">
      <c r="A1197" s="100"/>
      <c r="E1197" s="94"/>
      <c r="F1197" s="100"/>
      <c r="G1197" s="100"/>
      <c r="H1197" s="100"/>
      <c r="I1197" s="100"/>
      <c r="J1197" s="100"/>
      <c r="K1197" s="100"/>
      <c r="L1197" s="27"/>
      <c r="M1197" s="27"/>
      <c r="N1197" s="27"/>
      <c r="O1197" s="27"/>
      <c r="P1197" s="27"/>
      <c r="Q1197" s="27"/>
      <c r="R1197" s="27"/>
      <c r="S1197" s="27"/>
      <c r="T1197" s="27"/>
      <c r="U1197" s="27"/>
      <c r="V1197" s="27"/>
      <c r="W1197" s="27"/>
      <c r="X1197" s="27"/>
      <c r="Y1197" s="27"/>
      <c r="Z1197" s="27"/>
      <c r="AA1197" s="27"/>
      <c r="AF1197" s="27"/>
      <c r="AG1197" s="27"/>
      <c r="AH1197" s="27"/>
      <c r="AI1197" s="27"/>
      <c r="AJ1197" s="27"/>
      <c r="AK1197" s="27"/>
      <c r="AL1197" s="27"/>
      <c r="AM1197" s="27"/>
      <c r="AN1197" s="27"/>
      <c r="AO1197" s="27"/>
      <c r="AP1197" s="27"/>
      <c r="AQ1197" s="27"/>
      <c r="AR1197" s="27"/>
      <c r="AS1197" s="27"/>
      <c r="AT1197" s="27"/>
      <c r="AU1197" s="27"/>
    </row>
    <row r="1198" spans="1:47" ht="15.75" customHeight="1">
      <c r="A1198" s="100"/>
      <c r="E1198" s="94"/>
      <c r="F1198" s="100"/>
      <c r="G1198" s="100"/>
      <c r="H1198" s="100"/>
      <c r="I1198" s="100"/>
      <c r="J1198" s="100"/>
      <c r="K1198" s="100"/>
      <c r="L1198" s="27"/>
      <c r="M1198" s="27"/>
      <c r="N1198" s="27"/>
      <c r="O1198" s="27"/>
      <c r="P1198" s="27"/>
      <c r="Q1198" s="27"/>
      <c r="R1198" s="27"/>
      <c r="S1198" s="27"/>
      <c r="T1198" s="27"/>
      <c r="U1198" s="27"/>
      <c r="V1198" s="27"/>
      <c r="W1198" s="27"/>
      <c r="X1198" s="27"/>
      <c r="Y1198" s="27"/>
      <c r="Z1198" s="27"/>
      <c r="AA1198" s="27"/>
      <c r="AF1198" s="27"/>
      <c r="AG1198" s="27"/>
      <c r="AH1198" s="27"/>
      <c r="AI1198" s="27"/>
      <c r="AJ1198" s="27"/>
      <c r="AK1198" s="27"/>
      <c r="AL1198" s="27"/>
      <c r="AM1198" s="27"/>
      <c r="AN1198" s="27"/>
      <c r="AO1198" s="27"/>
      <c r="AP1198" s="27"/>
      <c r="AQ1198" s="27"/>
      <c r="AR1198" s="27"/>
      <c r="AS1198" s="27"/>
      <c r="AT1198" s="27"/>
      <c r="AU1198" s="27"/>
    </row>
    <row r="1199" spans="1:47" ht="15.75" customHeight="1">
      <c r="A1199" s="100"/>
      <c r="E1199" s="94"/>
      <c r="F1199" s="100"/>
      <c r="G1199" s="100"/>
      <c r="H1199" s="100"/>
      <c r="I1199" s="100"/>
      <c r="J1199" s="100"/>
      <c r="K1199" s="100"/>
      <c r="L1199" s="27"/>
      <c r="M1199" s="27"/>
      <c r="N1199" s="27"/>
      <c r="O1199" s="27"/>
      <c r="P1199" s="27"/>
      <c r="Q1199" s="27"/>
      <c r="R1199" s="27"/>
      <c r="S1199" s="27"/>
      <c r="T1199" s="27"/>
      <c r="U1199" s="27"/>
      <c r="V1199" s="27"/>
      <c r="W1199" s="27"/>
      <c r="X1199" s="27"/>
      <c r="Y1199" s="27"/>
      <c r="Z1199" s="27"/>
      <c r="AA1199" s="27"/>
      <c r="AF1199" s="27"/>
      <c r="AG1199" s="27"/>
      <c r="AH1199" s="27"/>
      <c r="AI1199" s="27"/>
      <c r="AJ1199" s="27"/>
      <c r="AK1199" s="27"/>
      <c r="AL1199" s="27"/>
      <c r="AM1199" s="27"/>
      <c r="AN1199" s="27"/>
      <c r="AO1199" s="27"/>
      <c r="AP1199" s="27"/>
      <c r="AQ1199" s="27"/>
      <c r="AR1199" s="27"/>
      <c r="AS1199" s="27"/>
      <c r="AT1199" s="27"/>
      <c r="AU1199" s="27"/>
    </row>
    <row r="1200" spans="1:47" ht="15.75" customHeight="1">
      <c r="A1200" s="100"/>
      <c r="E1200" s="94"/>
      <c r="F1200" s="100"/>
      <c r="G1200" s="100"/>
      <c r="H1200" s="100"/>
      <c r="I1200" s="100"/>
      <c r="J1200" s="100"/>
      <c r="K1200" s="100"/>
      <c r="L1200" s="27"/>
      <c r="M1200" s="27"/>
      <c r="N1200" s="27"/>
      <c r="O1200" s="27"/>
      <c r="P1200" s="27"/>
      <c r="Q1200" s="27"/>
      <c r="R1200" s="27"/>
      <c r="S1200" s="27"/>
      <c r="T1200" s="27"/>
      <c r="U1200" s="27"/>
      <c r="V1200" s="27"/>
      <c r="W1200" s="27"/>
      <c r="X1200" s="27"/>
      <c r="Y1200" s="27"/>
      <c r="Z1200" s="27"/>
      <c r="AA1200" s="27"/>
      <c r="AF1200" s="27"/>
      <c r="AG1200" s="27"/>
      <c r="AH1200" s="27"/>
      <c r="AI1200" s="27"/>
      <c r="AJ1200" s="27"/>
      <c r="AK1200" s="27"/>
      <c r="AL1200" s="27"/>
      <c r="AM1200" s="27"/>
      <c r="AN1200" s="27"/>
      <c r="AO1200" s="27"/>
      <c r="AP1200" s="27"/>
      <c r="AQ1200" s="27"/>
      <c r="AR1200" s="27"/>
      <c r="AS1200" s="27"/>
      <c r="AT1200" s="27"/>
      <c r="AU1200" s="27"/>
    </row>
    <row r="1201" spans="1:47" ht="15.75" customHeight="1">
      <c r="A1201" s="100"/>
      <c r="E1201" s="94"/>
      <c r="F1201" s="100"/>
      <c r="G1201" s="100"/>
      <c r="H1201" s="100"/>
      <c r="I1201" s="100"/>
      <c r="J1201" s="100"/>
      <c r="K1201" s="100"/>
      <c r="L1201" s="27"/>
      <c r="M1201" s="27"/>
      <c r="N1201" s="27"/>
      <c r="O1201" s="27"/>
      <c r="P1201" s="27"/>
      <c r="Q1201" s="27"/>
      <c r="R1201" s="27"/>
      <c r="S1201" s="27"/>
      <c r="T1201" s="27"/>
      <c r="U1201" s="27"/>
      <c r="V1201" s="27"/>
      <c r="W1201" s="27"/>
      <c r="X1201" s="27"/>
      <c r="Y1201" s="27"/>
      <c r="Z1201" s="27"/>
      <c r="AA1201" s="27"/>
      <c r="AF1201" s="27"/>
      <c r="AG1201" s="27"/>
      <c r="AH1201" s="27"/>
      <c r="AI1201" s="27"/>
      <c r="AJ1201" s="27"/>
      <c r="AK1201" s="27"/>
      <c r="AL1201" s="27"/>
      <c r="AM1201" s="27"/>
      <c r="AN1201" s="27"/>
      <c r="AO1201" s="27"/>
      <c r="AP1201" s="27"/>
      <c r="AQ1201" s="27"/>
      <c r="AR1201" s="27"/>
      <c r="AS1201" s="27"/>
      <c r="AT1201" s="27"/>
      <c r="AU1201" s="27"/>
    </row>
    <row r="1202" spans="1:47" ht="15.75" customHeight="1">
      <c r="A1202" s="100"/>
      <c r="E1202" s="94"/>
      <c r="F1202" s="100"/>
      <c r="G1202" s="100"/>
      <c r="H1202" s="100"/>
      <c r="I1202" s="100"/>
      <c r="J1202" s="100"/>
      <c r="K1202" s="100"/>
      <c r="L1202" s="27"/>
      <c r="M1202" s="27"/>
      <c r="N1202" s="27"/>
      <c r="O1202" s="27"/>
      <c r="P1202" s="27"/>
      <c r="Q1202" s="27"/>
      <c r="R1202" s="27"/>
      <c r="S1202" s="27"/>
      <c r="T1202" s="27"/>
      <c r="U1202" s="27"/>
      <c r="V1202" s="27"/>
      <c r="W1202" s="27"/>
      <c r="X1202" s="27"/>
      <c r="Y1202" s="27"/>
      <c r="Z1202" s="27"/>
      <c r="AA1202" s="27"/>
      <c r="AF1202" s="27"/>
      <c r="AG1202" s="27"/>
      <c r="AH1202" s="27"/>
      <c r="AI1202" s="27"/>
      <c r="AJ1202" s="27"/>
      <c r="AK1202" s="27"/>
      <c r="AL1202" s="27"/>
      <c r="AM1202" s="27"/>
      <c r="AN1202" s="27"/>
      <c r="AO1202" s="27"/>
      <c r="AP1202" s="27"/>
      <c r="AQ1202" s="27"/>
      <c r="AR1202" s="27"/>
      <c r="AS1202" s="27"/>
      <c r="AT1202" s="27"/>
      <c r="AU1202" s="27"/>
    </row>
    <row r="1203" spans="1:47" ht="15.75" customHeight="1">
      <c r="A1203" s="100"/>
      <c r="E1203" s="94"/>
      <c r="F1203" s="100"/>
      <c r="G1203" s="100"/>
      <c r="H1203" s="100"/>
      <c r="I1203" s="100"/>
      <c r="J1203" s="100"/>
      <c r="K1203" s="100"/>
      <c r="L1203" s="27"/>
      <c r="M1203" s="27"/>
      <c r="N1203" s="27"/>
      <c r="O1203" s="27"/>
      <c r="P1203" s="27"/>
      <c r="Q1203" s="27"/>
      <c r="R1203" s="27"/>
      <c r="S1203" s="27"/>
      <c r="T1203" s="27"/>
      <c r="U1203" s="27"/>
      <c r="V1203" s="27"/>
      <c r="W1203" s="27"/>
      <c r="X1203" s="27"/>
      <c r="Y1203" s="27"/>
      <c r="Z1203" s="27"/>
      <c r="AA1203" s="27"/>
      <c r="AF1203" s="27"/>
      <c r="AG1203" s="27"/>
      <c r="AH1203" s="27"/>
      <c r="AI1203" s="27"/>
      <c r="AJ1203" s="27"/>
      <c r="AK1203" s="27"/>
      <c r="AL1203" s="27"/>
      <c r="AM1203" s="27"/>
      <c r="AN1203" s="27"/>
      <c r="AO1203" s="27"/>
      <c r="AP1203" s="27"/>
      <c r="AQ1203" s="27"/>
      <c r="AR1203" s="27"/>
      <c r="AS1203" s="27"/>
      <c r="AT1203" s="27"/>
      <c r="AU1203" s="27"/>
    </row>
    <row r="1204" spans="1:47" ht="15.75" customHeight="1">
      <c r="A1204" s="100"/>
      <c r="E1204" s="94"/>
      <c r="F1204" s="100"/>
      <c r="G1204" s="100"/>
      <c r="H1204" s="100"/>
      <c r="I1204" s="100"/>
      <c r="J1204" s="100"/>
      <c r="K1204" s="100"/>
      <c r="L1204" s="27"/>
      <c r="M1204" s="27"/>
      <c r="N1204" s="27"/>
      <c r="O1204" s="27"/>
      <c r="P1204" s="27"/>
      <c r="Q1204" s="27"/>
      <c r="R1204" s="27"/>
      <c r="S1204" s="27"/>
      <c r="T1204" s="27"/>
      <c r="U1204" s="27"/>
      <c r="V1204" s="27"/>
      <c r="W1204" s="27"/>
      <c r="X1204" s="27"/>
      <c r="Y1204" s="27"/>
      <c r="Z1204" s="27"/>
      <c r="AA1204" s="27"/>
      <c r="AF1204" s="27"/>
      <c r="AG1204" s="27"/>
      <c r="AH1204" s="27"/>
      <c r="AI1204" s="27"/>
      <c r="AJ1204" s="27"/>
      <c r="AK1204" s="27"/>
      <c r="AL1204" s="27"/>
      <c r="AM1204" s="27"/>
      <c r="AN1204" s="27"/>
      <c r="AO1204" s="27"/>
      <c r="AP1204" s="27"/>
      <c r="AQ1204" s="27"/>
      <c r="AR1204" s="27"/>
      <c r="AS1204" s="27"/>
      <c r="AT1204" s="27"/>
      <c r="AU1204" s="27"/>
    </row>
    <row r="1205" spans="1:47" ht="15.75" customHeight="1">
      <c r="A1205" s="100"/>
      <c r="E1205" s="94"/>
      <c r="F1205" s="100"/>
      <c r="G1205" s="100"/>
      <c r="H1205" s="100"/>
      <c r="I1205" s="100"/>
      <c r="J1205" s="100"/>
      <c r="K1205" s="100"/>
      <c r="L1205" s="27"/>
      <c r="M1205" s="27"/>
      <c r="N1205" s="27"/>
      <c r="O1205" s="27"/>
      <c r="P1205" s="27"/>
      <c r="Q1205" s="27"/>
      <c r="R1205" s="27"/>
      <c r="S1205" s="27"/>
      <c r="T1205" s="27"/>
      <c r="U1205" s="27"/>
      <c r="V1205" s="27"/>
      <c r="W1205" s="27"/>
      <c r="X1205" s="27"/>
      <c r="Y1205" s="27"/>
      <c r="Z1205" s="27"/>
      <c r="AA1205" s="27"/>
      <c r="AF1205" s="27"/>
      <c r="AG1205" s="27"/>
      <c r="AH1205" s="27"/>
      <c r="AI1205" s="27"/>
      <c r="AJ1205" s="27"/>
      <c r="AK1205" s="27"/>
      <c r="AL1205" s="27"/>
      <c r="AM1205" s="27"/>
      <c r="AN1205" s="27"/>
      <c r="AO1205" s="27"/>
      <c r="AP1205" s="27"/>
      <c r="AQ1205" s="27"/>
      <c r="AR1205" s="27"/>
      <c r="AS1205" s="27"/>
      <c r="AT1205" s="27"/>
      <c r="AU1205" s="27"/>
    </row>
    <row r="1206" spans="1:47" ht="15.75" customHeight="1">
      <c r="A1206" s="100"/>
      <c r="E1206" s="94"/>
      <c r="F1206" s="100"/>
      <c r="G1206" s="100"/>
      <c r="H1206" s="100"/>
      <c r="I1206" s="100"/>
      <c r="J1206" s="100"/>
      <c r="K1206" s="100"/>
      <c r="L1206" s="27"/>
      <c r="M1206" s="27"/>
      <c r="N1206" s="27"/>
      <c r="O1206" s="27"/>
      <c r="P1206" s="27"/>
      <c r="Q1206" s="27"/>
      <c r="R1206" s="27"/>
      <c r="S1206" s="27"/>
      <c r="T1206" s="27"/>
      <c r="U1206" s="27"/>
      <c r="V1206" s="27"/>
      <c r="W1206" s="27"/>
      <c r="X1206" s="27"/>
      <c r="Y1206" s="27"/>
      <c r="Z1206" s="27"/>
      <c r="AA1206" s="27"/>
      <c r="AF1206" s="27"/>
      <c r="AG1206" s="27"/>
      <c r="AH1206" s="27"/>
      <c r="AI1206" s="27"/>
      <c r="AJ1206" s="27"/>
      <c r="AK1206" s="27"/>
      <c r="AL1206" s="27"/>
      <c r="AM1206" s="27"/>
      <c r="AN1206" s="27"/>
      <c r="AO1206" s="27"/>
      <c r="AP1206" s="27"/>
      <c r="AQ1206" s="27"/>
      <c r="AR1206" s="27"/>
      <c r="AS1206" s="27"/>
      <c r="AT1206" s="27"/>
      <c r="AU1206" s="27"/>
    </row>
    <row r="1207" spans="1:47" ht="15.75" customHeight="1">
      <c r="A1207" s="100"/>
      <c r="E1207" s="94"/>
      <c r="F1207" s="100"/>
      <c r="G1207" s="100"/>
      <c r="H1207" s="100"/>
      <c r="I1207" s="100"/>
      <c r="J1207" s="100"/>
      <c r="K1207" s="100"/>
      <c r="L1207" s="27"/>
      <c r="M1207" s="27"/>
      <c r="N1207" s="27"/>
      <c r="O1207" s="27"/>
      <c r="P1207" s="27"/>
      <c r="Q1207" s="27"/>
      <c r="R1207" s="27"/>
      <c r="S1207" s="27"/>
      <c r="T1207" s="27"/>
      <c r="U1207" s="27"/>
      <c r="V1207" s="27"/>
      <c r="W1207" s="27"/>
      <c r="X1207" s="27"/>
      <c r="Y1207" s="27"/>
      <c r="Z1207" s="27"/>
      <c r="AA1207" s="27"/>
      <c r="AF1207" s="27"/>
      <c r="AG1207" s="27"/>
      <c r="AH1207" s="27"/>
      <c r="AI1207" s="27"/>
      <c r="AJ1207" s="27"/>
      <c r="AK1207" s="27"/>
      <c r="AL1207" s="27"/>
      <c r="AM1207" s="27"/>
      <c r="AN1207" s="27"/>
      <c r="AO1207" s="27"/>
      <c r="AP1207" s="27"/>
      <c r="AQ1207" s="27"/>
      <c r="AR1207" s="27"/>
      <c r="AS1207" s="27"/>
      <c r="AT1207" s="27"/>
      <c r="AU1207" s="27"/>
    </row>
    <row r="1208" spans="1:47" ht="15.75" customHeight="1">
      <c r="A1208" s="100"/>
      <c r="E1208" s="94"/>
      <c r="F1208" s="100"/>
      <c r="G1208" s="100"/>
      <c r="H1208" s="100"/>
      <c r="I1208" s="100"/>
      <c r="J1208" s="100"/>
      <c r="K1208" s="100"/>
      <c r="L1208" s="27"/>
      <c r="M1208" s="27"/>
      <c r="N1208" s="27"/>
      <c r="O1208" s="27"/>
      <c r="P1208" s="27"/>
      <c r="Q1208" s="27"/>
      <c r="R1208" s="27"/>
      <c r="S1208" s="27"/>
      <c r="T1208" s="27"/>
      <c r="U1208" s="27"/>
      <c r="V1208" s="27"/>
      <c r="W1208" s="27"/>
      <c r="X1208" s="27"/>
      <c r="Y1208" s="27"/>
      <c r="Z1208" s="27"/>
      <c r="AA1208" s="27"/>
      <c r="AF1208" s="27"/>
      <c r="AG1208" s="27"/>
      <c r="AH1208" s="27"/>
      <c r="AI1208" s="27"/>
      <c r="AJ1208" s="27"/>
      <c r="AK1208" s="27"/>
      <c r="AL1208" s="27"/>
      <c r="AM1208" s="27"/>
      <c r="AN1208" s="27"/>
      <c r="AO1208" s="27"/>
      <c r="AP1208" s="27"/>
      <c r="AQ1208" s="27"/>
      <c r="AR1208" s="27"/>
      <c r="AS1208" s="27"/>
      <c r="AT1208" s="27"/>
      <c r="AU1208" s="27"/>
    </row>
    <row r="1209" spans="1:47" ht="15.75" customHeight="1">
      <c r="A1209" s="100"/>
      <c r="E1209" s="94"/>
      <c r="F1209" s="100"/>
      <c r="G1209" s="100"/>
      <c r="H1209" s="100"/>
      <c r="I1209" s="100"/>
      <c r="J1209" s="100"/>
      <c r="K1209" s="100"/>
      <c r="L1209" s="27"/>
      <c r="M1209" s="27"/>
      <c r="N1209" s="27"/>
      <c r="O1209" s="27"/>
      <c r="P1209" s="27"/>
      <c r="Q1209" s="27"/>
      <c r="R1209" s="27"/>
      <c r="S1209" s="27"/>
      <c r="T1209" s="27"/>
      <c r="U1209" s="27"/>
      <c r="V1209" s="27"/>
      <c r="W1209" s="27"/>
      <c r="X1209" s="27"/>
      <c r="Y1209" s="27"/>
      <c r="Z1209" s="27"/>
      <c r="AA1209" s="27"/>
      <c r="AF1209" s="27"/>
      <c r="AG1209" s="27"/>
      <c r="AH1209" s="27"/>
      <c r="AI1209" s="27"/>
      <c r="AJ1209" s="27"/>
      <c r="AK1209" s="27"/>
      <c r="AL1209" s="27"/>
      <c r="AM1209" s="27"/>
      <c r="AN1209" s="27"/>
      <c r="AO1209" s="27"/>
      <c r="AP1209" s="27"/>
      <c r="AQ1209" s="27"/>
      <c r="AR1209" s="27"/>
      <c r="AS1209" s="27"/>
      <c r="AT1209" s="27"/>
      <c r="AU1209" s="27"/>
    </row>
    <row r="1210" spans="1:47" ht="15.75" customHeight="1">
      <c r="A1210" s="100"/>
      <c r="E1210" s="94"/>
      <c r="F1210" s="100"/>
      <c r="G1210" s="100"/>
      <c r="H1210" s="100"/>
      <c r="I1210" s="100"/>
      <c r="J1210" s="100"/>
      <c r="K1210" s="100"/>
      <c r="L1210" s="27"/>
      <c r="M1210" s="27"/>
      <c r="N1210" s="27"/>
      <c r="O1210" s="27"/>
      <c r="P1210" s="27"/>
      <c r="Q1210" s="27"/>
      <c r="R1210" s="27"/>
      <c r="S1210" s="27"/>
      <c r="T1210" s="27"/>
      <c r="U1210" s="27"/>
      <c r="V1210" s="27"/>
      <c r="W1210" s="27"/>
      <c r="X1210" s="27"/>
      <c r="Y1210" s="27"/>
      <c r="Z1210" s="27"/>
      <c r="AA1210" s="27"/>
      <c r="AF1210" s="27"/>
      <c r="AG1210" s="27"/>
      <c r="AH1210" s="27"/>
      <c r="AI1210" s="27"/>
      <c r="AJ1210" s="27"/>
      <c r="AK1210" s="27"/>
      <c r="AL1210" s="27"/>
      <c r="AM1210" s="27"/>
      <c r="AN1210" s="27"/>
      <c r="AO1210" s="27"/>
      <c r="AP1210" s="27"/>
      <c r="AQ1210" s="27"/>
      <c r="AR1210" s="27"/>
      <c r="AS1210" s="27"/>
      <c r="AT1210" s="27"/>
      <c r="AU1210" s="27"/>
    </row>
    <row r="1211" spans="1:47" ht="15.75" customHeight="1">
      <c r="A1211" s="100"/>
      <c r="E1211" s="94"/>
      <c r="F1211" s="100"/>
      <c r="G1211" s="100"/>
      <c r="H1211" s="100"/>
      <c r="I1211" s="100"/>
      <c r="J1211" s="100"/>
      <c r="K1211" s="100"/>
      <c r="L1211" s="27"/>
      <c r="M1211" s="27"/>
      <c r="N1211" s="27"/>
      <c r="O1211" s="27"/>
      <c r="P1211" s="27"/>
      <c r="Q1211" s="27"/>
      <c r="R1211" s="27"/>
      <c r="S1211" s="27"/>
      <c r="T1211" s="27"/>
      <c r="U1211" s="27"/>
      <c r="V1211" s="27"/>
      <c r="W1211" s="27"/>
      <c r="X1211" s="27"/>
      <c r="Y1211" s="27"/>
      <c r="Z1211" s="27"/>
      <c r="AA1211" s="27"/>
      <c r="AF1211" s="27"/>
      <c r="AG1211" s="27"/>
      <c r="AH1211" s="27"/>
      <c r="AI1211" s="27"/>
      <c r="AJ1211" s="27"/>
      <c r="AK1211" s="27"/>
      <c r="AL1211" s="27"/>
      <c r="AM1211" s="27"/>
      <c r="AN1211" s="27"/>
      <c r="AO1211" s="27"/>
      <c r="AP1211" s="27"/>
      <c r="AQ1211" s="27"/>
      <c r="AR1211" s="27"/>
      <c r="AS1211" s="27"/>
      <c r="AT1211" s="27"/>
      <c r="AU1211" s="27"/>
    </row>
    <row r="1212" spans="1:47" ht="15.75" customHeight="1">
      <c r="A1212" s="100"/>
      <c r="E1212" s="94"/>
      <c r="F1212" s="100"/>
      <c r="G1212" s="100"/>
      <c r="H1212" s="100"/>
      <c r="I1212" s="100"/>
      <c r="J1212" s="100"/>
      <c r="K1212" s="100"/>
      <c r="L1212" s="27"/>
      <c r="M1212" s="27"/>
      <c r="N1212" s="27"/>
      <c r="O1212" s="27"/>
      <c r="P1212" s="27"/>
      <c r="Q1212" s="27"/>
      <c r="R1212" s="27"/>
      <c r="S1212" s="27"/>
      <c r="T1212" s="27"/>
      <c r="U1212" s="27"/>
      <c r="V1212" s="27"/>
      <c r="W1212" s="27"/>
      <c r="X1212" s="27"/>
      <c r="Y1212" s="27"/>
      <c r="Z1212" s="27"/>
      <c r="AA1212" s="27"/>
      <c r="AF1212" s="27"/>
      <c r="AG1212" s="27"/>
      <c r="AH1212" s="27"/>
      <c r="AI1212" s="27"/>
      <c r="AJ1212" s="27"/>
      <c r="AK1212" s="27"/>
      <c r="AL1212" s="27"/>
      <c r="AM1212" s="27"/>
      <c r="AN1212" s="27"/>
      <c r="AO1212" s="27"/>
      <c r="AP1212" s="27"/>
      <c r="AQ1212" s="27"/>
      <c r="AR1212" s="27"/>
      <c r="AS1212" s="27"/>
      <c r="AT1212" s="27"/>
      <c r="AU1212" s="27"/>
    </row>
    <row r="1213" spans="1:47" ht="15.75" customHeight="1">
      <c r="A1213" s="100"/>
      <c r="E1213" s="94"/>
      <c r="F1213" s="100"/>
      <c r="G1213" s="100"/>
      <c r="H1213" s="100"/>
      <c r="I1213" s="100"/>
      <c r="J1213" s="100"/>
      <c r="K1213" s="100"/>
      <c r="L1213" s="27"/>
      <c r="M1213" s="27"/>
      <c r="N1213" s="27"/>
      <c r="O1213" s="27"/>
      <c r="P1213" s="27"/>
      <c r="Q1213" s="27"/>
      <c r="R1213" s="27"/>
      <c r="S1213" s="27"/>
      <c r="T1213" s="27"/>
      <c r="U1213" s="27"/>
      <c r="V1213" s="27"/>
      <c r="W1213" s="27"/>
      <c r="X1213" s="27"/>
      <c r="Y1213" s="27"/>
      <c r="Z1213" s="27"/>
      <c r="AA1213" s="27"/>
      <c r="AF1213" s="27"/>
      <c r="AG1213" s="27"/>
      <c r="AH1213" s="27"/>
      <c r="AI1213" s="27"/>
      <c r="AJ1213" s="27"/>
      <c r="AK1213" s="27"/>
      <c r="AL1213" s="27"/>
      <c r="AM1213" s="27"/>
      <c r="AN1213" s="27"/>
      <c r="AO1213" s="27"/>
      <c r="AP1213" s="27"/>
      <c r="AQ1213" s="27"/>
      <c r="AR1213" s="27"/>
      <c r="AS1213" s="27"/>
      <c r="AT1213" s="27"/>
      <c r="AU1213" s="27"/>
    </row>
    <row r="1214" spans="1:47" ht="15.75" customHeight="1">
      <c r="A1214" s="100"/>
      <c r="E1214" s="94"/>
      <c r="F1214" s="100"/>
      <c r="G1214" s="100"/>
      <c r="H1214" s="100"/>
      <c r="I1214" s="100"/>
      <c r="J1214" s="100"/>
      <c r="K1214" s="100"/>
      <c r="L1214" s="27"/>
      <c r="M1214" s="27"/>
      <c r="N1214" s="27"/>
      <c r="O1214" s="27"/>
      <c r="P1214" s="27"/>
      <c r="Q1214" s="27"/>
      <c r="R1214" s="27"/>
      <c r="S1214" s="27"/>
      <c r="T1214" s="27"/>
      <c r="U1214" s="27"/>
      <c r="V1214" s="27"/>
      <c r="W1214" s="27"/>
      <c r="X1214" s="27"/>
      <c r="Y1214" s="27"/>
      <c r="Z1214" s="27"/>
      <c r="AA1214" s="27"/>
      <c r="AF1214" s="27"/>
      <c r="AG1214" s="27"/>
      <c r="AH1214" s="27"/>
      <c r="AI1214" s="27"/>
      <c r="AJ1214" s="27"/>
      <c r="AK1214" s="27"/>
      <c r="AL1214" s="27"/>
      <c r="AM1214" s="27"/>
      <c r="AN1214" s="27"/>
      <c r="AO1214" s="27"/>
      <c r="AP1214" s="27"/>
      <c r="AQ1214" s="27"/>
      <c r="AR1214" s="27"/>
      <c r="AS1214" s="27"/>
      <c r="AT1214" s="27"/>
      <c r="AU1214" s="27"/>
    </row>
    <row r="1215" spans="1:47" ht="15.75" customHeight="1">
      <c r="A1215" s="100"/>
      <c r="E1215" s="94"/>
      <c r="F1215" s="100"/>
      <c r="G1215" s="100"/>
      <c r="H1215" s="100"/>
      <c r="I1215" s="100"/>
      <c r="J1215" s="100"/>
      <c r="K1215" s="100"/>
      <c r="L1215" s="27"/>
      <c r="M1215" s="27"/>
      <c r="N1215" s="27"/>
      <c r="O1215" s="27"/>
      <c r="P1215" s="27"/>
      <c r="Q1215" s="27"/>
      <c r="R1215" s="27"/>
      <c r="S1215" s="27"/>
      <c r="T1215" s="27"/>
      <c r="U1215" s="27"/>
      <c r="V1215" s="27"/>
      <c r="W1215" s="27"/>
      <c r="X1215" s="27"/>
      <c r="Y1215" s="27"/>
      <c r="Z1215" s="27"/>
      <c r="AA1215" s="27"/>
      <c r="AF1215" s="27"/>
      <c r="AG1215" s="27"/>
      <c r="AH1215" s="27"/>
      <c r="AI1215" s="27"/>
      <c r="AJ1215" s="27"/>
      <c r="AK1215" s="27"/>
      <c r="AL1215" s="27"/>
      <c r="AM1215" s="27"/>
      <c r="AN1215" s="27"/>
      <c r="AO1215" s="27"/>
      <c r="AP1215" s="27"/>
      <c r="AQ1215" s="27"/>
      <c r="AR1215" s="27"/>
      <c r="AS1215" s="27"/>
      <c r="AT1215" s="27"/>
      <c r="AU1215" s="27"/>
    </row>
    <row r="1216" spans="1:47" ht="15.75" customHeight="1">
      <c r="A1216" s="100"/>
      <c r="E1216" s="94"/>
      <c r="F1216" s="100"/>
      <c r="G1216" s="100"/>
      <c r="H1216" s="100"/>
      <c r="I1216" s="100"/>
      <c r="J1216" s="100"/>
      <c r="K1216" s="100"/>
      <c r="L1216" s="27"/>
      <c r="M1216" s="27"/>
      <c r="N1216" s="27"/>
      <c r="O1216" s="27"/>
      <c r="P1216" s="27"/>
      <c r="Q1216" s="27"/>
      <c r="R1216" s="27"/>
      <c r="S1216" s="27"/>
      <c r="T1216" s="27"/>
      <c r="U1216" s="27"/>
      <c r="V1216" s="27"/>
      <c r="W1216" s="27"/>
      <c r="X1216" s="27"/>
      <c r="Y1216" s="27"/>
      <c r="Z1216" s="27"/>
      <c r="AA1216" s="27"/>
      <c r="AF1216" s="27"/>
      <c r="AG1216" s="27"/>
      <c r="AH1216" s="27"/>
      <c r="AI1216" s="27"/>
      <c r="AJ1216" s="27"/>
      <c r="AK1216" s="27"/>
      <c r="AL1216" s="27"/>
      <c r="AM1216" s="27"/>
      <c r="AN1216" s="27"/>
      <c r="AO1216" s="27"/>
      <c r="AP1216" s="27"/>
      <c r="AQ1216" s="27"/>
      <c r="AR1216" s="27"/>
      <c r="AS1216" s="27"/>
      <c r="AT1216" s="27"/>
      <c r="AU1216" s="27"/>
    </row>
    <row r="1217" spans="1:47" ht="15.75" customHeight="1">
      <c r="A1217" s="100"/>
      <c r="E1217" s="94"/>
      <c r="F1217" s="100"/>
      <c r="G1217" s="100"/>
      <c r="H1217" s="100"/>
      <c r="I1217" s="100"/>
      <c r="J1217" s="100"/>
      <c r="K1217" s="100"/>
      <c r="L1217" s="27"/>
      <c r="M1217" s="27"/>
      <c r="N1217" s="27"/>
      <c r="O1217" s="27"/>
      <c r="P1217" s="27"/>
      <c r="Q1217" s="27"/>
      <c r="R1217" s="27"/>
      <c r="S1217" s="27"/>
      <c r="T1217" s="27"/>
      <c r="U1217" s="27"/>
      <c r="V1217" s="27"/>
      <c r="W1217" s="27"/>
      <c r="X1217" s="27"/>
      <c r="Y1217" s="27"/>
      <c r="Z1217" s="27"/>
      <c r="AA1217" s="27"/>
      <c r="AF1217" s="27"/>
      <c r="AG1217" s="27"/>
      <c r="AH1217" s="27"/>
      <c r="AI1217" s="27"/>
      <c r="AJ1217" s="27"/>
      <c r="AK1217" s="27"/>
      <c r="AL1217" s="27"/>
      <c r="AM1217" s="27"/>
      <c r="AN1217" s="27"/>
      <c r="AO1217" s="27"/>
      <c r="AP1217" s="27"/>
      <c r="AQ1217" s="27"/>
      <c r="AR1217" s="27"/>
      <c r="AS1217" s="27"/>
      <c r="AT1217" s="27"/>
      <c r="AU1217" s="27"/>
    </row>
    <row r="1218" spans="1:47" ht="15.75" customHeight="1">
      <c r="A1218" s="100"/>
      <c r="E1218" s="94"/>
      <c r="F1218" s="100"/>
      <c r="G1218" s="100"/>
      <c r="H1218" s="100"/>
      <c r="I1218" s="100"/>
      <c r="J1218" s="100"/>
      <c r="K1218" s="100"/>
      <c r="L1218" s="27"/>
      <c r="M1218" s="27"/>
      <c r="N1218" s="27"/>
      <c r="O1218" s="27"/>
      <c r="P1218" s="27"/>
      <c r="Q1218" s="27"/>
      <c r="R1218" s="27"/>
      <c r="S1218" s="27"/>
      <c r="T1218" s="27"/>
      <c r="U1218" s="27"/>
      <c r="V1218" s="27"/>
      <c r="W1218" s="27"/>
      <c r="X1218" s="27"/>
      <c r="Y1218" s="27"/>
      <c r="Z1218" s="27"/>
      <c r="AA1218" s="27"/>
      <c r="AF1218" s="27"/>
      <c r="AG1218" s="27"/>
      <c r="AH1218" s="27"/>
      <c r="AI1218" s="27"/>
      <c r="AJ1218" s="27"/>
      <c r="AK1218" s="27"/>
      <c r="AL1218" s="27"/>
      <c r="AM1218" s="27"/>
      <c r="AN1218" s="27"/>
      <c r="AO1218" s="27"/>
      <c r="AP1218" s="27"/>
      <c r="AQ1218" s="27"/>
      <c r="AR1218" s="27"/>
      <c r="AS1218" s="27"/>
      <c r="AT1218" s="27"/>
      <c r="AU1218" s="27"/>
    </row>
    <row r="1219" spans="1:47" ht="15.75" customHeight="1">
      <c r="A1219" s="100"/>
      <c r="E1219" s="94"/>
      <c r="F1219" s="100"/>
      <c r="G1219" s="100"/>
      <c r="H1219" s="100"/>
      <c r="I1219" s="100"/>
      <c r="J1219" s="100"/>
      <c r="K1219" s="100"/>
      <c r="L1219" s="27"/>
      <c r="M1219" s="27"/>
      <c r="N1219" s="27"/>
      <c r="O1219" s="27"/>
      <c r="P1219" s="27"/>
      <c r="Q1219" s="27"/>
      <c r="R1219" s="27"/>
      <c r="S1219" s="27"/>
      <c r="T1219" s="27"/>
      <c r="U1219" s="27"/>
      <c r="V1219" s="27"/>
      <c r="W1219" s="27"/>
      <c r="X1219" s="27"/>
      <c r="Y1219" s="27"/>
      <c r="Z1219" s="27"/>
      <c r="AA1219" s="27"/>
      <c r="AF1219" s="27"/>
      <c r="AG1219" s="27"/>
      <c r="AH1219" s="27"/>
      <c r="AI1219" s="27"/>
      <c r="AJ1219" s="27"/>
      <c r="AK1219" s="27"/>
      <c r="AL1219" s="27"/>
      <c r="AM1219" s="27"/>
      <c r="AN1219" s="27"/>
      <c r="AO1219" s="27"/>
      <c r="AP1219" s="27"/>
      <c r="AQ1219" s="27"/>
      <c r="AR1219" s="27"/>
      <c r="AS1219" s="27"/>
      <c r="AT1219" s="27"/>
      <c r="AU1219" s="27"/>
    </row>
    <row r="1220" spans="1:47" ht="15.75" customHeight="1">
      <c r="A1220" s="100"/>
      <c r="E1220" s="94"/>
      <c r="F1220" s="100"/>
      <c r="G1220" s="100"/>
      <c r="H1220" s="100"/>
      <c r="I1220" s="100"/>
      <c r="J1220" s="100"/>
      <c r="K1220" s="100"/>
      <c r="L1220" s="27"/>
      <c r="M1220" s="27"/>
      <c r="N1220" s="27"/>
      <c r="O1220" s="27"/>
      <c r="P1220" s="27"/>
      <c r="Q1220" s="27"/>
      <c r="R1220" s="27"/>
      <c r="S1220" s="27"/>
      <c r="T1220" s="27"/>
      <c r="U1220" s="27"/>
      <c r="V1220" s="27"/>
      <c r="W1220" s="27"/>
      <c r="X1220" s="27"/>
      <c r="Y1220" s="27"/>
      <c r="Z1220" s="27"/>
      <c r="AA1220" s="27"/>
      <c r="AF1220" s="27"/>
      <c r="AG1220" s="27"/>
      <c r="AH1220" s="27"/>
      <c r="AI1220" s="27"/>
      <c r="AJ1220" s="27"/>
      <c r="AK1220" s="27"/>
      <c r="AL1220" s="27"/>
      <c r="AM1220" s="27"/>
      <c r="AN1220" s="27"/>
      <c r="AO1220" s="27"/>
      <c r="AP1220" s="27"/>
      <c r="AQ1220" s="27"/>
      <c r="AR1220" s="27"/>
      <c r="AS1220" s="27"/>
      <c r="AT1220" s="27"/>
      <c r="AU1220" s="27"/>
    </row>
    <row r="1221" spans="1:47" ht="15.75" customHeight="1">
      <c r="A1221" s="100"/>
      <c r="E1221" s="94"/>
      <c r="F1221" s="100"/>
      <c r="G1221" s="100"/>
      <c r="H1221" s="100"/>
      <c r="I1221" s="100"/>
      <c r="J1221" s="100"/>
      <c r="K1221" s="100"/>
      <c r="L1221" s="27"/>
      <c r="M1221" s="27"/>
      <c r="N1221" s="27"/>
      <c r="O1221" s="27"/>
      <c r="P1221" s="27"/>
      <c r="Q1221" s="27"/>
      <c r="R1221" s="27"/>
      <c r="S1221" s="27"/>
      <c r="T1221" s="27"/>
      <c r="U1221" s="27"/>
      <c r="V1221" s="27"/>
      <c r="W1221" s="27"/>
      <c r="X1221" s="27"/>
      <c r="Y1221" s="27"/>
      <c r="Z1221" s="27"/>
      <c r="AA1221" s="27"/>
      <c r="AF1221" s="27"/>
      <c r="AG1221" s="27"/>
      <c r="AH1221" s="27"/>
      <c r="AI1221" s="27"/>
      <c r="AJ1221" s="27"/>
      <c r="AK1221" s="27"/>
      <c r="AL1221" s="27"/>
      <c r="AM1221" s="27"/>
      <c r="AN1221" s="27"/>
      <c r="AO1221" s="27"/>
      <c r="AP1221" s="27"/>
      <c r="AQ1221" s="27"/>
      <c r="AR1221" s="27"/>
      <c r="AS1221" s="27"/>
      <c r="AT1221" s="27"/>
      <c r="AU1221" s="27"/>
    </row>
    <row r="1222" spans="1:47" ht="15.75" customHeight="1">
      <c r="A1222" s="100"/>
      <c r="E1222" s="94"/>
      <c r="F1222" s="100"/>
      <c r="G1222" s="100"/>
      <c r="H1222" s="100"/>
      <c r="I1222" s="100"/>
      <c r="J1222" s="100"/>
      <c r="K1222" s="100"/>
      <c r="L1222" s="27"/>
      <c r="M1222" s="27"/>
      <c r="N1222" s="27"/>
      <c r="O1222" s="27"/>
      <c r="P1222" s="27"/>
      <c r="Q1222" s="27"/>
      <c r="R1222" s="27"/>
      <c r="S1222" s="27"/>
      <c r="T1222" s="27"/>
      <c r="U1222" s="27"/>
      <c r="V1222" s="27"/>
      <c r="W1222" s="27"/>
      <c r="X1222" s="27"/>
      <c r="Y1222" s="27"/>
      <c r="Z1222" s="27"/>
      <c r="AA1222" s="27"/>
      <c r="AF1222" s="27"/>
      <c r="AG1222" s="27"/>
      <c r="AH1222" s="27"/>
      <c r="AI1222" s="27"/>
      <c r="AJ1222" s="27"/>
      <c r="AK1222" s="27"/>
      <c r="AL1222" s="27"/>
      <c r="AM1222" s="27"/>
      <c r="AN1222" s="27"/>
      <c r="AO1222" s="27"/>
      <c r="AP1222" s="27"/>
      <c r="AQ1222" s="27"/>
      <c r="AR1222" s="27"/>
      <c r="AS1222" s="27"/>
      <c r="AT1222" s="27"/>
      <c r="AU1222" s="27"/>
    </row>
    <row r="1223" spans="1:47" ht="15.75" customHeight="1">
      <c r="A1223" s="100"/>
      <c r="E1223" s="94"/>
      <c r="F1223" s="100"/>
      <c r="G1223" s="100"/>
      <c r="H1223" s="100"/>
      <c r="I1223" s="100"/>
      <c r="J1223" s="100"/>
      <c r="K1223" s="100"/>
      <c r="L1223" s="27"/>
      <c r="M1223" s="27"/>
      <c r="N1223" s="27"/>
      <c r="O1223" s="27"/>
      <c r="P1223" s="27"/>
      <c r="Q1223" s="27"/>
      <c r="R1223" s="27"/>
      <c r="S1223" s="27"/>
      <c r="T1223" s="27"/>
      <c r="U1223" s="27"/>
      <c r="V1223" s="27"/>
      <c r="W1223" s="27"/>
      <c r="X1223" s="27"/>
      <c r="Y1223" s="27"/>
      <c r="Z1223" s="27"/>
      <c r="AA1223" s="27"/>
      <c r="AF1223" s="27"/>
      <c r="AG1223" s="27"/>
      <c r="AH1223" s="27"/>
      <c r="AI1223" s="27"/>
      <c r="AJ1223" s="27"/>
      <c r="AK1223" s="27"/>
      <c r="AL1223" s="27"/>
      <c r="AM1223" s="27"/>
      <c r="AN1223" s="27"/>
      <c r="AO1223" s="27"/>
      <c r="AP1223" s="27"/>
      <c r="AQ1223" s="27"/>
      <c r="AR1223" s="27"/>
      <c r="AS1223" s="27"/>
      <c r="AT1223" s="27"/>
      <c r="AU1223" s="27"/>
    </row>
    <row r="1224" spans="1:47" ht="15.75" customHeight="1">
      <c r="A1224" s="100"/>
      <c r="E1224" s="94"/>
      <c r="F1224" s="100"/>
      <c r="G1224" s="100"/>
      <c r="H1224" s="100"/>
      <c r="I1224" s="100"/>
      <c r="J1224" s="100"/>
      <c r="K1224" s="100"/>
      <c r="L1224" s="27"/>
      <c r="M1224" s="27"/>
      <c r="N1224" s="27"/>
      <c r="O1224" s="27"/>
      <c r="P1224" s="27"/>
      <c r="Q1224" s="27"/>
      <c r="R1224" s="27"/>
      <c r="S1224" s="27"/>
      <c r="T1224" s="27"/>
      <c r="U1224" s="27"/>
      <c r="V1224" s="27"/>
      <c r="W1224" s="27"/>
      <c r="X1224" s="27"/>
      <c r="Y1224" s="27"/>
      <c r="Z1224" s="27"/>
      <c r="AA1224" s="27"/>
      <c r="AF1224" s="27"/>
      <c r="AG1224" s="27"/>
      <c r="AH1224" s="27"/>
      <c r="AI1224" s="27"/>
      <c r="AJ1224" s="27"/>
      <c r="AK1224" s="27"/>
      <c r="AL1224" s="27"/>
      <c r="AM1224" s="27"/>
      <c r="AN1224" s="27"/>
      <c r="AO1224" s="27"/>
      <c r="AP1224" s="27"/>
      <c r="AQ1224" s="27"/>
      <c r="AR1224" s="27"/>
      <c r="AS1224" s="27"/>
      <c r="AT1224" s="27"/>
      <c r="AU1224" s="27"/>
    </row>
    <row r="1225" spans="1:47" ht="15.75" customHeight="1">
      <c r="A1225" s="100"/>
      <c r="E1225" s="94"/>
      <c r="F1225" s="100"/>
      <c r="G1225" s="100"/>
      <c r="H1225" s="100"/>
      <c r="I1225" s="100"/>
      <c r="J1225" s="100"/>
      <c r="K1225" s="100"/>
      <c r="L1225" s="27"/>
      <c r="M1225" s="27"/>
      <c r="N1225" s="27"/>
      <c r="O1225" s="27"/>
      <c r="P1225" s="27"/>
      <c r="Q1225" s="27"/>
      <c r="R1225" s="27"/>
      <c r="S1225" s="27"/>
      <c r="T1225" s="27"/>
      <c r="U1225" s="27"/>
      <c r="V1225" s="27"/>
      <c r="W1225" s="27"/>
      <c r="X1225" s="27"/>
      <c r="Y1225" s="27"/>
      <c r="Z1225" s="27"/>
      <c r="AA1225" s="27"/>
      <c r="AF1225" s="27"/>
      <c r="AG1225" s="27"/>
      <c r="AH1225" s="27"/>
      <c r="AI1225" s="27"/>
      <c r="AJ1225" s="27"/>
      <c r="AK1225" s="27"/>
      <c r="AL1225" s="27"/>
      <c r="AM1225" s="27"/>
      <c r="AN1225" s="27"/>
      <c r="AO1225" s="27"/>
      <c r="AP1225" s="27"/>
      <c r="AQ1225" s="27"/>
      <c r="AR1225" s="27"/>
      <c r="AS1225" s="27"/>
      <c r="AT1225" s="27"/>
      <c r="AU1225" s="27"/>
    </row>
    <row r="1226" spans="1:47" ht="15.75" customHeight="1">
      <c r="A1226" s="100"/>
      <c r="E1226" s="94"/>
      <c r="F1226" s="100"/>
      <c r="G1226" s="100"/>
      <c r="H1226" s="100"/>
      <c r="I1226" s="100"/>
      <c r="J1226" s="100"/>
      <c r="K1226" s="100"/>
      <c r="L1226" s="27"/>
      <c r="M1226" s="27"/>
      <c r="N1226" s="27"/>
      <c r="O1226" s="27"/>
      <c r="P1226" s="27"/>
      <c r="Q1226" s="27"/>
      <c r="R1226" s="27"/>
      <c r="S1226" s="27"/>
      <c r="T1226" s="27"/>
      <c r="U1226" s="27"/>
      <c r="V1226" s="27"/>
      <c r="W1226" s="27"/>
      <c r="X1226" s="27"/>
      <c r="Y1226" s="27"/>
      <c r="Z1226" s="27"/>
      <c r="AA1226" s="27"/>
      <c r="AF1226" s="27"/>
      <c r="AG1226" s="27"/>
      <c r="AH1226" s="27"/>
      <c r="AI1226" s="27"/>
      <c r="AJ1226" s="27"/>
      <c r="AK1226" s="27"/>
      <c r="AL1226" s="27"/>
      <c r="AM1226" s="27"/>
      <c r="AN1226" s="27"/>
      <c r="AO1226" s="27"/>
      <c r="AP1226" s="27"/>
      <c r="AQ1226" s="27"/>
      <c r="AR1226" s="27"/>
      <c r="AS1226" s="27"/>
      <c r="AT1226" s="27"/>
      <c r="AU1226" s="27"/>
    </row>
    <row r="1227" spans="1:47" ht="15.75" customHeight="1">
      <c r="A1227" s="100"/>
      <c r="E1227" s="94"/>
      <c r="F1227" s="100"/>
      <c r="G1227" s="100"/>
      <c r="H1227" s="100"/>
      <c r="I1227" s="100"/>
      <c r="J1227" s="100"/>
      <c r="K1227" s="100"/>
      <c r="L1227" s="27"/>
      <c r="M1227" s="27"/>
      <c r="N1227" s="27"/>
      <c r="O1227" s="27"/>
      <c r="P1227" s="27"/>
      <c r="Q1227" s="27"/>
      <c r="R1227" s="27"/>
      <c r="S1227" s="27"/>
      <c r="T1227" s="27"/>
      <c r="U1227" s="27"/>
      <c r="V1227" s="27"/>
      <c r="W1227" s="27"/>
      <c r="X1227" s="27"/>
      <c r="Y1227" s="27"/>
      <c r="Z1227" s="27"/>
      <c r="AA1227" s="27"/>
      <c r="AF1227" s="27"/>
      <c r="AG1227" s="27"/>
      <c r="AH1227" s="27"/>
      <c r="AI1227" s="27"/>
      <c r="AJ1227" s="27"/>
      <c r="AK1227" s="27"/>
      <c r="AL1227" s="27"/>
      <c r="AM1227" s="27"/>
      <c r="AN1227" s="27"/>
      <c r="AO1227" s="27"/>
      <c r="AP1227" s="27"/>
      <c r="AQ1227" s="27"/>
      <c r="AR1227" s="27"/>
      <c r="AS1227" s="27"/>
      <c r="AT1227" s="27"/>
      <c r="AU1227" s="27"/>
    </row>
    <row r="1228" spans="1:47" ht="15.75" customHeight="1">
      <c r="A1228" s="100"/>
      <c r="E1228" s="94"/>
      <c r="F1228" s="100"/>
      <c r="G1228" s="100"/>
      <c r="H1228" s="100"/>
      <c r="I1228" s="100"/>
      <c r="J1228" s="100"/>
      <c r="K1228" s="100"/>
      <c r="L1228" s="27"/>
      <c r="M1228" s="27"/>
      <c r="N1228" s="27"/>
      <c r="O1228" s="27"/>
      <c r="P1228" s="27"/>
      <c r="Q1228" s="27"/>
      <c r="R1228" s="27"/>
      <c r="S1228" s="27"/>
      <c r="T1228" s="27"/>
      <c r="U1228" s="27"/>
      <c r="V1228" s="27"/>
      <c r="W1228" s="27"/>
      <c r="X1228" s="27"/>
      <c r="Y1228" s="27"/>
      <c r="Z1228" s="27"/>
      <c r="AA1228" s="27"/>
      <c r="AF1228" s="27"/>
      <c r="AG1228" s="27"/>
      <c r="AH1228" s="27"/>
      <c r="AI1228" s="27"/>
      <c r="AJ1228" s="27"/>
      <c r="AK1228" s="27"/>
      <c r="AL1228" s="27"/>
      <c r="AM1228" s="27"/>
      <c r="AN1228" s="27"/>
      <c r="AO1228" s="27"/>
      <c r="AP1228" s="27"/>
      <c r="AQ1228" s="27"/>
      <c r="AR1228" s="27"/>
      <c r="AS1228" s="27"/>
      <c r="AT1228" s="27"/>
      <c r="AU1228" s="27"/>
    </row>
    <row r="1229" spans="1:47" ht="15.75" customHeight="1">
      <c r="A1229" s="100"/>
      <c r="E1229" s="94"/>
      <c r="F1229" s="100"/>
      <c r="G1229" s="100"/>
      <c r="H1229" s="100"/>
      <c r="I1229" s="100"/>
      <c r="J1229" s="100"/>
      <c r="K1229" s="100"/>
      <c r="L1229" s="27"/>
      <c r="M1229" s="27"/>
      <c r="N1229" s="27"/>
      <c r="O1229" s="27"/>
      <c r="P1229" s="27"/>
      <c r="Q1229" s="27"/>
      <c r="R1229" s="27"/>
      <c r="S1229" s="27"/>
      <c r="T1229" s="27"/>
      <c r="U1229" s="27"/>
      <c r="V1229" s="27"/>
      <c r="W1229" s="27"/>
      <c r="X1229" s="27"/>
      <c r="Y1229" s="27"/>
      <c r="Z1229" s="27"/>
      <c r="AA1229" s="27"/>
      <c r="AF1229" s="27"/>
      <c r="AG1229" s="27"/>
      <c r="AH1229" s="27"/>
      <c r="AI1229" s="27"/>
      <c r="AJ1229" s="27"/>
      <c r="AK1229" s="27"/>
      <c r="AL1229" s="27"/>
      <c r="AM1229" s="27"/>
      <c r="AN1229" s="27"/>
      <c r="AO1229" s="27"/>
      <c r="AP1229" s="27"/>
      <c r="AQ1229" s="27"/>
      <c r="AR1229" s="27"/>
      <c r="AS1229" s="27"/>
      <c r="AT1229" s="27"/>
      <c r="AU1229" s="27"/>
    </row>
    <row r="1230" spans="1:47" ht="15.75" customHeight="1">
      <c r="A1230" s="100"/>
      <c r="E1230" s="94"/>
      <c r="F1230" s="100"/>
      <c r="G1230" s="100"/>
      <c r="H1230" s="100"/>
      <c r="I1230" s="100"/>
      <c r="J1230" s="100"/>
      <c r="K1230" s="100"/>
      <c r="L1230" s="27"/>
      <c r="M1230" s="27"/>
      <c r="N1230" s="27"/>
      <c r="O1230" s="27"/>
      <c r="P1230" s="27"/>
      <c r="Q1230" s="27"/>
      <c r="R1230" s="27"/>
      <c r="S1230" s="27"/>
      <c r="T1230" s="27"/>
      <c r="U1230" s="27"/>
      <c r="V1230" s="27"/>
      <c r="W1230" s="27"/>
      <c r="X1230" s="27"/>
      <c r="Y1230" s="27"/>
      <c r="Z1230" s="27"/>
      <c r="AA1230" s="27"/>
      <c r="AF1230" s="27"/>
      <c r="AG1230" s="27"/>
      <c r="AH1230" s="27"/>
      <c r="AI1230" s="27"/>
      <c r="AJ1230" s="27"/>
      <c r="AK1230" s="27"/>
      <c r="AL1230" s="27"/>
      <c r="AM1230" s="27"/>
      <c r="AN1230" s="27"/>
      <c r="AO1230" s="27"/>
      <c r="AP1230" s="27"/>
      <c r="AQ1230" s="27"/>
      <c r="AR1230" s="27"/>
      <c r="AS1230" s="27"/>
      <c r="AT1230" s="27"/>
      <c r="AU1230" s="27"/>
    </row>
    <row r="1231" spans="1:47" ht="15.75" customHeight="1">
      <c r="A1231" s="100"/>
      <c r="E1231" s="94"/>
      <c r="F1231" s="100"/>
      <c r="G1231" s="100"/>
      <c r="H1231" s="100"/>
      <c r="I1231" s="100"/>
      <c r="J1231" s="100"/>
      <c r="K1231" s="100"/>
      <c r="L1231" s="27"/>
      <c r="M1231" s="27"/>
      <c r="N1231" s="27"/>
      <c r="O1231" s="27"/>
      <c r="P1231" s="27"/>
      <c r="Q1231" s="27"/>
      <c r="R1231" s="27"/>
      <c r="S1231" s="27"/>
      <c r="T1231" s="27"/>
      <c r="U1231" s="27"/>
      <c r="V1231" s="27"/>
      <c r="W1231" s="27"/>
      <c r="X1231" s="27"/>
      <c r="Y1231" s="27"/>
      <c r="Z1231" s="27"/>
      <c r="AA1231" s="27"/>
      <c r="AF1231" s="27"/>
      <c r="AG1231" s="27"/>
      <c r="AH1231" s="27"/>
      <c r="AI1231" s="27"/>
      <c r="AJ1231" s="27"/>
      <c r="AK1231" s="27"/>
      <c r="AL1231" s="27"/>
      <c r="AM1231" s="27"/>
      <c r="AN1231" s="27"/>
      <c r="AO1231" s="27"/>
      <c r="AP1231" s="27"/>
      <c r="AQ1231" s="27"/>
      <c r="AR1231" s="27"/>
      <c r="AS1231" s="27"/>
      <c r="AT1231" s="27"/>
      <c r="AU1231" s="27"/>
    </row>
    <row r="1232" spans="1:47" ht="15.75" customHeight="1">
      <c r="A1232" s="100"/>
      <c r="E1232" s="94"/>
      <c r="F1232" s="100"/>
      <c r="G1232" s="100"/>
      <c r="H1232" s="100"/>
      <c r="I1232" s="100"/>
      <c r="J1232" s="100"/>
      <c r="K1232" s="100"/>
      <c r="L1232" s="27"/>
      <c r="M1232" s="27"/>
      <c r="N1232" s="27"/>
      <c r="O1232" s="27"/>
      <c r="P1232" s="27"/>
      <c r="Q1232" s="27"/>
      <c r="R1232" s="27"/>
      <c r="S1232" s="27"/>
      <c r="T1232" s="27"/>
      <c r="U1232" s="27"/>
      <c r="V1232" s="27"/>
      <c r="W1232" s="27"/>
      <c r="X1232" s="27"/>
      <c r="Y1232" s="27"/>
      <c r="Z1232" s="27"/>
      <c r="AA1232" s="27"/>
      <c r="AF1232" s="27"/>
      <c r="AG1232" s="27"/>
      <c r="AH1232" s="27"/>
      <c r="AI1232" s="27"/>
      <c r="AJ1232" s="27"/>
      <c r="AK1232" s="27"/>
      <c r="AL1232" s="27"/>
      <c r="AM1232" s="27"/>
      <c r="AN1232" s="27"/>
      <c r="AO1232" s="27"/>
      <c r="AP1232" s="27"/>
      <c r="AQ1232" s="27"/>
      <c r="AR1232" s="27"/>
      <c r="AS1232" s="27"/>
      <c r="AT1232" s="27"/>
      <c r="AU1232" s="27"/>
    </row>
    <row r="1233" spans="1:47" ht="15.75" customHeight="1">
      <c r="A1233" s="100"/>
      <c r="E1233" s="94"/>
      <c r="F1233" s="100"/>
      <c r="G1233" s="100"/>
      <c r="H1233" s="100"/>
      <c r="I1233" s="100"/>
      <c r="J1233" s="100"/>
      <c r="K1233" s="100"/>
      <c r="L1233" s="27"/>
      <c r="M1233" s="27"/>
      <c r="N1233" s="27"/>
      <c r="O1233" s="27"/>
      <c r="P1233" s="27"/>
      <c r="Q1233" s="27"/>
      <c r="R1233" s="27"/>
      <c r="S1233" s="27"/>
      <c r="T1233" s="27"/>
      <c r="U1233" s="27"/>
      <c r="V1233" s="27"/>
      <c r="W1233" s="27"/>
      <c r="X1233" s="27"/>
      <c r="Y1233" s="27"/>
      <c r="Z1233" s="27"/>
      <c r="AA1233" s="27"/>
      <c r="AF1233" s="27"/>
      <c r="AG1233" s="27"/>
      <c r="AH1233" s="27"/>
      <c r="AI1233" s="27"/>
      <c r="AJ1233" s="27"/>
      <c r="AK1233" s="27"/>
      <c r="AL1233" s="27"/>
      <c r="AM1233" s="27"/>
      <c r="AN1233" s="27"/>
      <c r="AO1233" s="27"/>
      <c r="AP1233" s="27"/>
      <c r="AQ1233" s="27"/>
      <c r="AR1233" s="27"/>
      <c r="AS1233" s="27"/>
      <c r="AT1233" s="27"/>
      <c r="AU1233" s="27"/>
    </row>
    <row r="1234" spans="1:47" ht="15.75" customHeight="1">
      <c r="A1234" s="100"/>
      <c r="E1234" s="94"/>
      <c r="F1234" s="100"/>
      <c r="G1234" s="100"/>
      <c r="H1234" s="100"/>
      <c r="I1234" s="100"/>
      <c r="J1234" s="100"/>
      <c r="K1234" s="100"/>
      <c r="L1234" s="27"/>
      <c r="M1234" s="27"/>
      <c r="N1234" s="27"/>
      <c r="O1234" s="27"/>
      <c r="P1234" s="27"/>
      <c r="Q1234" s="27"/>
      <c r="R1234" s="27"/>
      <c r="S1234" s="27"/>
      <c r="T1234" s="27"/>
      <c r="U1234" s="27"/>
      <c r="V1234" s="27"/>
      <c r="W1234" s="27"/>
      <c r="X1234" s="27"/>
      <c r="Y1234" s="27"/>
      <c r="Z1234" s="27"/>
      <c r="AA1234" s="27"/>
      <c r="AF1234" s="27"/>
      <c r="AG1234" s="27"/>
      <c r="AH1234" s="27"/>
      <c r="AI1234" s="27"/>
      <c r="AJ1234" s="27"/>
      <c r="AK1234" s="27"/>
      <c r="AL1234" s="27"/>
      <c r="AM1234" s="27"/>
      <c r="AN1234" s="27"/>
      <c r="AO1234" s="27"/>
      <c r="AP1234" s="27"/>
      <c r="AQ1234" s="27"/>
      <c r="AR1234" s="27"/>
      <c r="AS1234" s="27"/>
      <c r="AT1234" s="27"/>
      <c r="AU1234" s="27"/>
    </row>
    <row r="1235" spans="1:47" ht="15.75" customHeight="1">
      <c r="A1235" s="100"/>
      <c r="E1235" s="94"/>
      <c r="F1235" s="100"/>
      <c r="G1235" s="100"/>
      <c r="H1235" s="100"/>
      <c r="I1235" s="100"/>
      <c r="J1235" s="100"/>
      <c r="K1235" s="100"/>
      <c r="L1235" s="27"/>
      <c r="M1235" s="27"/>
      <c r="N1235" s="27"/>
      <c r="O1235" s="27"/>
      <c r="P1235" s="27"/>
      <c r="Q1235" s="27"/>
      <c r="R1235" s="27"/>
      <c r="S1235" s="27"/>
      <c r="T1235" s="27"/>
      <c r="U1235" s="27"/>
      <c r="V1235" s="27"/>
      <c r="W1235" s="27"/>
      <c r="X1235" s="27"/>
      <c r="Y1235" s="27"/>
      <c r="Z1235" s="27"/>
      <c r="AA1235" s="27"/>
      <c r="AF1235" s="27"/>
      <c r="AG1235" s="27"/>
      <c r="AH1235" s="27"/>
      <c r="AI1235" s="27"/>
      <c r="AJ1235" s="27"/>
      <c r="AK1235" s="27"/>
      <c r="AL1235" s="27"/>
      <c r="AM1235" s="27"/>
      <c r="AN1235" s="27"/>
      <c r="AO1235" s="27"/>
      <c r="AP1235" s="27"/>
      <c r="AQ1235" s="27"/>
      <c r="AR1235" s="27"/>
      <c r="AS1235" s="27"/>
      <c r="AT1235" s="27"/>
      <c r="AU1235" s="27"/>
    </row>
    <row r="1236" spans="1:47" ht="15.75" customHeight="1">
      <c r="A1236" s="100"/>
      <c r="E1236" s="94"/>
      <c r="F1236" s="100"/>
      <c r="G1236" s="100"/>
      <c r="H1236" s="100"/>
      <c r="I1236" s="100"/>
      <c r="J1236" s="100"/>
      <c r="K1236" s="100"/>
      <c r="L1236" s="27"/>
      <c r="M1236" s="27"/>
      <c r="N1236" s="27"/>
      <c r="O1236" s="27"/>
      <c r="P1236" s="27"/>
      <c r="Q1236" s="27"/>
      <c r="R1236" s="27"/>
      <c r="S1236" s="27"/>
      <c r="T1236" s="27"/>
      <c r="U1236" s="27"/>
      <c r="V1236" s="27"/>
      <c r="W1236" s="27"/>
      <c r="X1236" s="27"/>
      <c r="Y1236" s="27"/>
      <c r="Z1236" s="27"/>
      <c r="AA1236" s="27"/>
      <c r="AF1236" s="27"/>
      <c r="AG1236" s="27"/>
      <c r="AH1236" s="27"/>
      <c r="AI1236" s="27"/>
      <c r="AJ1236" s="27"/>
      <c r="AK1236" s="27"/>
      <c r="AL1236" s="27"/>
      <c r="AM1236" s="27"/>
      <c r="AN1236" s="27"/>
      <c r="AO1236" s="27"/>
      <c r="AP1236" s="27"/>
      <c r="AQ1236" s="27"/>
      <c r="AR1236" s="27"/>
      <c r="AS1236" s="27"/>
      <c r="AT1236" s="27"/>
      <c r="AU1236" s="27"/>
    </row>
    <row r="1237" spans="1:47" ht="15.75" customHeight="1">
      <c r="A1237" s="100"/>
      <c r="E1237" s="94"/>
      <c r="F1237" s="100"/>
      <c r="G1237" s="100"/>
      <c r="H1237" s="100"/>
      <c r="I1237" s="100"/>
      <c r="J1237" s="100"/>
      <c r="K1237" s="100"/>
      <c r="L1237" s="27"/>
      <c r="M1237" s="27"/>
      <c r="N1237" s="27"/>
      <c r="O1237" s="27"/>
      <c r="P1237" s="27"/>
      <c r="Q1237" s="27"/>
      <c r="R1237" s="27"/>
      <c r="S1237" s="27"/>
      <c r="T1237" s="27"/>
      <c r="U1237" s="27"/>
      <c r="V1237" s="27"/>
      <c r="W1237" s="27"/>
      <c r="X1237" s="27"/>
      <c r="Y1237" s="27"/>
      <c r="Z1237" s="27"/>
      <c r="AA1237" s="27"/>
      <c r="AF1237" s="27"/>
      <c r="AG1237" s="27"/>
      <c r="AH1237" s="27"/>
      <c r="AI1237" s="27"/>
      <c r="AJ1237" s="27"/>
      <c r="AK1237" s="27"/>
      <c r="AL1237" s="27"/>
      <c r="AM1237" s="27"/>
      <c r="AN1237" s="27"/>
      <c r="AO1237" s="27"/>
      <c r="AP1237" s="27"/>
      <c r="AQ1237" s="27"/>
      <c r="AR1237" s="27"/>
      <c r="AS1237" s="27"/>
      <c r="AT1237" s="27"/>
      <c r="AU1237" s="27"/>
    </row>
    <row r="1238" spans="1:47" ht="15.75" customHeight="1">
      <c r="A1238" s="100"/>
      <c r="E1238" s="94"/>
      <c r="F1238" s="100"/>
      <c r="G1238" s="100"/>
      <c r="H1238" s="100"/>
      <c r="I1238" s="100"/>
      <c r="J1238" s="100"/>
      <c r="K1238" s="100"/>
      <c r="L1238" s="27"/>
      <c r="M1238" s="27"/>
      <c r="N1238" s="27"/>
      <c r="O1238" s="27"/>
      <c r="P1238" s="27"/>
      <c r="Q1238" s="27"/>
      <c r="R1238" s="27"/>
      <c r="S1238" s="27"/>
      <c r="T1238" s="27"/>
      <c r="U1238" s="27"/>
      <c r="V1238" s="27"/>
      <c r="W1238" s="27"/>
      <c r="X1238" s="27"/>
      <c r="Y1238" s="27"/>
      <c r="Z1238" s="27"/>
      <c r="AA1238" s="27"/>
      <c r="AF1238" s="27"/>
      <c r="AG1238" s="27"/>
      <c r="AH1238" s="27"/>
      <c r="AI1238" s="27"/>
      <c r="AJ1238" s="27"/>
      <c r="AK1238" s="27"/>
      <c r="AL1238" s="27"/>
      <c r="AM1238" s="27"/>
      <c r="AN1238" s="27"/>
      <c r="AO1238" s="27"/>
      <c r="AP1238" s="27"/>
      <c r="AQ1238" s="27"/>
      <c r="AR1238" s="27"/>
      <c r="AS1238" s="27"/>
      <c r="AT1238" s="27"/>
      <c r="AU1238" s="27"/>
    </row>
    <row r="1239" spans="1:47" ht="15.75" customHeight="1">
      <c r="A1239" s="100"/>
      <c r="E1239" s="94"/>
      <c r="F1239" s="100"/>
      <c r="G1239" s="100"/>
      <c r="H1239" s="100"/>
      <c r="I1239" s="100"/>
      <c r="J1239" s="100"/>
      <c r="K1239" s="100"/>
      <c r="L1239" s="27"/>
      <c r="M1239" s="27"/>
      <c r="N1239" s="27"/>
      <c r="O1239" s="27"/>
      <c r="P1239" s="27"/>
      <c r="Q1239" s="27"/>
      <c r="R1239" s="27"/>
      <c r="S1239" s="27"/>
      <c r="T1239" s="27"/>
      <c r="U1239" s="27"/>
      <c r="V1239" s="27"/>
      <c r="W1239" s="27"/>
      <c r="X1239" s="27"/>
      <c r="Y1239" s="27"/>
      <c r="Z1239" s="27"/>
      <c r="AA1239" s="27"/>
      <c r="AF1239" s="27"/>
      <c r="AG1239" s="27"/>
      <c r="AH1239" s="27"/>
      <c r="AI1239" s="27"/>
      <c r="AJ1239" s="27"/>
      <c r="AK1239" s="27"/>
      <c r="AL1239" s="27"/>
      <c r="AM1239" s="27"/>
      <c r="AN1239" s="27"/>
      <c r="AO1239" s="27"/>
      <c r="AP1239" s="27"/>
      <c r="AQ1239" s="27"/>
      <c r="AR1239" s="27"/>
      <c r="AS1239" s="27"/>
      <c r="AT1239" s="27"/>
      <c r="AU1239" s="27"/>
    </row>
    <row r="1240" spans="1:47" ht="15.75" customHeight="1">
      <c r="A1240" s="100"/>
      <c r="E1240" s="94"/>
      <c r="F1240" s="100"/>
      <c r="G1240" s="100"/>
      <c r="H1240" s="100"/>
      <c r="I1240" s="100"/>
      <c r="J1240" s="100"/>
      <c r="K1240" s="100"/>
      <c r="L1240" s="27"/>
      <c r="M1240" s="27"/>
      <c r="N1240" s="27"/>
      <c r="O1240" s="27"/>
      <c r="P1240" s="27"/>
      <c r="Q1240" s="27"/>
      <c r="R1240" s="27"/>
      <c r="S1240" s="27"/>
      <c r="T1240" s="27"/>
      <c r="U1240" s="27"/>
      <c r="V1240" s="27"/>
      <c r="W1240" s="27"/>
      <c r="X1240" s="27"/>
      <c r="Y1240" s="27"/>
      <c r="Z1240" s="27"/>
      <c r="AA1240" s="27"/>
      <c r="AF1240" s="27"/>
      <c r="AG1240" s="27"/>
      <c r="AH1240" s="27"/>
      <c r="AI1240" s="27"/>
      <c r="AJ1240" s="27"/>
      <c r="AK1240" s="27"/>
      <c r="AL1240" s="27"/>
      <c r="AM1240" s="27"/>
      <c r="AN1240" s="27"/>
      <c r="AO1240" s="27"/>
      <c r="AP1240" s="27"/>
      <c r="AQ1240" s="27"/>
      <c r="AR1240" s="27"/>
      <c r="AS1240" s="27"/>
      <c r="AT1240" s="27"/>
      <c r="AU1240" s="27"/>
    </row>
    <row r="1241" spans="1:47" ht="15.75" customHeight="1">
      <c r="A1241" s="100"/>
      <c r="E1241" s="94"/>
      <c r="F1241" s="100"/>
      <c r="G1241" s="100"/>
      <c r="H1241" s="100"/>
      <c r="I1241" s="100"/>
      <c r="J1241" s="100"/>
      <c r="K1241" s="100"/>
      <c r="L1241" s="27"/>
      <c r="M1241" s="27"/>
      <c r="N1241" s="27"/>
      <c r="O1241" s="27"/>
      <c r="P1241" s="27"/>
      <c r="Q1241" s="27"/>
      <c r="R1241" s="27"/>
      <c r="S1241" s="27"/>
      <c r="T1241" s="27"/>
      <c r="U1241" s="27"/>
      <c r="V1241" s="27"/>
      <c r="W1241" s="27"/>
      <c r="X1241" s="27"/>
      <c r="Y1241" s="27"/>
      <c r="Z1241" s="27"/>
      <c r="AA1241" s="27"/>
      <c r="AF1241" s="27"/>
      <c r="AG1241" s="27"/>
      <c r="AH1241" s="27"/>
      <c r="AI1241" s="27"/>
      <c r="AJ1241" s="27"/>
      <c r="AK1241" s="27"/>
      <c r="AL1241" s="27"/>
      <c r="AM1241" s="27"/>
      <c r="AN1241" s="27"/>
      <c r="AO1241" s="27"/>
      <c r="AP1241" s="27"/>
      <c r="AQ1241" s="27"/>
      <c r="AR1241" s="27"/>
      <c r="AS1241" s="27"/>
      <c r="AT1241" s="27"/>
      <c r="AU1241" s="27"/>
    </row>
    <row r="1242" spans="1:47" ht="15.75" customHeight="1">
      <c r="A1242" s="100"/>
      <c r="E1242" s="94"/>
      <c r="F1242" s="100"/>
      <c r="G1242" s="100"/>
      <c r="H1242" s="100"/>
      <c r="I1242" s="100"/>
      <c r="J1242" s="100"/>
      <c r="K1242" s="100"/>
      <c r="L1242" s="27"/>
      <c r="M1242" s="27"/>
      <c r="N1242" s="27"/>
      <c r="O1242" s="27"/>
      <c r="P1242" s="27"/>
      <c r="Q1242" s="27"/>
      <c r="R1242" s="27"/>
      <c r="S1242" s="27"/>
      <c r="T1242" s="27"/>
      <c r="U1242" s="27"/>
      <c r="V1242" s="27"/>
      <c r="W1242" s="27"/>
      <c r="X1242" s="27"/>
      <c r="Y1242" s="27"/>
      <c r="Z1242" s="27"/>
      <c r="AA1242" s="27"/>
      <c r="AF1242" s="27"/>
      <c r="AG1242" s="27"/>
      <c r="AH1242" s="27"/>
      <c r="AI1242" s="27"/>
      <c r="AJ1242" s="27"/>
      <c r="AK1242" s="27"/>
      <c r="AL1242" s="27"/>
      <c r="AM1242" s="27"/>
      <c r="AN1242" s="27"/>
      <c r="AO1242" s="27"/>
      <c r="AP1242" s="27"/>
      <c r="AQ1242" s="27"/>
      <c r="AR1242" s="27"/>
      <c r="AS1242" s="27"/>
      <c r="AT1242" s="27"/>
      <c r="AU1242" s="27"/>
    </row>
    <row r="1243" spans="1:47" ht="15.75" customHeight="1">
      <c r="A1243" s="100"/>
      <c r="E1243" s="94"/>
      <c r="F1243" s="100"/>
      <c r="G1243" s="100"/>
      <c r="H1243" s="100"/>
      <c r="I1243" s="100"/>
      <c r="J1243" s="100"/>
      <c r="K1243" s="100"/>
      <c r="L1243" s="27"/>
      <c r="M1243" s="27"/>
      <c r="N1243" s="27"/>
      <c r="O1243" s="27"/>
      <c r="P1243" s="27"/>
      <c r="Q1243" s="27"/>
      <c r="R1243" s="27"/>
      <c r="S1243" s="27"/>
      <c r="T1243" s="27"/>
      <c r="U1243" s="27"/>
      <c r="V1243" s="27"/>
      <c r="W1243" s="27"/>
      <c r="X1243" s="27"/>
      <c r="Y1243" s="27"/>
      <c r="Z1243" s="27"/>
      <c r="AA1243" s="27"/>
      <c r="AF1243" s="27"/>
      <c r="AG1243" s="27"/>
      <c r="AH1243" s="27"/>
      <c r="AI1243" s="27"/>
      <c r="AJ1243" s="27"/>
      <c r="AK1243" s="27"/>
      <c r="AL1243" s="27"/>
      <c r="AM1243" s="27"/>
      <c r="AN1243" s="27"/>
      <c r="AO1243" s="27"/>
      <c r="AP1243" s="27"/>
      <c r="AQ1243" s="27"/>
      <c r="AR1243" s="27"/>
      <c r="AS1243" s="27"/>
      <c r="AT1243" s="27"/>
      <c r="AU1243" s="27"/>
    </row>
    <row r="1244" spans="1:47" ht="15.75" customHeight="1">
      <c r="A1244" s="100"/>
      <c r="E1244" s="94"/>
      <c r="F1244" s="100"/>
      <c r="G1244" s="100"/>
      <c r="H1244" s="100"/>
      <c r="I1244" s="100"/>
      <c r="J1244" s="100"/>
      <c r="K1244" s="100"/>
      <c r="L1244" s="27"/>
      <c r="M1244" s="27"/>
      <c r="N1244" s="27"/>
      <c r="O1244" s="27"/>
      <c r="P1244" s="27"/>
      <c r="Q1244" s="27"/>
      <c r="R1244" s="27"/>
      <c r="S1244" s="27"/>
      <c r="T1244" s="27"/>
      <c r="U1244" s="27"/>
      <c r="V1244" s="27"/>
      <c r="W1244" s="27"/>
      <c r="X1244" s="27"/>
      <c r="Y1244" s="27"/>
      <c r="Z1244" s="27"/>
      <c r="AA1244" s="27"/>
      <c r="AF1244" s="27"/>
      <c r="AG1244" s="27"/>
      <c r="AH1244" s="27"/>
      <c r="AI1244" s="27"/>
      <c r="AJ1244" s="27"/>
      <c r="AK1244" s="27"/>
      <c r="AL1244" s="27"/>
      <c r="AM1244" s="27"/>
      <c r="AN1244" s="27"/>
      <c r="AO1244" s="27"/>
      <c r="AP1244" s="27"/>
      <c r="AQ1244" s="27"/>
      <c r="AR1244" s="27"/>
      <c r="AS1244" s="27"/>
      <c r="AT1244" s="27"/>
      <c r="AU1244" s="27"/>
    </row>
    <row r="1245" spans="1:47" ht="15.75" customHeight="1">
      <c r="A1245" s="100"/>
      <c r="E1245" s="94"/>
      <c r="F1245" s="100"/>
      <c r="G1245" s="100"/>
      <c r="H1245" s="100"/>
      <c r="I1245" s="100"/>
      <c r="J1245" s="100"/>
      <c r="K1245" s="100"/>
      <c r="L1245" s="27"/>
      <c r="M1245" s="27"/>
      <c r="N1245" s="27"/>
      <c r="O1245" s="27"/>
      <c r="P1245" s="27"/>
      <c r="Q1245" s="27"/>
      <c r="R1245" s="27"/>
      <c r="S1245" s="27"/>
      <c r="T1245" s="27"/>
      <c r="U1245" s="27"/>
      <c r="V1245" s="27"/>
      <c r="W1245" s="27"/>
      <c r="X1245" s="27"/>
      <c r="Y1245" s="27"/>
      <c r="Z1245" s="27"/>
      <c r="AA1245" s="27"/>
      <c r="AF1245" s="27"/>
      <c r="AG1245" s="27"/>
      <c r="AH1245" s="27"/>
      <c r="AI1245" s="27"/>
      <c r="AJ1245" s="27"/>
      <c r="AK1245" s="27"/>
      <c r="AL1245" s="27"/>
      <c r="AM1245" s="27"/>
      <c r="AN1245" s="27"/>
      <c r="AO1245" s="27"/>
      <c r="AP1245" s="27"/>
      <c r="AQ1245" s="27"/>
      <c r="AR1245" s="27"/>
      <c r="AS1245" s="27"/>
      <c r="AT1245" s="27"/>
      <c r="AU1245" s="27"/>
    </row>
    <row r="1246" spans="1:47" ht="15.75" customHeight="1">
      <c r="A1246" s="100"/>
      <c r="E1246" s="94"/>
      <c r="F1246" s="100"/>
      <c r="G1246" s="100"/>
      <c r="H1246" s="100"/>
      <c r="I1246" s="100"/>
      <c r="J1246" s="100"/>
      <c r="K1246" s="100"/>
      <c r="L1246" s="27"/>
      <c r="M1246" s="27"/>
      <c r="N1246" s="27"/>
      <c r="O1246" s="27"/>
      <c r="P1246" s="27"/>
      <c r="Q1246" s="27"/>
      <c r="R1246" s="27"/>
      <c r="S1246" s="27"/>
      <c r="T1246" s="27"/>
      <c r="U1246" s="27"/>
      <c r="V1246" s="27"/>
      <c r="W1246" s="27"/>
      <c r="X1246" s="27"/>
      <c r="Y1246" s="27"/>
      <c r="Z1246" s="27"/>
      <c r="AA1246" s="27"/>
      <c r="AF1246" s="27"/>
      <c r="AG1246" s="27"/>
      <c r="AH1246" s="27"/>
      <c r="AI1246" s="27"/>
      <c r="AJ1246" s="27"/>
      <c r="AK1246" s="27"/>
      <c r="AL1246" s="27"/>
      <c r="AM1246" s="27"/>
      <c r="AN1246" s="27"/>
      <c r="AO1246" s="27"/>
      <c r="AP1246" s="27"/>
      <c r="AQ1246" s="27"/>
      <c r="AR1246" s="27"/>
      <c r="AS1246" s="27"/>
      <c r="AT1246" s="27"/>
      <c r="AU1246" s="27"/>
    </row>
    <row r="1247" spans="1:47" ht="15.75" customHeight="1">
      <c r="A1247" s="100"/>
      <c r="E1247" s="94"/>
      <c r="F1247" s="100"/>
      <c r="G1247" s="100"/>
      <c r="H1247" s="100"/>
      <c r="I1247" s="100"/>
      <c r="J1247" s="100"/>
      <c r="K1247" s="100"/>
      <c r="L1247" s="27"/>
      <c r="M1247" s="27"/>
      <c r="N1247" s="27"/>
      <c r="O1247" s="27"/>
      <c r="P1247" s="27"/>
      <c r="Q1247" s="27"/>
      <c r="R1247" s="27"/>
      <c r="S1247" s="27"/>
      <c r="T1247" s="27"/>
      <c r="U1247" s="27"/>
      <c r="V1247" s="27"/>
      <c r="W1247" s="27"/>
      <c r="X1247" s="27"/>
      <c r="Y1247" s="27"/>
      <c r="Z1247" s="27"/>
      <c r="AA1247" s="27"/>
      <c r="AF1247" s="27"/>
      <c r="AG1247" s="27"/>
      <c r="AH1247" s="27"/>
      <c r="AI1247" s="27"/>
      <c r="AJ1247" s="27"/>
      <c r="AK1247" s="27"/>
      <c r="AL1247" s="27"/>
      <c r="AM1247" s="27"/>
      <c r="AN1247" s="27"/>
      <c r="AO1247" s="27"/>
      <c r="AP1247" s="27"/>
      <c r="AQ1247" s="27"/>
      <c r="AR1247" s="27"/>
      <c r="AS1247" s="27"/>
      <c r="AT1247" s="27"/>
      <c r="AU1247" s="27"/>
    </row>
    <row r="1248" spans="1:47" ht="15.75" customHeight="1">
      <c r="A1248" s="100"/>
      <c r="E1248" s="94"/>
      <c r="F1248" s="100"/>
      <c r="G1248" s="100"/>
      <c r="H1248" s="100"/>
      <c r="I1248" s="100"/>
      <c r="J1248" s="100"/>
      <c r="K1248" s="100"/>
      <c r="L1248" s="27"/>
      <c r="M1248" s="27"/>
      <c r="N1248" s="27"/>
      <c r="O1248" s="27"/>
      <c r="P1248" s="27"/>
      <c r="Q1248" s="27"/>
      <c r="R1248" s="27"/>
      <c r="S1248" s="27"/>
      <c r="T1248" s="27"/>
      <c r="U1248" s="27"/>
      <c r="V1248" s="27"/>
      <c r="W1248" s="27"/>
      <c r="X1248" s="27"/>
      <c r="Y1248" s="27"/>
      <c r="Z1248" s="27"/>
      <c r="AA1248" s="27"/>
      <c r="AF1248" s="27"/>
      <c r="AG1248" s="27"/>
      <c r="AH1248" s="27"/>
      <c r="AI1248" s="27"/>
      <c r="AJ1248" s="27"/>
      <c r="AK1248" s="27"/>
      <c r="AL1248" s="27"/>
      <c r="AM1248" s="27"/>
      <c r="AN1248" s="27"/>
      <c r="AO1248" s="27"/>
      <c r="AP1248" s="27"/>
      <c r="AQ1248" s="27"/>
      <c r="AR1248" s="27"/>
      <c r="AS1248" s="27"/>
      <c r="AT1248" s="27"/>
      <c r="AU1248" s="27"/>
    </row>
    <row r="1249" spans="1:47" ht="15.75" customHeight="1">
      <c r="A1249" s="100"/>
      <c r="E1249" s="94"/>
      <c r="F1249" s="100"/>
      <c r="G1249" s="100"/>
      <c r="H1249" s="100"/>
      <c r="I1249" s="100"/>
      <c r="J1249" s="100"/>
      <c r="K1249" s="100"/>
      <c r="L1249" s="27"/>
      <c r="M1249" s="27"/>
      <c r="N1249" s="27"/>
      <c r="O1249" s="27"/>
      <c r="P1249" s="27"/>
      <c r="Q1249" s="27"/>
      <c r="R1249" s="27"/>
      <c r="S1249" s="27"/>
      <c r="T1249" s="27"/>
      <c r="U1249" s="27"/>
      <c r="V1249" s="27"/>
      <c r="W1249" s="27"/>
      <c r="X1249" s="27"/>
      <c r="Y1249" s="27"/>
      <c r="Z1249" s="27"/>
      <c r="AA1249" s="27"/>
      <c r="AF1249" s="27"/>
      <c r="AG1249" s="27"/>
      <c r="AH1249" s="27"/>
      <c r="AI1249" s="27"/>
      <c r="AJ1249" s="27"/>
      <c r="AK1249" s="27"/>
      <c r="AL1249" s="27"/>
      <c r="AM1249" s="27"/>
      <c r="AN1249" s="27"/>
      <c r="AO1249" s="27"/>
      <c r="AP1249" s="27"/>
      <c r="AQ1249" s="27"/>
      <c r="AR1249" s="27"/>
      <c r="AS1249" s="27"/>
      <c r="AT1249" s="27"/>
      <c r="AU1249" s="27"/>
    </row>
    <row r="1250" spans="1:47" ht="15.75" customHeight="1">
      <c r="A1250" s="100"/>
      <c r="E1250" s="94"/>
      <c r="F1250" s="100"/>
      <c r="G1250" s="100"/>
      <c r="H1250" s="100"/>
      <c r="I1250" s="100"/>
      <c r="J1250" s="100"/>
      <c r="K1250" s="100"/>
      <c r="L1250" s="27"/>
      <c r="M1250" s="27"/>
      <c r="N1250" s="27"/>
      <c r="O1250" s="27"/>
      <c r="P1250" s="27"/>
      <c r="Q1250" s="27"/>
      <c r="R1250" s="27"/>
      <c r="S1250" s="27"/>
      <c r="T1250" s="27"/>
      <c r="U1250" s="27"/>
      <c r="V1250" s="27"/>
      <c r="W1250" s="27"/>
      <c r="X1250" s="27"/>
      <c r="Y1250" s="27"/>
      <c r="Z1250" s="27"/>
      <c r="AA1250" s="27"/>
      <c r="AF1250" s="27"/>
      <c r="AG1250" s="27"/>
      <c r="AH1250" s="27"/>
      <c r="AI1250" s="27"/>
      <c r="AJ1250" s="27"/>
      <c r="AK1250" s="27"/>
      <c r="AL1250" s="27"/>
      <c r="AM1250" s="27"/>
      <c r="AN1250" s="27"/>
      <c r="AO1250" s="27"/>
      <c r="AP1250" s="27"/>
      <c r="AQ1250" s="27"/>
      <c r="AR1250" s="27"/>
      <c r="AS1250" s="27"/>
      <c r="AT1250" s="27"/>
      <c r="AU1250" s="27"/>
    </row>
    <row r="1251" spans="1:47" ht="15.75" customHeight="1">
      <c r="A1251" s="100"/>
      <c r="E1251" s="94"/>
      <c r="F1251" s="100"/>
      <c r="G1251" s="100"/>
      <c r="H1251" s="100"/>
      <c r="I1251" s="100"/>
      <c r="J1251" s="100"/>
      <c r="K1251" s="100"/>
      <c r="L1251" s="27"/>
      <c r="M1251" s="27"/>
      <c r="N1251" s="27"/>
      <c r="O1251" s="27"/>
      <c r="P1251" s="27"/>
      <c r="Q1251" s="27"/>
      <c r="R1251" s="27"/>
      <c r="S1251" s="27"/>
      <c r="T1251" s="27"/>
      <c r="U1251" s="27"/>
      <c r="V1251" s="27"/>
      <c r="W1251" s="27"/>
      <c r="X1251" s="27"/>
      <c r="Y1251" s="27"/>
      <c r="Z1251" s="27"/>
      <c r="AA1251" s="27"/>
      <c r="AF1251" s="27"/>
      <c r="AG1251" s="27"/>
      <c r="AH1251" s="27"/>
      <c r="AI1251" s="27"/>
      <c r="AJ1251" s="27"/>
      <c r="AK1251" s="27"/>
      <c r="AL1251" s="27"/>
      <c r="AM1251" s="27"/>
      <c r="AN1251" s="27"/>
      <c r="AO1251" s="27"/>
      <c r="AP1251" s="27"/>
      <c r="AQ1251" s="27"/>
      <c r="AR1251" s="27"/>
      <c r="AS1251" s="27"/>
      <c r="AT1251" s="27"/>
      <c r="AU1251" s="27"/>
    </row>
    <row r="1252" spans="1:47" ht="15.75" customHeight="1">
      <c r="A1252" s="100"/>
      <c r="E1252" s="94"/>
      <c r="F1252" s="100"/>
      <c r="G1252" s="100"/>
      <c r="H1252" s="100"/>
      <c r="I1252" s="100"/>
      <c r="J1252" s="100"/>
      <c r="K1252" s="100"/>
      <c r="L1252" s="27"/>
      <c r="M1252" s="27"/>
      <c r="N1252" s="27"/>
      <c r="O1252" s="27"/>
      <c r="P1252" s="27"/>
      <c r="Q1252" s="27"/>
      <c r="R1252" s="27"/>
      <c r="S1252" s="27"/>
      <c r="T1252" s="27"/>
      <c r="U1252" s="27"/>
      <c r="V1252" s="27"/>
      <c r="W1252" s="27"/>
      <c r="X1252" s="27"/>
      <c r="Y1252" s="27"/>
      <c r="Z1252" s="27"/>
      <c r="AA1252" s="27"/>
      <c r="AF1252" s="27"/>
      <c r="AG1252" s="27"/>
      <c r="AH1252" s="27"/>
      <c r="AI1252" s="27"/>
      <c r="AJ1252" s="27"/>
      <c r="AK1252" s="27"/>
      <c r="AL1252" s="27"/>
      <c r="AM1252" s="27"/>
      <c r="AN1252" s="27"/>
      <c r="AO1252" s="27"/>
      <c r="AP1252" s="27"/>
      <c r="AQ1252" s="27"/>
      <c r="AR1252" s="27"/>
      <c r="AS1252" s="27"/>
      <c r="AT1252" s="27"/>
      <c r="AU1252" s="27"/>
    </row>
    <row r="1253" spans="1:47" ht="15.75" customHeight="1">
      <c r="A1253" s="100"/>
      <c r="E1253" s="94"/>
      <c r="F1253" s="100"/>
      <c r="G1253" s="100"/>
      <c r="H1253" s="100"/>
      <c r="I1253" s="100"/>
      <c r="J1253" s="100"/>
      <c r="K1253" s="100"/>
      <c r="L1253" s="27"/>
      <c r="M1253" s="27"/>
      <c r="N1253" s="27"/>
      <c r="O1253" s="27"/>
      <c r="P1253" s="27"/>
      <c r="Q1253" s="27"/>
      <c r="R1253" s="27"/>
      <c r="S1253" s="27"/>
      <c r="T1253" s="27"/>
      <c r="U1253" s="27"/>
      <c r="V1253" s="27"/>
      <c r="W1253" s="27"/>
      <c r="X1253" s="27"/>
      <c r="Y1253" s="27"/>
      <c r="Z1253" s="27"/>
      <c r="AA1253" s="27"/>
      <c r="AF1253" s="27"/>
      <c r="AG1253" s="27"/>
      <c r="AH1253" s="27"/>
      <c r="AI1253" s="27"/>
      <c r="AJ1253" s="27"/>
      <c r="AK1253" s="27"/>
      <c r="AL1253" s="27"/>
      <c r="AM1253" s="27"/>
      <c r="AN1253" s="27"/>
      <c r="AO1253" s="27"/>
      <c r="AP1253" s="27"/>
      <c r="AQ1253" s="27"/>
      <c r="AR1253" s="27"/>
      <c r="AS1253" s="27"/>
      <c r="AT1253" s="27"/>
      <c r="AU1253" s="27"/>
    </row>
    <row r="1254" spans="1:47" ht="15.75" customHeight="1">
      <c r="A1254" s="100"/>
      <c r="E1254" s="94"/>
      <c r="F1254" s="100"/>
      <c r="G1254" s="100"/>
      <c r="H1254" s="100"/>
      <c r="I1254" s="100"/>
      <c r="J1254" s="100"/>
      <c r="K1254" s="100"/>
      <c r="L1254" s="27"/>
      <c r="M1254" s="27"/>
      <c r="N1254" s="27"/>
      <c r="O1254" s="27"/>
      <c r="P1254" s="27"/>
      <c r="Q1254" s="27"/>
      <c r="R1254" s="27"/>
      <c r="S1254" s="27"/>
      <c r="T1254" s="27"/>
      <c r="U1254" s="27"/>
      <c r="V1254" s="27"/>
      <c r="W1254" s="27"/>
      <c r="X1254" s="27"/>
      <c r="Y1254" s="27"/>
      <c r="Z1254" s="27"/>
      <c r="AA1254" s="27"/>
      <c r="AF1254" s="27"/>
      <c r="AG1254" s="27"/>
      <c r="AH1254" s="27"/>
      <c r="AI1254" s="27"/>
      <c r="AJ1254" s="27"/>
      <c r="AK1254" s="27"/>
      <c r="AL1254" s="27"/>
      <c r="AM1254" s="27"/>
      <c r="AN1254" s="27"/>
      <c r="AO1254" s="27"/>
      <c r="AP1254" s="27"/>
      <c r="AQ1254" s="27"/>
      <c r="AR1254" s="27"/>
      <c r="AS1254" s="27"/>
      <c r="AT1254" s="27"/>
      <c r="AU1254" s="27"/>
    </row>
    <row r="1255" spans="1:47" ht="15.75" customHeight="1">
      <c r="A1255" s="100"/>
      <c r="E1255" s="94"/>
      <c r="F1255" s="100"/>
      <c r="G1255" s="100"/>
      <c r="H1255" s="100"/>
      <c r="I1255" s="100"/>
      <c r="J1255" s="100"/>
      <c r="K1255" s="100"/>
      <c r="L1255" s="27"/>
      <c r="M1255" s="27"/>
      <c r="N1255" s="27"/>
      <c r="O1255" s="27"/>
      <c r="P1255" s="27"/>
      <c r="Q1255" s="27"/>
      <c r="R1255" s="27"/>
      <c r="S1255" s="27"/>
      <c r="T1255" s="27"/>
      <c r="U1255" s="27"/>
      <c r="V1255" s="27"/>
      <c r="W1255" s="27"/>
      <c r="X1255" s="27"/>
      <c r="Y1255" s="27"/>
      <c r="Z1255" s="27"/>
      <c r="AA1255" s="27"/>
      <c r="AF1255" s="27"/>
      <c r="AG1255" s="27"/>
      <c r="AH1255" s="27"/>
      <c r="AI1255" s="27"/>
      <c r="AJ1255" s="27"/>
      <c r="AK1255" s="27"/>
      <c r="AL1255" s="27"/>
      <c r="AM1255" s="27"/>
      <c r="AN1255" s="27"/>
      <c r="AO1255" s="27"/>
      <c r="AP1255" s="27"/>
      <c r="AQ1255" s="27"/>
      <c r="AR1255" s="27"/>
      <c r="AS1255" s="27"/>
      <c r="AT1255" s="27"/>
      <c r="AU1255" s="27"/>
    </row>
    <row r="1256" spans="1:47" ht="15.75" customHeight="1">
      <c r="A1256" s="100"/>
      <c r="E1256" s="94"/>
      <c r="F1256" s="100"/>
      <c r="G1256" s="100"/>
      <c r="H1256" s="100"/>
      <c r="I1256" s="100"/>
      <c r="J1256" s="100"/>
      <c r="K1256" s="100"/>
      <c r="L1256" s="27"/>
      <c r="M1256" s="27"/>
      <c r="N1256" s="27"/>
      <c r="O1256" s="27"/>
      <c r="P1256" s="27"/>
      <c r="Q1256" s="27"/>
      <c r="R1256" s="27"/>
      <c r="S1256" s="27"/>
      <c r="T1256" s="27"/>
      <c r="U1256" s="27"/>
      <c r="V1256" s="27"/>
      <c r="W1256" s="27"/>
      <c r="X1256" s="27"/>
      <c r="Y1256" s="27"/>
      <c r="Z1256" s="27"/>
      <c r="AA1256" s="27"/>
      <c r="AF1256" s="27"/>
      <c r="AG1256" s="27"/>
      <c r="AH1256" s="27"/>
      <c r="AI1256" s="27"/>
      <c r="AJ1256" s="27"/>
      <c r="AK1256" s="27"/>
      <c r="AL1256" s="27"/>
      <c r="AM1256" s="27"/>
      <c r="AN1256" s="27"/>
      <c r="AO1256" s="27"/>
      <c r="AP1256" s="27"/>
      <c r="AQ1256" s="27"/>
      <c r="AR1256" s="27"/>
      <c r="AS1256" s="27"/>
      <c r="AT1256" s="27"/>
      <c r="AU1256" s="27"/>
    </row>
    <row r="1257" spans="1:47" ht="15.75" customHeight="1">
      <c r="A1257" s="100"/>
      <c r="E1257" s="94"/>
      <c r="F1257" s="100"/>
      <c r="G1257" s="100"/>
      <c r="H1257" s="100"/>
      <c r="I1257" s="100"/>
      <c r="J1257" s="100"/>
      <c r="K1257" s="100"/>
      <c r="L1257" s="27"/>
      <c r="M1257" s="27"/>
      <c r="N1257" s="27"/>
      <c r="O1257" s="27"/>
      <c r="P1257" s="27"/>
      <c r="Q1257" s="27"/>
      <c r="R1257" s="27"/>
      <c r="S1257" s="27"/>
      <c r="T1257" s="27"/>
      <c r="U1257" s="27"/>
      <c r="V1257" s="27"/>
      <c r="W1257" s="27"/>
      <c r="X1257" s="27"/>
      <c r="Y1257" s="27"/>
      <c r="Z1257" s="27"/>
      <c r="AA1257" s="27"/>
      <c r="AF1257" s="27"/>
      <c r="AG1257" s="27"/>
      <c r="AH1257" s="27"/>
      <c r="AI1257" s="27"/>
      <c r="AJ1257" s="27"/>
      <c r="AK1257" s="27"/>
      <c r="AL1257" s="27"/>
      <c r="AM1257" s="27"/>
      <c r="AN1257" s="27"/>
      <c r="AO1257" s="27"/>
      <c r="AP1257" s="27"/>
      <c r="AQ1257" s="27"/>
      <c r="AR1257" s="27"/>
      <c r="AS1257" s="27"/>
      <c r="AT1257" s="27"/>
      <c r="AU1257" s="27"/>
    </row>
    <row r="1258" spans="1:47" ht="15.75" customHeight="1">
      <c r="A1258" s="100"/>
      <c r="E1258" s="94"/>
      <c r="F1258" s="100"/>
      <c r="G1258" s="100"/>
      <c r="H1258" s="100"/>
      <c r="I1258" s="100"/>
      <c r="J1258" s="100"/>
      <c r="K1258" s="100"/>
      <c r="L1258" s="27"/>
      <c r="M1258" s="27"/>
      <c r="N1258" s="27"/>
      <c r="O1258" s="27"/>
      <c r="P1258" s="27"/>
      <c r="Q1258" s="27"/>
      <c r="R1258" s="27"/>
      <c r="S1258" s="27"/>
      <c r="T1258" s="27"/>
      <c r="U1258" s="27"/>
      <c r="V1258" s="27"/>
      <c r="W1258" s="27"/>
      <c r="X1258" s="27"/>
      <c r="Y1258" s="27"/>
      <c r="Z1258" s="27"/>
      <c r="AA1258" s="27"/>
      <c r="AF1258" s="27"/>
      <c r="AG1258" s="27"/>
      <c r="AH1258" s="27"/>
      <c r="AI1258" s="27"/>
      <c r="AJ1258" s="27"/>
      <c r="AK1258" s="27"/>
      <c r="AL1258" s="27"/>
      <c r="AM1258" s="27"/>
      <c r="AN1258" s="27"/>
      <c r="AO1258" s="27"/>
      <c r="AP1258" s="27"/>
      <c r="AQ1258" s="27"/>
      <c r="AR1258" s="27"/>
      <c r="AS1258" s="27"/>
      <c r="AT1258" s="27"/>
      <c r="AU1258" s="27"/>
    </row>
    <row r="1259" spans="1:47" ht="15.75" customHeight="1">
      <c r="A1259" s="100"/>
      <c r="E1259" s="94"/>
      <c r="F1259" s="100"/>
      <c r="G1259" s="100"/>
      <c r="H1259" s="100"/>
      <c r="I1259" s="100"/>
      <c r="J1259" s="100"/>
      <c r="K1259" s="100"/>
      <c r="L1259" s="27"/>
      <c r="M1259" s="27"/>
      <c r="N1259" s="27"/>
      <c r="O1259" s="27"/>
      <c r="P1259" s="27"/>
      <c r="Q1259" s="27"/>
      <c r="R1259" s="27"/>
      <c r="S1259" s="27"/>
      <c r="T1259" s="27"/>
      <c r="U1259" s="27"/>
      <c r="V1259" s="27"/>
      <c r="W1259" s="27"/>
      <c r="X1259" s="27"/>
      <c r="Y1259" s="27"/>
      <c r="Z1259" s="27"/>
      <c r="AA1259" s="27"/>
      <c r="AF1259" s="27"/>
      <c r="AG1259" s="27"/>
      <c r="AH1259" s="27"/>
      <c r="AI1259" s="27"/>
      <c r="AJ1259" s="27"/>
      <c r="AK1259" s="27"/>
      <c r="AL1259" s="27"/>
      <c r="AM1259" s="27"/>
      <c r="AN1259" s="27"/>
      <c r="AO1259" s="27"/>
      <c r="AP1259" s="27"/>
      <c r="AQ1259" s="27"/>
      <c r="AR1259" s="27"/>
      <c r="AS1259" s="27"/>
      <c r="AT1259" s="27"/>
      <c r="AU1259" s="27"/>
    </row>
    <row r="1260" spans="1:47" ht="15.75" customHeight="1">
      <c r="A1260" s="100"/>
      <c r="E1260" s="94"/>
      <c r="F1260" s="100"/>
      <c r="G1260" s="100"/>
      <c r="H1260" s="100"/>
      <c r="I1260" s="100"/>
      <c r="J1260" s="100"/>
      <c r="K1260" s="100"/>
      <c r="L1260" s="27"/>
      <c r="M1260" s="27"/>
      <c r="N1260" s="27"/>
      <c r="O1260" s="27"/>
      <c r="P1260" s="27"/>
      <c r="Q1260" s="27"/>
      <c r="R1260" s="27"/>
      <c r="S1260" s="27"/>
      <c r="T1260" s="27"/>
      <c r="U1260" s="27"/>
      <c r="V1260" s="27"/>
      <c r="W1260" s="27"/>
      <c r="X1260" s="27"/>
      <c r="Y1260" s="27"/>
      <c r="Z1260" s="27"/>
      <c r="AA1260" s="27"/>
      <c r="AF1260" s="27"/>
      <c r="AG1260" s="27"/>
      <c r="AH1260" s="27"/>
      <c r="AI1260" s="27"/>
      <c r="AJ1260" s="27"/>
      <c r="AK1260" s="27"/>
      <c r="AL1260" s="27"/>
      <c r="AM1260" s="27"/>
      <c r="AN1260" s="27"/>
      <c r="AO1260" s="27"/>
      <c r="AP1260" s="27"/>
      <c r="AQ1260" s="27"/>
      <c r="AR1260" s="27"/>
      <c r="AS1260" s="27"/>
      <c r="AT1260" s="27"/>
      <c r="AU1260" s="27"/>
    </row>
    <row r="1261" spans="1:47" ht="15.75" customHeight="1">
      <c r="A1261" s="100"/>
      <c r="E1261" s="94"/>
      <c r="F1261" s="100"/>
      <c r="G1261" s="100"/>
      <c r="H1261" s="100"/>
      <c r="I1261" s="100"/>
      <c r="J1261" s="100"/>
      <c r="K1261" s="100"/>
      <c r="L1261" s="27"/>
      <c r="M1261" s="27"/>
      <c r="N1261" s="27"/>
      <c r="O1261" s="27"/>
      <c r="P1261" s="27"/>
      <c r="Q1261" s="27"/>
      <c r="R1261" s="27"/>
      <c r="S1261" s="27"/>
      <c r="T1261" s="27"/>
      <c r="U1261" s="27"/>
      <c r="V1261" s="27"/>
      <c r="W1261" s="27"/>
      <c r="X1261" s="27"/>
      <c r="Y1261" s="27"/>
      <c r="Z1261" s="27"/>
      <c r="AA1261" s="27"/>
      <c r="AF1261" s="27"/>
      <c r="AG1261" s="27"/>
      <c r="AH1261" s="27"/>
      <c r="AI1261" s="27"/>
      <c r="AJ1261" s="27"/>
      <c r="AK1261" s="27"/>
      <c r="AL1261" s="27"/>
      <c r="AM1261" s="27"/>
      <c r="AN1261" s="27"/>
      <c r="AO1261" s="27"/>
      <c r="AP1261" s="27"/>
      <c r="AQ1261" s="27"/>
      <c r="AR1261" s="27"/>
      <c r="AS1261" s="27"/>
      <c r="AT1261" s="27"/>
      <c r="AU1261" s="27"/>
    </row>
    <row r="1262" spans="1:47" ht="15.75" customHeight="1">
      <c r="A1262" s="100"/>
      <c r="E1262" s="94"/>
      <c r="F1262" s="100"/>
      <c r="G1262" s="100"/>
      <c r="H1262" s="100"/>
      <c r="I1262" s="100"/>
      <c r="J1262" s="100"/>
      <c r="K1262" s="100"/>
      <c r="L1262" s="27"/>
      <c r="M1262" s="27"/>
      <c r="N1262" s="27"/>
      <c r="O1262" s="27"/>
      <c r="P1262" s="27"/>
      <c r="Q1262" s="27"/>
      <c r="R1262" s="27"/>
      <c r="S1262" s="27"/>
      <c r="T1262" s="27"/>
      <c r="U1262" s="27"/>
      <c r="V1262" s="27"/>
      <c r="W1262" s="27"/>
      <c r="X1262" s="27"/>
      <c r="Y1262" s="27"/>
      <c r="Z1262" s="27"/>
      <c r="AA1262" s="27"/>
      <c r="AF1262" s="27"/>
      <c r="AG1262" s="27"/>
      <c r="AH1262" s="27"/>
      <c r="AI1262" s="27"/>
      <c r="AJ1262" s="27"/>
      <c r="AK1262" s="27"/>
      <c r="AL1262" s="27"/>
      <c r="AM1262" s="27"/>
      <c r="AN1262" s="27"/>
      <c r="AO1262" s="27"/>
      <c r="AP1262" s="27"/>
      <c r="AQ1262" s="27"/>
      <c r="AR1262" s="27"/>
      <c r="AS1262" s="27"/>
      <c r="AT1262" s="27"/>
      <c r="AU1262" s="27"/>
    </row>
    <row r="1263" spans="1:47" ht="15.75" customHeight="1">
      <c r="A1263" s="100"/>
      <c r="E1263" s="94"/>
      <c r="F1263" s="100"/>
      <c r="G1263" s="100"/>
      <c r="H1263" s="100"/>
      <c r="I1263" s="100"/>
      <c r="J1263" s="100"/>
      <c r="K1263" s="100"/>
      <c r="L1263" s="27"/>
      <c r="M1263" s="27"/>
      <c r="N1263" s="27"/>
      <c r="O1263" s="27"/>
      <c r="P1263" s="27"/>
      <c r="Q1263" s="27"/>
      <c r="R1263" s="27"/>
      <c r="S1263" s="27"/>
      <c r="T1263" s="27"/>
      <c r="U1263" s="27"/>
      <c r="V1263" s="27"/>
      <c r="W1263" s="27"/>
      <c r="X1263" s="27"/>
      <c r="Y1263" s="27"/>
      <c r="Z1263" s="27"/>
      <c r="AA1263" s="27"/>
      <c r="AF1263" s="27"/>
      <c r="AG1263" s="27"/>
      <c r="AH1263" s="27"/>
      <c r="AI1263" s="27"/>
      <c r="AJ1263" s="27"/>
      <c r="AK1263" s="27"/>
      <c r="AL1263" s="27"/>
      <c r="AM1263" s="27"/>
      <c r="AN1263" s="27"/>
      <c r="AO1263" s="27"/>
      <c r="AP1263" s="27"/>
      <c r="AQ1263" s="27"/>
      <c r="AR1263" s="27"/>
      <c r="AS1263" s="27"/>
      <c r="AT1263" s="27"/>
      <c r="AU1263" s="27"/>
    </row>
    <row r="1264" spans="1:47" ht="15.75" customHeight="1">
      <c r="A1264" s="100"/>
      <c r="E1264" s="94"/>
      <c r="F1264" s="100"/>
      <c r="G1264" s="100"/>
      <c r="H1264" s="100"/>
      <c r="I1264" s="100"/>
      <c r="J1264" s="100"/>
      <c r="K1264" s="100"/>
      <c r="L1264" s="27"/>
      <c r="M1264" s="27"/>
      <c r="N1264" s="27"/>
      <c r="O1264" s="27"/>
      <c r="P1264" s="27"/>
      <c r="Q1264" s="27"/>
      <c r="R1264" s="27"/>
      <c r="S1264" s="27"/>
      <c r="T1264" s="27"/>
      <c r="U1264" s="27"/>
      <c r="V1264" s="27"/>
      <c r="W1264" s="27"/>
      <c r="X1264" s="27"/>
      <c r="Y1264" s="27"/>
      <c r="Z1264" s="27"/>
      <c r="AA1264" s="27"/>
      <c r="AF1264" s="27"/>
      <c r="AG1264" s="27"/>
      <c r="AH1264" s="27"/>
      <c r="AI1264" s="27"/>
      <c r="AJ1264" s="27"/>
      <c r="AK1264" s="27"/>
      <c r="AL1264" s="27"/>
      <c r="AM1264" s="27"/>
      <c r="AN1264" s="27"/>
      <c r="AO1264" s="27"/>
      <c r="AP1264" s="27"/>
      <c r="AQ1264" s="27"/>
      <c r="AR1264" s="27"/>
      <c r="AS1264" s="27"/>
      <c r="AT1264" s="27"/>
      <c r="AU1264" s="27"/>
    </row>
    <row r="1265" spans="1:47" ht="15.75" customHeight="1">
      <c r="A1265" s="100"/>
      <c r="E1265" s="94"/>
      <c r="F1265" s="100"/>
      <c r="G1265" s="100"/>
      <c r="H1265" s="100"/>
      <c r="I1265" s="100"/>
      <c r="J1265" s="100"/>
      <c r="K1265" s="100"/>
      <c r="L1265" s="27"/>
      <c r="M1265" s="27"/>
      <c r="N1265" s="27"/>
      <c r="O1265" s="27"/>
      <c r="P1265" s="27"/>
      <c r="Q1265" s="27"/>
      <c r="R1265" s="27"/>
      <c r="S1265" s="27"/>
      <c r="T1265" s="27"/>
      <c r="U1265" s="27"/>
      <c r="V1265" s="27"/>
      <c r="W1265" s="27"/>
      <c r="X1265" s="27"/>
      <c r="Y1265" s="27"/>
      <c r="Z1265" s="27"/>
      <c r="AA1265" s="27"/>
      <c r="AF1265" s="27"/>
      <c r="AG1265" s="27"/>
      <c r="AH1265" s="27"/>
      <c r="AI1265" s="27"/>
      <c r="AJ1265" s="27"/>
      <c r="AK1265" s="27"/>
      <c r="AL1265" s="27"/>
      <c r="AM1265" s="27"/>
      <c r="AN1265" s="27"/>
      <c r="AO1265" s="27"/>
      <c r="AP1265" s="27"/>
      <c r="AQ1265" s="27"/>
      <c r="AR1265" s="27"/>
      <c r="AS1265" s="27"/>
      <c r="AT1265" s="27"/>
      <c r="AU1265" s="27"/>
    </row>
    <row r="1266" spans="1:47" ht="15.75" customHeight="1">
      <c r="A1266" s="100"/>
      <c r="E1266" s="94"/>
      <c r="F1266" s="100"/>
      <c r="G1266" s="100"/>
      <c r="H1266" s="100"/>
      <c r="I1266" s="100"/>
      <c r="J1266" s="100"/>
      <c r="K1266" s="100"/>
      <c r="L1266" s="27"/>
      <c r="M1266" s="27"/>
      <c r="N1266" s="27"/>
      <c r="O1266" s="27"/>
      <c r="P1266" s="27"/>
      <c r="Q1266" s="27"/>
      <c r="R1266" s="27"/>
      <c r="S1266" s="27"/>
      <c r="T1266" s="27"/>
      <c r="U1266" s="27"/>
      <c r="V1266" s="27"/>
      <c r="W1266" s="27"/>
      <c r="X1266" s="27"/>
      <c r="Y1266" s="27"/>
      <c r="Z1266" s="27"/>
      <c r="AA1266" s="27"/>
      <c r="AF1266" s="27"/>
      <c r="AG1266" s="27"/>
      <c r="AH1266" s="27"/>
      <c r="AI1266" s="27"/>
      <c r="AJ1266" s="27"/>
      <c r="AK1266" s="27"/>
      <c r="AL1266" s="27"/>
      <c r="AM1266" s="27"/>
      <c r="AN1266" s="27"/>
      <c r="AO1266" s="27"/>
      <c r="AP1266" s="27"/>
      <c r="AQ1266" s="27"/>
      <c r="AR1266" s="27"/>
      <c r="AS1266" s="27"/>
      <c r="AT1266" s="27"/>
      <c r="AU1266" s="27"/>
    </row>
    <row r="1267" spans="1:47" ht="15.75" customHeight="1">
      <c r="A1267" s="100"/>
      <c r="E1267" s="94"/>
      <c r="F1267" s="100"/>
      <c r="G1267" s="100"/>
      <c r="H1267" s="100"/>
      <c r="I1267" s="100"/>
      <c r="J1267" s="100"/>
      <c r="K1267" s="100"/>
      <c r="L1267" s="27"/>
      <c r="M1267" s="27"/>
      <c r="N1267" s="27"/>
      <c r="O1267" s="27"/>
      <c r="P1267" s="27"/>
      <c r="Q1267" s="27"/>
      <c r="R1267" s="27"/>
      <c r="S1267" s="27"/>
      <c r="T1267" s="27"/>
      <c r="U1267" s="27"/>
      <c r="V1267" s="27"/>
      <c r="W1267" s="27"/>
      <c r="X1267" s="27"/>
      <c r="Y1267" s="27"/>
      <c r="Z1267" s="27"/>
      <c r="AA1267" s="27"/>
      <c r="AF1267" s="27"/>
      <c r="AG1267" s="27"/>
      <c r="AH1267" s="27"/>
      <c r="AI1267" s="27"/>
      <c r="AJ1267" s="27"/>
      <c r="AK1267" s="27"/>
      <c r="AL1267" s="27"/>
      <c r="AM1267" s="27"/>
      <c r="AN1267" s="27"/>
      <c r="AO1267" s="27"/>
      <c r="AP1267" s="27"/>
      <c r="AQ1267" s="27"/>
      <c r="AR1267" s="27"/>
      <c r="AS1267" s="27"/>
      <c r="AT1267" s="27"/>
      <c r="AU1267" s="27"/>
    </row>
    <row r="1268" spans="1:47" ht="15.75" customHeight="1">
      <c r="A1268" s="100"/>
      <c r="E1268" s="94"/>
      <c r="F1268" s="100"/>
      <c r="G1268" s="100"/>
      <c r="H1268" s="100"/>
      <c r="I1268" s="100"/>
      <c r="J1268" s="100"/>
      <c r="K1268" s="100"/>
      <c r="L1268" s="27"/>
      <c r="M1268" s="27"/>
      <c r="N1268" s="27"/>
      <c r="O1268" s="27"/>
      <c r="P1268" s="27"/>
      <c r="Q1268" s="27"/>
      <c r="R1268" s="27"/>
      <c r="S1268" s="27"/>
      <c r="T1268" s="27"/>
      <c r="U1268" s="27"/>
      <c r="V1268" s="27"/>
      <c r="W1268" s="27"/>
      <c r="X1268" s="27"/>
      <c r="Y1268" s="27"/>
      <c r="Z1268" s="27"/>
      <c r="AA1268" s="27"/>
      <c r="AF1268" s="27"/>
      <c r="AG1268" s="27"/>
      <c r="AH1268" s="27"/>
      <c r="AI1268" s="27"/>
      <c r="AJ1268" s="27"/>
      <c r="AK1268" s="27"/>
      <c r="AL1268" s="27"/>
      <c r="AM1268" s="27"/>
      <c r="AN1268" s="27"/>
      <c r="AO1268" s="27"/>
      <c r="AP1268" s="27"/>
      <c r="AQ1268" s="27"/>
      <c r="AR1268" s="27"/>
      <c r="AS1268" s="27"/>
      <c r="AT1268" s="27"/>
      <c r="AU1268" s="27"/>
    </row>
    <row r="1269" spans="1:47" ht="15.75" customHeight="1">
      <c r="A1269" s="100"/>
      <c r="E1269" s="94"/>
      <c r="F1269" s="100"/>
      <c r="G1269" s="100"/>
      <c r="H1269" s="100"/>
      <c r="I1269" s="100"/>
      <c r="J1269" s="100"/>
      <c r="K1269" s="100"/>
      <c r="L1269" s="27"/>
      <c r="M1269" s="27"/>
      <c r="N1269" s="27"/>
      <c r="O1269" s="27"/>
      <c r="P1269" s="27"/>
      <c r="Q1269" s="27"/>
      <c r="R1269" s="27"/>
      <c r="S1269" s="27"/>
      <c r="T1269" s="27"/>
      <c r="U1269" s="27"/>
      <c r="V1269" s="27"/>
      <c r="W1269" s="27"/>
      <c r="X1269" s="27"/>
      <c r="Y1269" s="27"/>
      <c r="Z1269" s="27"/>
      <c r="AA1269" s="27"/>
      <c r="AF1269" s="27"/>
      <c r="AG1269" s="27"/>
      <c r="AH1269" s="27"/>
      <c r="AI1269" s="27"/>
      <c r="AJ1269" s="27"/>
      <c r="AK1269" s="27"/>
      <c r="AL1269" s="27"/>
      <c r="AM1269" s="27"/>
      <c r="AN1269" s="27"/>
      <c r="AO1269" s="27"/>
      <c r="AP1269" s="27"/>
      <c r="AQ1269" s="27"/>
      <c r="AR1269" s="27"/>
      <c r="AS1269" s="27"/>
      <c r="AT1269" s="27"/>
      <c r="AU1269" s="27"/>
    </row>
    <row r="1270" spans="1:47" ht="15.75" customHeight="1">
      <c r="A1270" s="100"/>
      <c r="E1270" s="94"/>
      <c r="F1270" s="100"/>
      <c r="G1270" s="100"/>
      <c r="H1270" s="100"/>
      <c r="I1270" s="100"/>
      <c r="J1270" s="100"/>
      <c r="K1270" s="100"/>
      <c r="L1270" s="27"/>
      <c r="M1270" s="27"/>
      <c r="N1270" s="27"/>
      <c r="O1270" s="27"/>
      <c r="P1270" s="27"/>
      <c r="Q1270" s="27"/>
      <c r="R1270" s="27"/>
      <c r="S1270" s="27"/>
      <c r="T1270" s="27"/>
      <c r="U1270" s="27"/>
      <c r="V1270" s="27"/>
      <c r="W1270" s="27"/>
      <c r="X1270" s="27"/>
      <c r="Y1270" s="27"/>
      <c r="Z1270" s="27"/>
      <c r="AA1270" s="27"/>
      <c r="AF1270" s="27"/>
      <c r="AG1270" s="27"/>
      <c r="AH1270" s="27"/>
      <c r="AI1270" s="27"/>
      <c r="AJ1270" s="27"/>
      <c r="AK1270" s="27"/>
      <c r="AL1270" s="27"/>
      <c r="AM1270" s="27"/>
      <c r="AN1270" s="27"/>
      <c r="AO1270" s="27"/>
      <c r="AP1270" s="27"/>
      <c r="AQ1270" s="27"/>
      <c r="AR1270" s="27"/>
      <c r="AS1270" s="27"/>
      <c r="AT1270" s="27"/>
      <c r="AU1270" s="27"/>
    </row>
    <row r="1271" spans="1:47" ht="15.75" customHeight="1">
      <c r="A1271" s="100"/>
      <c r="E1271" s="94"/>
      <c r="F1271" s="100"/>
      <c r="G1271" s="100"/>
      <c r="H1271" s="100"/>
      <c r="I1271" s="100"/>
      <c r="J1271" s="100"/>
      <c r="K1271" s="100"/>
      <c r="L1271" s="27"/>
      <c r="M1271" s="27"/>
      <c r="N1271" s="27"/>
      <c r="O1271" s="27"/>
      <c r="P1271" s="27"/>
      <c r="Q1271" s="27"/>
      <c r="R1271" s="27"/>
      <c r="S1271" s="27"/>
      <c r="T1271" s="27"/>
      <c r="U1271" s="27"/>
      <c r="V1271" s="27"/>
      <c r="W1271" s="27"/>
      <c r="X1271" s="27"/>
      <c r="Y1271" s="27"/>
      <c r="Z1271" s="27"/>
      <c r="AA1271" s="27"/>
      <c r="AF1271" s="27"/>
      <c r="AG1271" s="27"/>
      <c r="AH1271" s="27"/>
      <c r="AI1271" s="27"/>
      <c r="AJ1271" s="27"/>
      <c r="AK1271" s="27"/>
      <c r="AL1271" s="27"/>
      <c r="AM1271" s="27"/>
      <c r="AN1271" s="27"/>
      <c r="AO1271" s="27"/>
      <c r="AP1271" s="27"/>
      <c r="AQ1271" s="27"/>
      <c r="AR1271" s="27"/>
      <c r="AS1271" s="27"/>
      <c r="AT1271" s="27"/>
      <c r="AU1271" s="27"/>
    </row>
    <row r="1272" spans="1:47" ht="15.75" customHeight="1">
      <c r="A1272" s="100"/>
      <c r="E1272" s="94"/>
      <c r="F1272" s="100"/>
      <c r="G1272" s="100"/>
      <c r="H1272" s="100"/>
      <c r="I1272" s="100"/>
      <c r="J1272" s="100"/>
      <c r="K1272" s="100"/>
      <c r="L1272" s="27"/>
      <c r="M1272" s="27"/>
      <c r="N1272" s="27"/>
      <c r="O1272" s="27"/>
      <c r="P1272" s="27"/>
      <c r="Q1272" s="27"/>
      <c r="R1272" s="27"/>
      <c r="S1272" s="27"/>
      <c r="T1272" s="27"/>
      <c r="U1272" s="27"/>
      <c r="V1272" s="27"/>
      <c r="W1272" s="27"/>
      <c r="X1272" s="27"/>
      <c r="Y1272" s="27"/>
      <c r="Z1272" s="27"/>
      <c r="AA1272" s="27"/>
      <c r="AF1272" s="27"/>
      <c r="AG1272" s="27"/>
      <c r="AH1272" s="27"/>
      <c r="AI1272" s="27"/>
      <c r="AJ1272" s="27"/>
      <c r="AK1272" s="27"/>
      <c r="AL1272" s="27"/>
      <c r="AM1272" s="27"/>
      <c r="AN1272" s="27"/>
      <c r="AO1272" s="27"/>
      <c r="AP1272" s="27"/>
      <c r="AQ1272" s="27"/>
      <c r="AR1272" s="27"/>
      <c r="AS1272" s="27"/>
      <c r="AT1272" s="27"/>
      <c r="AU1272" s="27"/>
    </row>
    <row r="1273" spans="1:47" ht="15.75" customHeight="1">
      <c r="A1273" s="100"/>
      <c r="E1273" s="94"/>
      <c r="F1273" s="100"/>
      <c r="G1273" s="100"/>
      <c r="H1273" s="100"/>
      <c r="I1273" s="100"/>
      <c r="J1273" s="100"/>
      <c r="K1273" s="100"/>
      <c r="L1273" s="27"/>
      <c r="M1273" s="27"/>
      <c r="N1273" s="27"/>
      <c r="O1273" s="27"/>
      <c r="P1273" s="27"/>
      <c r="Q1273" s="27"/>
      <c r="R1273" s="27"/>
      <c r="S1273" s="27"/>
      <c r="T1273" s="27"/>
      <c r="U1273" s="27"/>
      <c r="V1273" s="27"/>
      <c r="W1273" s="27"/>
      <c r="X1273" s="27"/>
      <c r="Y1273" s="27"/>
      <c r="Z1273" s="27"/>
      <c r="AA1273" s="27"/>
      <c r="AF1273" s="27"/>
      <c r="AG1273" s="27"/>
      <c r="AH1273" s="27"/>
      <c r="AI1273" s="27"/>
      <c r="AJ1273" s="27"/>
      <c r="AK1273" s="27"/>
      <c r="AL1273" s="27"/>
      <c r="AM1273" s="27"/>
      <c r="AN1273" s="27"/>
      <c r="AO1273" s="27"/>
      <c r="AP1273" s="27"/>
      <c r="AQ1273" s="27"/>
      <c r="AR1273" s="27"/>
      <c r="AS1273" s="27"/>
      <c r="AT1273" s="27"/>
      <c r="AU1273" s="27"/>
    </row>
    <row r="1274" spans="1:47" ht="15.75" customHeight="1">
      <c r="A1274" s="100"/>
      <c r="E1274" s="94"/>
      <c r="F1274" s="100"/>
      <c r="G1274" s="100"/>
      <c r="H1274" s="100"/>
      <c r="I1274" s="100"/>
      <c r="J1274" s="100"/>
      <c r="K1274" s="100"/>
      <c r="L1274" s="27"/>
      <c r="M1274" s="27"/>
      <c r="N1274" s="27"/>
      <c r="O1274" s="27"/>
      <c r="P1274" s="27"/>
      <c r="Q1274" s="27"/>
      <c r="R1274" s="27"/>
      <c r="S1274" s="27"/>
      <c r="T1274" s="27"/>
      <c r="U1274" s="27"/>
      <c r="V1274" s="27"/>
      <c r="W1274" s="27"/>
      <c r="X1274" s="27"/>
      <c r="Y1274" s="27"/>
      <c r="Z1274" s="27"/>
      <c r="AA1274" s="27"/>
      <c r="AF1274" s="27"/>
      <c r="AG1274" s="27"/>
      <c r="AH1274" s="27"/>
      <c r="AI1274" s="27"/>
      <c r="AJ1274" s="27"/>
      <c r="AK1274" s="27"/>
      <c r="AL1274" s="27"/>
      <c r="AM1274" s="27"/>
      <c r="AN1274" s="27"/>
      <c r="AO1274" s="27"/>
      <c r="AP1274" s="27"/>
      <c r="AQ1274" s="27"/>
      <c r="AR1274" s="27"/>
      <c r="AS1274" s="27"/>
      <c r="AT1274" s="27"/>
      <c r="AU1274" s="27"/>
    </row>
    <row r="1275" spans="1:47" ht="15.75" customHeight="1">
      <c r="A1275" s="100"/>
      <c r="E1275" s="94"/>
      <c r="F1275" s="100"/>
      <c r="G1275" s="100"/>
      <c r="H1275" s="100"/>
      <c r="I1275" s="100"/>
      <c r="J1275" s="100"/>
      <c r="K1275" s="100"/>
      <c r="L1275" s="27"/>
      <c r="M1275" s="27"/>
      <c r="N1275" s="27"/>
      <c r="O1275" s="27"/>
      <c r="P1275" s="27"/>
      <c r="Q1275" s="27"/>
      <c r="R1275" s="27"/>
      <c r="S1275" s="27"/>
      <c r="T1275" s="27"/>
      <c r="U1275" s="27"/>
      <c r="V1275" s="27"/>
      <c r="W1275" s="27"/>
      <c r="X1275" s="27"/>
      <c r="Y1275" s="27"/>
      <c r="Z1275" s="27"/>
      <c r="AA1275" s="27"/>
      <c r="AF1275" s="27"/>
      <c r="AG1275" s="27"/>
      <c r="AH1275" s="27"/>
      <c r="AI1275" s="27"/>
      <c r="AJ1275" s="27"/>
      <c r="AK1275" s="27"/>
      <c r="AL1275" s="27"/>
      <c r="AM1275" s="27"/>
      <c r="AN1275" s="27"/>
      <c r="AO1275" s="27"/>
      <c r="AP1275" s="27"/>
      <c r="AQ1275" s="27"/>
      <c r="AR1275" s="27"/>
      <c r="AS1275" s="27"/>
      <c r="AT1275" s="27"/>
      <c r="AU1275" s="27"/>
    </row>
    <row r="1276" spans="1:47" ht="15.75" customHeight="1">
      <c r="A1276" s="100"/>
      <c r="E1276" s="94"/>
      <c r="F1276" s="100"/>
      <c r="G1276" s="100"/>
      <c r="H1276" s="100"/>
      <c r="I1276" s="100"/>
      <c r="J1276" s="100"/>
      <c r="K1276" s="100"/>
      <c r="L1276" s="27"/>
      <c r="M1276" s="27"/>
      <c r="N1276" s="27"/>
      <c r="O1276" s="27"/>
      <c r="P1276" s="27"/>
      <c r="Q1276" s="27"/>
      <c r="R1276" s="27"/>
      <c r="S1276" s="27"/>
      <c r="T1276" s="27"/>
      <c r="U1276" s="27"/>
      <c r="V1276" s="27"/>
      <c r="W1276" s="27"/>
      <c r="X1276" s="27"/>
      <c r="Y1276" s="27"/>
      <c r="Z1276" s="27"/>
      <c r="AA1276" s="27"/>
      <c r="AF1276" s="27"/>
      <c r="AG1276" s="27"/>
      <c r="AH1276" s="27"/>
      <c r="AI1276" s="27"/>
      <c r="AJ1276" s="27"/>
      <c r="AK1276" s="27"/>
      <c r="AL1276" s="27"/>
      <c r="AM1276" s="27"/>
      <c r="AN1276" s="27"/>
      <c r="AO1276" s="27"/>
      <c r="AP1276" s="27"/>
      <c r="AQ1276" s="27"/>
      <c r="AR1276" s="27"/>
      <c r="AS1276" s="27"/>
      <c r="AT1276" s="27"/>
      <c r="AU1276" s="27"/>
    </row>
    <row r="1277" spans="1:47" ht="15.75" customHeight="1">
      <c r="A1277" s="100"/>
      <c r="E1277" s="94"/>
      <c r="F1277" s="100"/>
      <c r="G1277" s="100"/>
      <c r="H1277" s="100"/>
      <c r="I1277" s="100"/>
      <c r="J1277" s="100"/>
      <c r="K1277" s="100"/>
      <c r="L1277" s="27"/>
      <c r="M1277" s="27"/>
      <c r="N1277" s="27"/>
      <c r="O1277" s="27"/>
      <c r="P1277" s="27"/>
      <c r="Q1277" s="27"/>
      <c r="R1277" s="27"/>
      <c r="S1277" s="27"/>
      <c r="T1277" s="27"/>
      <c r="U1277" s="27"/>
      <c r="V1277" s="27"/>
      <c r="W1277" s="27"/>
      <c r="X1277" s="27"/>
      <c r="Y1277" s="27"/>
      <c r="Z1277" s="27"/>
      <c r="AA1277" s="27"/>
      <c r="AF1277" s="27"/>
      <c r="AG1277" s="27"/>
      <c r="AH1277" s="27"/>
      <c r="AI1277" s="27"/>
      <c r="AJ1277" s="27"/>
      <c r="AK1277" s="27"/>
      <c r="AL1277" s="27"/>
      <c r="AM1277" s="27"/>
      <c r="AN1277" s="27"/>
      <c r="AO1277" s="27"/>
      <c r="AP1277" s="27"/>
      <c r="AQ1277" s="27"/>
      <c r="AR1277" s="27"/>
      <c r="AS1277" s="27"/>
      <c r="AT1277" s="27"/>
      <c r="AU1277" s="27"/>
    </row>
    <row r="1278" spans="1:47" ht="15.75" customHeight="1">
      <c r="A1278" s="100"/>
      <c r="E1278" s="94"/>
      <c r="F1278" s="100"/>
      <c r="G1278" s="100"/>
      <c r="H1278" s="100"/>
      <c r="I1278" s="100"/>
      <c r="J1278" s="100"/>
      <c r="K1278" s="100"/>
      <c r="L1278" s="27"/>
      <c r="M1278" s="27"/>
      <c r="N1278" s="27"/>
      <c r="O1278" s="27"/>
      <c r="P1278" s="27"/>
      <c r="Q1278" s="27"/>
      <c r="R1278" s="27"/>
      <c r="S1278" s="27"/>
      <c r="T1278" s="27"/>
      <c r="U1278" s="27"/>
      <c r="V1278" s="27"/>
      <c r="W1278" s="27"/>
      <c r="X1278" s="27"/>
      <c r="Y1278" s="27"/>
      <c r="Z1278" s="27"/>
      <c r="AA1278" s="27"/>
      <c r="AF1278" s="27"/>
      <c r="AG1278" s="27"/>
      <c r="AH1278" s="27"/>
      <c r="AI1278" s="27"/>
      <c r="AJ1278" s="27"/>
      <c r="AK1278" s="27"/>
      <c r="AL1278" s="27"/>
      <c r="AM1278" s="27"/>
      <c r="AN1278" s="27"/>
      <c r="AO1278" s="27"/>
      <c r="AP1278" s="27"/>
      <c r="AQ1278" s="27"/>
      <c r="AR1278" s="27"/>
      <c r="AS1278" s="27"/>
      <c r="AT1278" s="27"/>
      <c r="AU1278" s="27"/>
    </row>
    <row r="1279" spans="1:47" ht="15.75" customHeight="1">
      <c r="A1279" s="100"/>
      <c r="E1279" s="94"/>
      <c r="F1279" s="100"/>
      <c r="G1279" s="100"/>
      <c r="H1279" s="100"/>
      <c r="I1279" s="100"/>
      <c r="J1279" s="100"/>
      <c r="K1279" s="100"/>
      <c r="L1279" s="27"/>
      <c r="M1279" s="27"/>
      <c r="N1279" s="27"/>
      <c r="O1279" s="27"/>
      <c r="P1279" s="27"/>
      <c r="Q1279" s="27"/>
      <c r="R1279" s="27"/>
      <c r="S1279" s="27"/>
      <c r="T1279" s="27"/>
      <c r="U1279" s="27"/>
      <c r="V1279" s="27"/>
      <c r="W1279" s="27"/>
      <c r="X1279" s="27"/>
      <c r="Y1279" s="27"/>
      <c r="Z1279" s="27"/>
      <c r="AA1279" s="27"/>
      <c r="AF1279" s="27"/>
      <c r="AG1279" s="27"/>
      <c r="AH1279" s="27"/>
      <c r="AI1279" s="27"/>
      <c r="AJ1279" s="27"/>
      <c r="AK1279" s="27"/>
      <c r="AL1279" s="27"/>
      <c r="AM1279" s="27"/>
      <c r="AN1279" s="27"/>
      <c r="AO1279" s="27"/>
      <c r="AP1279" s="27"/>
      <c r="AQ1279" s="27"/>
      <c r="AR1279" s="27"/>
      <c r="AS1279" s="27"/>
      <c r="AT1279" s="27"/>
      <c r="AU1279" s="27"/>
    </row>
    <row r="1280" spans="1:47" ht="15.75" customHeight="1">
      <c r="A1280" s="100"/>
      <c r="E1280" s="94"/>
      <c r="F1280" s="100"/>
      <c r="G1280" s="100"/>
      <c r="H1280" s="100"/>
      <c r="I1280" s="100"/>
      <c r="J1280" s="100"/>
      <c r="K1280" s="100"/>
      <c r="L1280" s="27"/>
      <c r="M1280" s="27"/>
      <c r="N1280" s="27"/>
      <c r="O1280" s="27"/>
      <c r="P1280" s="27"/>
      <c r="Q1280" s="27"/>
      <c r="R1280" s="27"/>
      <c r="S1280" s="27"/>
      <c r="T1280" s="27"/>
      <c r="U1280" s="27"/>
      <c r="V1280" s="27"/>
      <c r="W1280" s="27"/>
      <c r="X1280" s="27"/>
      <c r="Y1280" s="27"/>
      <c r="Z1280" s="27"/>
      <c r="AA1280" s="27"/>
      <c r="AF1280" s="27"/>
      <c r="AG1280" s="27"/>
      <c r="AH1280" s="27"/>
      <c r="AI1280" s="27"/>
      <c r="AJ1280" s="27"/>
      <c r="AK1280" s="27"/>
      <c r="AL1280" s="27"/>
      <c r="AM1280" s="27"/>
      <c r="AN1280" s="27"/>
      <c r="AO1280" s="27"/>
      <c r="AP1280" s="27"/>
      <c r="AQ1280" s="27"/>
      <c r="AR1280" s="27"/>
      <c r="AS1280" s="27"/>
      <c r="AT1280" s="27"/>
      <c r="AU1280" s="27"/>
    </row>
    <row r="1281" spans="1:47" ht="15.75" customHeight="1">
      <c r="A1281" s="100"/>
      <c r="E1281" s="94"/>
      <c r="F1281" s="100"/>
      <c r="G1281" s="100"/>
      <c r="H1281" s="100"/>
      <c r="I1281" s="100"/>
      <c r="J1281" s="100"/>
      <c r="K1281" s="100"/>
      <c r="L1281" s="27"/>
      <c r="M1281" s="27"/>
      <c r="N1281" s="27"/>
      <c r="O1281" s="27"/>
      <c r="P1281" s="27"/>
      <c r="Q1281" s="27"/>
      <c r="R1281" s="27"/>
      <c r="S1281" s="27"/>
      <c r="T1281" s="27"/>
      <c r="U1281" s="27"/>
      <c r="V1281" s="27"/>
      <c r="W1281" s="27"/>
      <c r="X1281" s="27"/>
      <c r="Y1281" s="27"/>
      <c r="Z1281" s="27"/>
      <c r="AA1281" s="27"/>
      <c r="AF1281" s="27"/>
      <c r="AG1281" s="27"/>
      <c r="AH1281" s="27"/>
      <c r="AI1281" s="27"/>
      <c r="AJ1281" s="27"/>
      <c r="AK1281" s="27"/>
      <c r="AL1281" s="27"/>
      <c r="AM1281" s="27"/>
      <c r="AN1281" s="27"/>
      <c r="AO1281" s="27"/>
      <c r="AP1281" s="27"/>
      <c r="AQ1281" s="27"/>
      <c r="AR1281" s="27"/>
      <c r="AS1281" s="27"/>
      <c r="AT1281" s="27"/>
      <c r="AU1281" s="27"/>
    </row>
    <row r="1282" spans="1:47" ht="15.75" customHeight="1">
      <c r="A1282" s="100"/>
      <c r="E1282" s="94"/>
      <c r="F1282" s="100"/>
      <c r="G1282" s="100"/>
      <c r="H1282" s="100"/>
      <c r="I1282" s="100"/>
      <c r="J1282" s="100"/>
      <c r="K1282" s="100"/>
      <c r="L1282" s="27"/>
      <c r="M1282" s="27"/>
      <c r="N1282" s="27"/>
      <c r="O1282" s="27"/>
      <c r="P1282" s="27"/>
      <c r="Q1282" s="27"/>
      <c r="R1282" s="27"/>
      <c r="S1282" s="27"/>
      <c r="T1282" s="27"/>
      <c r="U1282" s="27"/>
      <c r="V1282" s="27"/>
      <c r="W1282" s="27"/>
      <c r="X1282" s="27"/>
      <c r="Y1282" s="27"/>
      <c r="Z1282" s="27"/>
      <c r="AA1282" s="27"/>
      <c r="AF1282" s="27"/>
      <c r="AG1282" s="27"/>
      <c r="AH1282" s="27"/>
      <c r="AI1282" s="27"/>
      <c r="AJ1282" s="27"/>
      <c r="AK1282" s="27"/>
      <c r="AL1282" s="27"/>
      <c r="AM1282" s="27"/>
      <c r="AN1282" s="27"/>
      <c r="AO1282" s="27"/>
      <c r="AP1282" s="27"/>
      <c r="AQ1282" s="27"/>
      <c r="AR1282" s="27"/>
      <c r="AS1282" s="27"/>
      <c r="AT1282" s="27"/>
      <c r="AU1282" s="27"/>
    </row>
    <row r="1283" spans="1:47" ht="15.75" customHeight="1">
      <c r="A1283" s="100"/>
      <c r="E1283" s="94"/>
      <c r="F1283" s="100"/>
      <c r="G1283" s="100"/>
      <c r="H1283" s="100"/>
      <c r="I1283" s="100"/>
      <c r="J1283" s="100"/>
      <c r="K1283" s="100"/>
      <c r="L1283" s="27"/>
      <c r="M1283" s="27"/>
      <c r="N1283" s="27"/>
      <c r="O1283" s="27"/>
      <c r="P1283" s="27"/>
      <c r="Q1283" s="27"/>
      <c r="R1283" s="27"/>
      <c r="S1283" s="27"/>
      <c r="T1283" s="27"/>
      <c r="U1283" s="27"/>
      <c r="V1283" s="27"/>
      <c r="W1283" s="27"/>
      <c r="X1283" s="27"/>
      <c r="Y1283" s="27"/>
      <c r="Z1283" s="27"/>
      <c r="AA1283" s="27"/>
      <c r="AF1283" s="27"/>
      <c r="AG1283" s="27"/>
      <c r="AH1283" s="27"/>
      <c r="AI1283" s="27"/>
      <c r="AJ1283" s="27"/>
      <c r="AK1283" s="27"/>
      <c r="AL1283" s="27"/>
      <c r="AM1283" s="27"/>
      <c r="AN1283" s="27"/>
      <c r="AO1283" s="27"/>
      <c r="AP1283" s="27"/>
      <c r="AQ1283" s="27"/>
      <c r="AR1283" s="27"/>
      <c r="AS1283" s="27"/>
      <c r="AT1283" s="27"/>
      <c r="AU1283" s="27"/>
    </row>
    <row r="1284" spans="1:47" ht="15.75" customHeight="1">
      <c r="A1284" s="100"/>
      <c r="E1284" s="94"/>
      <c r="F1284" s="100"/>
      <c r="G1284" s="100"/>
      <c r="H1284" s="100"/>
      <c r="I1284" s="100"/>
      <c r="J1284" s="100"/>
      <c r="K1284" s="100"/>
      <c r="L1284" s="27"/>
      <c r="M1284" s="27"/>
      <c r="N1284" s="27"/>
      <c r="O1284" s="27"/>
      <c r="P1284" s="27"/>
      <c r="Q1284" s="27"/>
      <c r="R1284" s="27"/>
      <c r="S1284" s="27"/>
      <c r="T1284" s="27"/>
      <c r="U1284" s="27"/>
      <c r="V1284" s="27"/>
      <c r="W1284" s="27"/>
      <c r="X1284" s="27"/>
      <c r="Y1284" s="27"/>
      <c r="Z1284" s="27"/>
      <c r="AA1284" s="27"/>
      <c r="AF1284" s="27"/>
      <c r="AG1284" s="27"/>
      <c r="AH1284" s="27"/>
      <c r="AI1284" s="27"/>
      <c r="AJ1284" s="27"/>
      <c r="AK1284" s="27"/>
      <c r="AL1284" s="27"/>
      <c r="AM1284" s="27"/>
      <c r="AN1284" s="27"/>
      <c r="AO1284" s="27"/>
      <c r="AP1284" s="27"/>
      <c r="AQ1284" s="27"/>
      <c r="AR1284" s="27"/>
      <c r="AS1284" s="27"/>
      <c r="AT1284" s="27"/>
      <c r="AU1284" s="27"/>
    </row>
    <row r="1285" spans="1:47" ht="15.75" customHeight="1">
      <c r="A1285" s="100"/>
      <c r="E1285" s="94"/>
      <c r="F1285" s="100"/>
      <c r="G1285" s="100"/>
      <c r="H1285" s="100"/>
      <c r="I1285" s="100"/>
      <c r="J1285" s="100"/>
      <c r="K1285" s="100"/>
      <c r="L1285" s="27"/>
      <c r="M1285" s="27"/>
      <c r="N1285" s="27"/>
      <c r="O1285" s="27"/>
      <c r="P1285" s="27"/>
      <c r="Q1285" s="27"/>
      <c r="R1285" s="27"/>
      <c r="S1285" s="27"/>
      <c r="T1285" s="27"/>
      <c r="U1285" s="27"/>
      <c r="V1285" s="27"/>
      <c r="W1285" s="27"/>
      <c r="X1285" s="27"/>
      <c r="Y1285" s="27"/>
      <c r="Z1285" s="27"/>
      <c r="AA1285" s="27"/>
      <c r="AF1285" s="27"/>
      <c r="AG1285" s="27"/>
      <c r="AH1285" s="27"/>
      <c r="AI1285" s="27"/>
      <c r="AJ1285" s="27"/>
      <c r="AK1285" s="27"/>
      <c r="AL1285" s="27"/>
      <c r="AM1285" s="27"/>
      <c r="AN1285" s="27"/>
      <c r="AO1285" s="27"/>
      <c r="AP1285" s="27"/>
      <c r="AQ1285" s="27"/>
      <c r="AR1285" s="27"/>
      <c r="AS1285" s="27"/>
      <c r="AT1285" s="27"/>
      <c r="AU1285" s="27"/>
    </row>
    <row r="1286" spans="1:47" ht="15.75" customHeight="1">
      <c r="A1286" s="100"/>
      <c r="E1286" s="94"/>
      <c r="F1286" s="100"/>
      <c r="G1286" s="100"/>
      <c r="H1286" s="100"/>
      <c r="I1286" s="100"/>
      <c r="J1286" s="100"/>
      <c r="K1286" s="100"/>
      <c r="L1286" s="27"/>
      <c r="M1286" s="27"/>
      <c r="N1286" s="27"/>
      <c r="O1286" s="27"/>
      <c r="P1286" s="27"/>
      <c r="Q1286" s="27"/>
      <c r="R1286" s="27"/>
      <c r="S1286" s="27"/>
      <c r="T1286" s="27"/>
      <c r="U1286" s="27"/>
      <c r="V1286" s="27"/>
      <c r="W1286" s="27"/>
      <c r="X1286" s="27"/>
      <c r="Y1286" s="27"/>
      <c r="Z1286" s="27"/>
      <c r="AA1286" s="27"/>
      <c r="AF1286" s="27"/>
      <c r="AG1286" s="27"/>
      <c r="AH1286" s="27"/>
      <c r="AI1286" s="27"/>
      <c r="AJ1286" s="27"/>
      <c r="AK1286" s="27"/>
      <c r="AL1286" s="27"/>
      <c r="AM1286" s="27"/>
      <c r="AN1286" s="27"/>
      <c r="AO1286" s="27"/>
      <c r="AP1286" s="27"/>
      <c r="AQ1286" s="27"/>
      <c r="AR1286" s="27"/>
      <c r="AS1286" s="27"/>
      <c r="AT1286" s="27"/>
      <c r="AU1286" s="27"/>
    </row>
    <row r="1287" spans="1:47" ht="15.75" customHeight="1">
      <c r="A1287" s="100"/>
      <c r="E1287" s="94"/>
      <c r="F1287" s="100"/>
      <c r="G1287" s="100"/>
      <c r="H1287" s="100"/>
      <c r="I1287" s="100"/>
      <c r="J1287" s="100"/>
      <c r="K1287" s="100"/>
      <c r="L1287" s="27"/>
      <c r="M1287" s="27"/>
      <c r="N1287" s="27"/>
      <c r="O1287" s="27"/>
      <c r="P1287" s="27"/>
      <c r="Q1287" s="27"/>
      <c r="R1287" s="27"/>
      <c r="S1287" s="27"/>
      <c r="T1287" s="27"/>
      <c r="U1287" s="27"/>
      <c r="V1287" s="27"/>
      <c r="W1287" s="27"/>
      <c r="X1287" s="27"/>
      <c r="Y1287" s="27"/>
      <c r="Z1287" s="27"/>
      <c r="AA1287" s="27"/>
      <c r="AF1287" s="27"/>
      <c r="AG1287" s="27"/>
      <c r="AH1287" s="27"/>
      <c r="AI1287" s="27"/>
      <c r="AJ1287" s="27"/>
      <c r="AK1287" s="27"/>
      <c r="AL1287" s="27"/>
      <c r="AM1287" s="27"/>
      <c r="AN1287" s="27"/>
      <c r="AO1287" s="27"/>
      <c r="AP1287" s="27"/>
      <c r="AQ1287" s="27"/>
      <c r="AR1287" s="27"/>
      <c r="AS1287" s="27"/>
      <c r="AT1287" s="27"/>
      <c r="AU1287" s="27"/>
    </row>
    <row r="1288" spans="1:47" ht="15.75" customHeight="1">
      <c r="A1288" s="100"/>
      <c r="E1288" s="94"/>
      <c r="F1288" s="100"/>
      <c r="G1288" s="100"/>
      <c r="H1288" s="100"/>
      <c r="I1288" s="100"/>
      <c r="J1288" s="100"/>
      <c r="K1288" s="100"/>
      <c r="L1288" s="27"/>
      <c r="M1288" s="27"/>
      <c r="N1288" s="27"/>
      <c r="O1288" s="27"/>
      <c r="P1288" s="27"/>
      <c r="Q1288" s="27"/>
      <c r="R1288" s="27"/>
      <c r="S1288" s="27"/>
      <c r="T1288" s="27"/>
      <c r="U1288" s="27"/>
      <c r="V1288" s="27"/>
      <c r="W1288" s="27"/>
      <c r="X1288" s="27"/>
      <c r="Y1288" s="27"/>
      <c r="Z1288" s="27"/>
      <c r="AA1288" s="27"/>
      <c r="AF1288" s="27"/>
      <c r="AG1288" s="27"/>
      <c r="AH1288" s="27"/>
      <c r="AI1288" s="27"/>
      <c r="AJ1288" s="27"/>
      <c r="AK1288" s="27"/>
      <c r="AL1288" s="27"/>
      <c r="AM1288" s="27"/>
      <c r="AN1288" s="27"/>
      <c r="AO1288" s="27"/>
      <c r="AP1288" s="27"/>
      <c r="AQ1288" s="27"/>
      <c r="AR1288" s="27"/>
      <c r="AS1288" s="27"/>
      <c r="AT1288" s="27"/>
      <c r="AU1288" s="27"/>
    </row>
    <row r="1289" spans="1:47" ht="15.75" customHeight="1">
      <c r="A1289" s="100"/>
      <c r="E1289" s="94"/>
      <c r="F1289" s="100"/>
      <c r="G1289" s="100"/>
      <c r="H1289" s="100"/>
      <c r="I1289" s="100"/>
      <c r="J1289" s="100"/>
      <c r="K1289" s="100"/>
      <c r="L1289" s="27"/>
      <c r="M1289" s="27"/>
      <c r="N1289" s="27"/>
      <c r="O1289" s="27"/>
      <c r="P1289" s="27"/>
      <c r="Q1289" s="27"/>
      <c r="R1289" s="27"/>
      <c r="S1289" s="27"/>
      <c r="T1289" s="27"/>
      <c r="U1289" s="27"/>
      <c r="V1289" s="27"/>
      <c r="W1289" s="27"/>
      <c r="X1289" s="27"/>
      <c r="Y1289" s="27"/>
      <c r="Z1289" s="27"/>
      <c r="AA1289" s="27"/>
      <c r="AF1289" s="27"/>
      <c r="AG1289" s="27"/>
      <c r="AH1289" s="27"/>
      <c r="AI1289" s="27"/>
      <c r="AJ1289" s="27"/>
      <c r="AK1289" s="27"/>
      <c r="AL1289" s="27"/>
      <c r="AM1289" s="27"/>
      <c r="AN1289" s="27"/>
      <c r="AO1289" s="27"/>
      <c r="AP1289" s="27"/>
      <c r="AQ1289" s="27"/>
      <c r="AR1289" s="27"/>
      <c r="AS1289" s="27"/>
      <c r="AT1289" s="27"/>
      <c r="AU1289" s="27"/>
    </row>
    <row r="1290" spans="1:47" ht="15.75" customHeight="1">
      <c r="A1290" s="100"/>
      <c r="E1290" s="94"/>
      <c r="F1290" s="100"/>
      <c r="G1290" s="100"/>
      <c r="H1290" s="100"/>
      <c r="I1290" s="100"/>
      <c r="J1290" s="100"/>
      <c r="K1290" s="100"/>
      <c r="L1290" s="27"/>
      <c r="M1290" s="27"/>
      <c r="N1290" s="27"/>
      <c r="O1290" s="27"/>
      <c r="P1290" s="27"/>
      <c r="Q1290" s="27"/>
      <c r="R1290" s="27"/>
      <c r="S1290" s="27"/>
      <c r="T1290" s="27"/>
      <c r="U1290" s="27"/>
      <c r="V1290" s="27"/>
      <c r="W1290" s="27"/>
      <c r="X1290" s="27"/>
      <c r="Y1290" s="27"/>
      <c r="Z1290" s="27"/>
      <c r="AA1290" s="27"/>
      <c r="AF1290" s="27"/>
      <c r="AG1290" s="27"/>
      <c r="AH1290" s="27"/>
      <c r="AI1290" s="27"/>
      <c r="AJ1290" s="27"/>
      <c r="AK1290" s="27"/>
      <c r="AL1290" s="27"/>
      <c r="AM1290" s="27"/>
      <c r="AN1290" s="27"/>
      <c r="AO1290" s="27"/>
      <c r="AP1290" s="27"/>
      <c r="AQ1290" s="27"/>
      <c r="AR1290" s="27"/>
      <c r="AS1290" s="27"/>
      <c r="AT1290" s="27"/>
      <c r="AU1290" s="27"/>
    </row>
    <row r="1291" spans="1:47" ht="15.75" customHeight="1">
      <c r="A1291" s="100"/>
      <c r="E1291" s="94"/>
      <c r="F1291" s="100"/>
      <c r="G1291" s="100"/>
      <c r="H1291" s="100"/>
      <c r="I1291" s="100"/>
      <c r="J1291" s="100"/>
      <c r="K1291" s="100"/>
      <c r="L1291" s="27"/>
      <c r="M1291" s="27"/>
      <c r="N1291" s="27"/>
      <c r="O1291" s="27"/>
      <c r="P1291" s="27"/>
      <c r="Q1291" s="27"/>
      <c r="R1291" s="27"/>
      <c r="S1291" s="27"/>
      <c r="T1291" s="27"/>
      <c r="U1291" s="27"/>
      <c r="V1291" s="27"/>
      <c r="W1291" s="27"/>
      <c r="X1291" s="27"/>
      <c r="Y1291" s="27"/>
      <c r="Z1291" s="27"/>
      <c r="AA1291" s="27"/>
      <c r="AF1291" s="27"/>
      <c r="AG1291" s="27"/>
      <c r="AH1291" s="27"/>
      <c r="AI1291" s="27"/>
      <c r="AJ1291" s="27"/>
      <c r="AK1291" s="27"/>
      <c r="AL1291" s="27"/>
      <c r="AM1291" s="27"/>
      <c r="AN1291" s="27"/>
      <c r="AO1291" s="27"/>
      <c r="AP1291" s="27"/>
      <c r="AQ1291" s="27"/>
      <c r="AR1291" s="27"/>
      <c r="AS1291" s="27"/>
      <c r="AT1291" s="27"/>
      <c r="AU1291" s="27"/>
    </row>
    <row r="1292" spans="1:47" ht="15.75" customHeight="1">
      <c r="A1292" s="100"/>
      <c r="E1292" s="94"/>
      <c r="F1292" s="100"/>
      <c r="G1292" s="100"/>
      <c r="H1292" s="100"/>
      <c r="I1292" s="100"/>
      <c r="J1292" s="100"/>
      <c r="K1292" s="100"/>
      <c r="L1292" s="27"/>
      <c r="M1292" s="27"/>
      <c r="N1292" s="27"/>
      <c r="O1292" s="27"/>
      <c r="P1292" s="27"/>
      <c r="Q1292" s="27"/>
      <c r="R1292" s="27"/>
      <c r="S1292" s="27"/>
      <c r="T1292" s="27"/>
      <c r="U1292" s="27"/>
      <c r="V1292" s="27"/>
      <c r="W1292" s="27"/>
      <c r="X1292" s="27"/>
      <c r="Y1292" s="27"/>
      <c r="Z1292" s="27"/>
      <c r="AA1292" s="27"/>
      <c r="AF1292" s="27"/>
      <c r="AG1292" s="27"/>
      <c r="AH1292" s="27"/>
      <c r="AI1292" s="27"/>
      <c r="AJ1292" s="27"/>
      <c r="AK1292" s="27"/>
      <c r="AL1292" s="27"/>
      <c r="AM1292" s="27"/>
      <c r="AN1292" s="27"/>
      <c r="AO1292" s="27"/>
      <c r="AP1292" s="27"/>
      <c r="AQ1292" s="27"/>
      <c r="AR1292" s="27"/>
      <c r="AS1292" s="27"/>
      <c r="AT1292" s="27"/>
      <c r="AU1292" s="27"/>
    </row>
    <row r="1293" spans="1:47" ht="15.75" customHeight="1">
      <c r="A1293" s="100"/>
      <c r="E1293" s="94"/>
      <c r="F1293" s="100"/>
      <c r="G1293" s="100"/>
      <c r="H1293" s="100"/>
      <c r="I1293" s="100"/>
      <c r="J1293" s="100"/>
      <c r="K1293" s="100"/>
      <c r="L1293" s="27"/>
      <c r="M1293" s="27"/>
      <c r="N1293" s="27"/>
      <c r="O1293" s="27"/>
      <c r="P1293" s="27"/>
      <c r="Q1293" s="27"/>
      <c r="R1293" s="27"/>
      <c r="S1293" s="27"/>
      <c r="T1293" s="27"/>
      <c r="U1293" s="27"/>
      <c r="V1293" s="27"/>
      <c r="W1293" s="27"/>
      <c r="X1293" s="27"/>
      <c r="Y1293" s="27"/>
      <c r="Z1293" s="27"/>
      <c r="AA1293" s="27"/>
      <c r="AF1293" s="27"/>
      <c r="AG1293" s="27"/>
      <c r="AH1293" s="27"/>
      <c r="AI1293" s="27"/>
      <c r="AJ1293" s="27"/>
      <c r="AK1293" s="27"/>
      <c r="AL1293" s="27"/>
      <c r="AM1293" s="27"/>
      <c r="AN1293" s="27"/>
      <c r="AO1293" s="27"/>
      <c r="AP1293" s="27"/>
      <c r="AQ1293" s="27"/>
      <c r="AR1293" s="27"/>
      <c r="AS1293" s="27"/>
      <c r="AT1293" s="27"/>
      <c r="AU1293" s="27"/>
    </row>
    <row r="1294" spans="1:47" ht="15.75" customHeight="1">
      <c r="A1294" s="100"/>
      <c r="E1294" s="94"/>
      <c r="F1294" s="100"/>
      <c r="G1294" s="100"/>
      <c r="H1294" s="100"/>
      <c r="I1294" s="100"/>
      <c r="J1294" s="100"/>
      <c r="K1294" s="100"/>
      <c r="L1294" s="27"/>
      <c r="M1294" s="27"/>
      <c r="N1294" s="27"/>
      <c r="O1294" s="27"/>
      <c r="P1294" s="27"/>
      <c r="Q1294" s="27"/>
      <c r="R1294" s="27"/>
      <c r="S1294" s="27"/>
      <c r="T1294" s="27"/>
      <c r="U1294" s="27"/>
      <c r="V1294" s="27"/>
      <c r="W1294" s="27"/>
      <c r="X1294" s="27"/>
      <c r="Y1294" s="27"/>
      <c r="Z1294" s="27"/>
      <c r="AA1294" s="27"/>
      <c r="AF1294" s="27"/>
      <c r="AG1294" s="27"/>
      <c r="AH1294" s="27"/>
      <c r="AI1294" s="27"/>
      <c r="AJ1294" s="27"/>
      <c r="AK1294" s="27"/>
      <c r="AL1294" s="27"/>
      <c r="AM1294" s="27"/>
      <c r="AN1294" s="27"/>
      <c r="AO1294" s="27"/>
      <c r="AP1294" s="27"/>
      <c r="AQ1294" s="27"/>
      <c r="AR1294" s="27"/>
      <c r="AS1294" s="27"/>
      <c r="AT1294" s="27"/>
      <c r="AU1294" s="27"/>
    </row>
    <row r="1295" spans="1:47" ht="15.75" customHeight="1">
      <c r="A1295" s="100"/>
      <c r="E1295" s="94"/>
      <c r="F1295" s="100"/>
      <c r="G1295" s="100"/>
      <c r="H1295" s="100"/>
      <c r="I1295" s="100"/>
      <c r="J1295" s="100"/>
      <c r="K1295" s="100"/>
      <c r="L1295" s="27"/>
      <c r="M1295" s="27"/>
      <c r="N1295" s="27"/>
      <c r="O1295" s="27"/>
      <c r="P1295" s="27"/>
      <c r="Q1295" s="27"/>
      <c r="R1295" s="27"/>
      <c r="S1295" s="27"/>
      <c r="T1295" s="27"/>
      <c r="U1295" s="27"/>
      <c r="V1295" s="27"/>
      <c r="W1295" s="27"/>
      <c r="X1295" s="27"/>
      <c r="Y1295" s="27"/>
      <c r="Z1295" s="27"/>
      <c r="AA1295" s="27"/>
      <c r="AF1295" s="27"/>
      <c r="AG1295" s="27"/>
      <c r="AH1295" s="27"/>
      <c r="AI1295" s="27"/>
      <c r="AJ1295" s="27"/>
      <c r="AK1295" s="27"/>
      <c r="AL1295" s="27"/>
      <c r="AM1295" s="27"/>
      <c r="AN1295" s="27"/>
      <c r="AO1295" s="27"/>
      <c r="AP1295" s="27"/>
      <c r="AQ1295" s="27"/>
      <c r="AR1295" s="27"/>
      <c r="AS1295" s="27"/>
      <c r="AT1295" s="27"/>
      <c r="AU1295" s="27"/>
    </row>
    <row r="1296" spans="1:47" ht="15.75" customHeight="1">
      <c r="A1296" s="100"/>
      <c r="E1296" s="94"/>
      <c r="F1296" s="100"/>
      <c r="G1296" s="100"/>
      <c r="H1296" s="100"/>
      <c r="I1296" s="100"/>
      <c r="J1296" s="100"/>
      <c r="K1296" s="100"/>
      <c r="L1296" s="27"/>
      <c r="M1296" s="27"/>
      <c r="N1296" s="27"/>
      <c r="O1296" s="27"/>
      <c r="P1296" s="27"/>
      <c r="Q1296" s="27"/>
      <c r="R1296" s="27"/>
      <c r="S1296" s="27"/>
      <c r="T1296" s="27"/>
      <c r="U1296" s="27"/>
      <c r="V1296" s="27"/>
      <c r="W1296" s="27"/>
      <c r="X1296" s="27"/>
      <c r="Y1296" s="27"/>
      <c r="Z1296" s="27"/>
      <c r="AA1296" s="27"/>
      <c r="AF1296" s="27"/>
      <c r="AG1296" s="27"/>
      <c r="AH1296" s="27"/>
      <c r="AI1296" s="27"/>
      <c r="AJ1296" s="27"/>
      <c r="AK1296" s="27"/>
      <c r="AL1296" s="27"/>
      <c r="AM1296" s="27"/>
      <c r="AN1296" s="27"/>
      <c r="AO1296" s="27"/>
      <c r="AP1296" s="27"/>
      <c r="AQ1296" s="27"/>
      <c r="AR1296" s="27"/>
      <c r="AS1296" s="27"/>
      <c r="AT1296" s="27"/>
      <c r="AU1296" s="27"/>
    </row>
    <row r="1297" spans="1:47" ht="15.75" customHeight="1">
      <c r="A1297" s="100"/>
      <c r="E1297" s="94"/>
      <c r="F1297" s="100"/>
      <c r="G1297" s="100"/>
      <c r="H1297" s="100"/>
      <c r="I1297" s="100"/>
      <c r="J1297" s="100"/>
      <c r="K1297" s="100"/>
      <c r="L1297" s="27"/>
      <c r="M1297" s="27"/>
      <c r="N1297" s="27"/>
      <c r="O1297" s="27"/>
      <c r="P1297" s="27"/>
      <c r="Q1297" s="27"/>
      <c r="R1297" s="27"/>
      <c r="S1297" s="27"/>
      <c r="T1297" s="27"/>
      <c r="U1297" s="27"/>
      <c r="V1297" s="27"/>
      <c r="W1297" s="27"/>
      <c r="X1297" s="27"/>
      <c r="Y1297" s="27"/>
      <c r="Z1297" s="27"/>
      <c r="AA1297" s="27"/>
      <c r="AF1297" s="27"/>
      <c r="AG1297" s="27"/>
      <c r="AH1297" s="27"/>
      <c r="AI1297" s="27"/>
      <c r="AJ1297" s="27"/>
      <c r="AK1297" s="27"/>
      <c r="AL1297" s="27"/>
      <c r="AM1297" s="27"/>
      <c r="AN1297" s="27"/>
      <c r="AO1297" s="27"/>
      <c r="AP1297" s="27"/>
      <c r="AQ1297" s="27"/>
      <c r="AR1297" s="27"/>
      <c r="AS1297" s="27"/>
      <c r="AT1297" s="27"/>
      <c r="AU1297" s="27"/>
    </row>
    <row r="1298" spans="1:47" ht="15.75" customHeight="1">
      <c r="A1298" s="100"/>
      <c r="E1298" s="94"/>
      <c r="F1298" s="100"/>
      <c r="G1298" s="100"/>
      <c r="H1298" s="100"/>
      <c r="I1298" s="100"/>
      <c r="J1298" s="100"/>
      <c r="K1298" s="100"/>
      <c r="L1298" s="27"/>
      <c r="M1298" s="27"/>
      <c r="N1298" s="27"/>
      <c r="O1298" s="27"/>
      <c r="P1298" s="27"/>
      <c r="Q1298" s="27"/>
      <c r="R1298" s="27"/>
      <c r="S1298" s="27"/>
      <c r="T1298" s="27"/>
      <c r="U1298" s="27"/>
      <c r="V1298" s="27"/>
      <c r="W1298" s="27"/>
      <c r="X1298" s="27"/>
      <c r="Y1298" s="27"/>
      <c r="Z1298" s="27"/>
      <c r="AA1298" s="27"/>
      <c r="AF1298" s="27"/>
      <c r="AG1298" s="27"/>
      <c r="AH1298" s="27"/>
      <c r="AI1298" s="27"/>
      <c r="AJ1298" s="27"/>
      <c r="AK1298" s="27"/>
      <c r="AL1298" s="27"/>
      <c r="AM1298" s="27"/>
      <c r="AN1298" s="27"/>
      <c r="AO1298" s="27"/>
      <c r="AP1298" s="27"/>
      <c r="AQ1298" s="27"/>
      <c r="AR1298" s="27"/>
      <c r="AS1298" s="27"/>
      <c r="AT1298" s="27"/>
      <c r="AU1298" s="27"/>
    </row>
    <row r="1299" spans="1:47" ht="15.75" customHeight="1">
      <c r="A1299" s="100"/>
      <c r="E1299" s="94"/>
      <c r="F1299" s="100"/>
      <c r="G1299" s="100"/>
      <c r="H1299" s="100"/>
      <c r="I1299" s="100"/>
      <c r="J1299" s="100"/>
      <c r="K1299" s="100"/>
      <c r="L1299" s="27"/>
      <c r="M1299" s="27"/>
      <c r="N1299" s="27"/>
      <c r="O1299" s="27"/>
      <c r="P1299" s="27"/>
      <c r="Q1299" s="27"/>
      <c r="R1299" s="27"/>
      <c r="S1299" s="27"/>
      <c r="T1299" s="27"/>
      <c r="U1299" s="27"/>
      <c r="V1299" s="27"/>
      <c r="W1299" s="27"/>
      <c r="X1299" s="27"/>
      <c r="Y1299" s="27"/>
      <c r="Z1299" s="27"/>
      <c r="AA1299" s="27"/>
      <c r="AF1299" s="27"/>
      <c r="AG1299" s="27"/>
      <c r="AH1299" s="27"/>
      <c r="AI1299" s="27"/>
      <c r="AJ1299" s="27"/>
      <c r="AK1299" s="27"/>
      <c r="AL1299" s="27"/>
      <c r="AM1299" s="27"/>
      <c r="AN1299" s="27"/>
      <c r="AO1299" s="27"/>
      <c r="AP1299" s="27"/>
      <c r="AQ1299" s="27"/>
      <c r="AR1299" s="27"/>
      <c r="AS1299" s="27"/>
      <c r="AT1299" s="27"/>
      <c r="AU1299" s="27"/>
    </row>
    <row r="1300" spans="1:47" ht="15.75" customHeight="1">
      <c r="A1300" s="100"/>
      <c r="E1300" s="94"/>
      <c r="F1300" s="100"/>
      <c r="G1300" s="100"/>
      <c r="H1300" s="100"/>
      <c r="I1300" s="100"/>
      <c r="J1300" s="100"/>
      <c r="K1300" s="100"/>
      <c r="L1300" s="27"/>
      <c r="M1300" s="27"/>
      <c r="N1300" s="27"/>
      <c r="O1300" s="27"/>
      <c r="P1300" s="27"/>
      <c r="Q1300" s="27"/>
      <c r="R1300" s="27"/>
      <c r="S1300" s="27"/>
      <c r="T1300" s="27"/>
      <c r="U1300" s="27"/>
      <c r="V1300" s="27"/>
      <c r="W1300" s="27"/>
      <c r="X1300" s="27"/>
      <c r="Y1300" s="27"/>
      <c r="Z1300" s="27"/>
      <c r="AA1300" s="27"/>
      <c r="AF1300" s="27"/>
      <c r="AG1300" s="27"/>
      <c r="AH1300" s="27"/>
      <c r="AI1300" s="27"/>
      <c r="AJ1300" s="27"/>
      <c r="AK1300" s="27"/>
      <c r="AL1300" s="27"/>
      <c r="AM1300" s="27"/>
      <c r="AN1300" s="27"/>
      <c r="AO1300" s="27"/>
      <c r="AP1300" s="27"/>
      <c r="AQ1300" s="27"/>
      <c r="AR1300" s="27"/>
      <c r="AS1300" s="27"/>
      <c r="AT1300" s="27"/>
      <c r="AU1300" s="27"/>
    </row>
  </sheetData>
  <customSheetViews>
    <customSheetView guid="{B7EEEDA4-B1BD-42FA-A7D9-296D455A843A}" filter="1" showAutoFilter="1">
      <pageMargins left="0" right="0" top="0" bottom="0" header="0" footer="0"/>
      <autoFilter ref="A2:K798" xr:uid="{20D4C1A6-9F80-4215-9875-FB3D734753CD}">
        <filterColumn colId="1">
          <filters>
            <filter val="1586968"/>
            <filter val="1822017"/>
            <filter val="1832250"/>
            <filter val="1884055"/>
            <filter val="1922798"/>
            <filter val="2066065"/>
            <filter val="2218849"/>
            <filter val="2218857"/>
            <filter val="2245369"/>
            <filter val="2310651"/>
            <filter val="2352697"/>
            <filter val="2405046"/>
            <filter val="2445589"/>
            <filter val="2466854"/>
            <filter val="250289"/>
            <filter val="2534866"/>
            <filter val="2591134"/>
            <filter val="2591878"/>
            <filter val="2612786"/>
            <filter val="2645505"/>
            <filter val="2658077"/>
            <filter val="2661302"/>
            <filter val="2672622"/>
            <filter val="2694253"/>
            <filter val="2698656"/>
            <filter val="2699490"/>
            <filter val="2701746"/>
            <filter val="2702114"/>
            <filter val="2721127"/>
            <filter val="2730754"/>
            <filter val="2738224"/>
            <filter val="2847489"/>
            <filter val="2850040"/>
            <filter val="2864258"/>
            <filter val="2865175"/>
            <filter val="2894145"/>
            <filter val="2902059"/>
            <filter val="2956150"/>
            <filter val="2961934"/>
            <filter val="2965891"/>
            <filter val="317927"/>
            <filter val="319563"/>
            <filter val="3203106"/>
            <filter val="320731"/>
            <filter val="320910"/>
            <filter val="321150"/>
            <filter val="321312"/>
            <filter val="322505"/>
            <filter val="322548"/>
            <filter val="323625"/>
            <filter val="323684"/>
            <filter val="3257117"/>
            <filter val="3263443"/>
            <filter val="3274844"/>
            <filter val="328970"/>
            <filter val="330028"/>
            <filter val="331865"/>
            <filter val="332802"/>
            <filter val="334813"/>
            <filter val="3383740"/>
            <filter val="3384259"/>
            <filter val="3384291"/>
            <filter val="3384356"/>
            <filter val="340481"/>
            <filter val="3412436"/>
            <filter val="341356"/>
            <filter val="343227"/>
            <filter val="343685"/>
            <filter val="343804"/>
            <filter val="3445098"/>
            <filter val="347451"/>
            <filter val="348997"/>
            <filter val="349853"/>
            <filter val="3518710"/>
            <filter val="3520517"/>
            <filter val="356272"/>
            <filter val="359301"/>
            <filter val="3615656"/>
            <filter val="362841"/>
            <filter val="363716"/>
            <filter val="367916"/>
            <filter val="369455"/>
            <filter val="3712007"/>
            <filter val="3713246"/>
            <filter val="3774100"/>
            <filter val="378853"/>
            <filter val="383873"/>
            <filter val="384071"/>
            <filter val="385035"/>
            <filter val="395136"/>
            <filter val="4017894"/>
            <filter val="4215372"/>
            <filter val="4217316"/>
            <filter val="4218282"/>
            <filter val="4241586"/>
            <filter val="4242922"/>
            <filter val="4243120"/>
            <filter val="4247347"/>
            <filter val="4248009"/>
            <filter val="4280220"/>
            <filter val="431690"/>
            <filter val="431754"/>
            <filter val="4327504"/>
            <filter val="4330899"/>
            <filter val="433129"/>
            <filter val="4332042"/>
            <filter val="4343397"/>
            <filter val="4345500"/>
            <filter val="4349786"/>
            <filter val="4351136"/>
            <filter val="4355972"/>
            <filter val="4375396"/>
            <filter val="4384867"/>
            <filter val="4386181"/>
            <filter val="4387335"/>
            <filter val="4397276"/>
            <filter val="4398585"/>
            <filter val="4399473"/>
            <filter val="4400781"/>
            <filter val="4402972"/>
            <filter val="4404701"/>
            <filter val="4412801"/>
            <filter val="4422652"/>
            <filter val="4438673"/>
            <filter val="4442638"/>
            <filter val="4447856"/>
            <filter val="4455683"/>
            <filter val="4460288"/>
            <filter val="4461414"/>
            <filter val="4461608"/>
            <filter val="4465816"/>
            <filter val="4466421"/>
            <filter val="4468963"/>
            <filter val="4474939"/>
            <filter val="4478934"/>
            <filter val="4481625"/>
            <filter val="4487607"/>
            <filter val="4488255"/>
            <filter val="4495588"/>
            <filter val="4502541"/>
            <filter val="4510498"/>
            <filter val="4522420"/>
            <filter val="4528354"/>
            <filter val="4534168"/>
            <filter val="4550654"/>
            <filter val="4568576"/>
            <filter val="4569204"/>
            <filter val="4572882"/>
            <filter val="4577878"/>
            <filter val="458601"/>
            <filter val="4611223"/>
            <filter val="4617147"/>
            <filter val="4618682"/>
            <filter val="4627802"/>
            <filter val="4639067"/>
            <filter val="4645750"/>
            <filter val="464776"/>
            <filter val="4651873"/>
            <filter val="4662174"/>
            <filter val="4663677"/>
            <filter val="4672277"/>
            <filter val="4674830"/>
            <filter val="4674881"/>
            <filter val="4675489"/>
            <filter val="4680045"/>
            <filter val="4696470"/>
            <filter val="4696943"/>
            <filter val="4722266"/>
            <filter val="4729728"/>
            <filter val="4732393"/>
            <filter val="4756217"/>
            <filter val="475794"/>
            <filter val="4761482"/>
            <filter val="4783402"/>
            <filter val="4784067"/>
            <filter val="479226"/>
            <filter val="480281"/>
            <filter val="480283"/>
            <filter val="4836917"/>
            <filter val="4859807"/>
            <filter val="486192"/>
            <filter val="492516"/>
            <filter val="515215"/>
            <filter val="528568"/>
            <filter val="5709377"/>
            <filter val="5745998"/>
            <filter val="5752960"/>
            <filter val="5757724"/>
            <filter val="5759182"/>
            <filter val="5759476"/>
            <filter val="5762906"/>
            <filter val="5763015"/>
            <filter val="5772979"/>
            <filter val="5773304"/>
            <filter val="5773924"/>
            <filter val="5774998"/>
            <filter val="5776702"/>
            <filter val="5789898"/>
            <filter val="5792082"/>
            <filter val="5799044"/>
            <filter val="5808809"/>
            <filter val="5809120"/>
            <filter val="5828311"/>
            <filter val="5842390"/>
            <filter val="5842438"/>
            <filter val="5842853"/>
            <filter val="6245088"/>
            <filter val="6549214"/>
            <filter val="749509"/>
            <filter val="772942"/>
            <filter val="789373"/>
            <filter val="798500"/>
            <filter val="804151"/>
            <filter val="804771"/>
            <filter val="807649"/>
            <filter val="826678"/>
            <filter val="846385"/>
            <filter val="846458"/>
            <filter val="860566"/>
            <filter val="865134"/>
            <filter val="882640"/>
            <filter val="891801"/>
          </filters>
        </filterColumn>
        <filterColumn colId="5">
          <filters blank="1">
            <filter val="Adriana Ferrari Pimentel"/>
            <filter val="Adriana Laus de Aquino"/>
            <filter val="Aldo Aguirre Aristimunho"/>
            <filter val="Andre Luis Fernandes Gouveia"/>
            <filter val="Andre Luiz Souza da Silveira"/>
            <filter val="Ariosvaldo Ferreira Nunes"/>
            <filter val="Atilio Rulli"/>
            <filter val="Barbara Mitchele Martins Leão"/>
            <filter val="Bertha Lins Pellegrino"/>
            <filter val="Bruno Silva de Medeiros"/>
            <filter val="Caio Cesar Boschi"/>
            <filter val="Carlos Alberto Cardozo"/>
            <filter val="Ciria Coelho Ribeiro"/>
            <filter val="Clisia Mara Carreira"/>
            <filter val="Daniel Esteves Fonseca Franco"/>
            <filter val="Daniela de Martins Souza"/>
            <filter val="Débora Inhaquite Bolfoni da Cunha"/>
            <filter val="Débora Maçaneiro Vieira"/>
            <filter val="Denise Maria Ventura de Alcântara"/>
            <filter val="Eduardo Amorim de Lemos"/>
            <filter val="Eduardo Maia Magalhães"/>
            <filter val="Eduardo Soares do Couto Filho"/>
            <filter val="Gabriel de Oliveira"/>
            <filter val="GHD Empreendimentos Imobiliarios LTDA"/>
            <filter val="Glauber Oliveira Silva"/>
            <filter val="Graziela Monaco Biavati"/>
            <filter val="Guilherme Nogueira Bassi"/>
            <filter val="Gustavo Branco"/>
            <filter val="Gustavo Dauster Vivacqua e Silva"/>
            <filter val="Hernane da Silva Ribeiro"/>
            <filter val="João Beze Sobrinho"/>
            <filter val="Jorge Augusto Laburu"/>
            <filter val="Jorge Gomes de Araujo"/>
            <filter val="José Guilherme Maia"/>
            <filter val="Laurindo Aelsom Teixeira Costa"/>
            <filter val="Leonardo Leal Leite"/>
            <filter val="Leonardo Peleja Vizeu Lima"/>
            <filter val="Luciana Navarro de Oliveira Santos"/>
            <filter val="Luis José Maranhão Neto"/>
            <filter val="Marcelle Passarinho Maia"/>
            <filter val="Marcelo Botton Piccin"/>
            <filter val="Marcelo Franco Paes Leme"/>
            <filter val="Márcia Coelho"/>
            <filter val="Marcio Lopes Siqueira"/>
            <filter val="Matheus Herthel Souza Belo"/>
            <filter val="Matthew Paz Carvalho"/>
            <filter val="Moderada"/>
            <filter val="Nathalia Alcantara de Albuquerque"/>
            <filter val="Odil Garrido Campos de Andrade"/>
            <filter val="Patricia da Conceicao Alves Mendes"/>
            <filter val="Raphael Pereira Hablitzel"/>
            <filter val="Raphael Steckelberg"/>
            <filter val="Raquel Valadares Von Glehn Ribeiro"/>
            <filter val="Rejane Maria Dantas Maia"/>
            <filter val="Renata Freitas Chamarelli"/>
            <filter val="Renato Sendin"/>
            <filter val="Ricardo Gomes de Queiroz"/>
            <filter val="Ricardo Marinho dos Santos"/>
            <filter val="Roberto Alexandre Neves Fernandes Filho"/>
            <filter val="Rodrigo Barros Mendonça"/>
            <filter val="Rossana de Miranda Almeida"/>
            <filter val="Sandra Maria de Albuquerque Costa"/>
            <filter val="Sergio Luz de Souza"/>
            <filter val="Silvia Carla Galli Leyser"/>
            <filter val="Silvia Ruth Penaloza Diez"/>
            <filter val="Vera Regina Mazzini Braga Coimbra"/>
            <filter val="Vertice Design Eireli"/>
            <filter val="Vértice Design Eireli"/>
            <filter val="Washington José Lima Candido"/>
            <filter val="Zenilda Clea de Paula"/>
          </filters>
        </filterColumn>
      </autoFilter>
    </customSheetView>
  </customSheetViews>
  <conditionalFormatting sqref="I799:I803 I809:I818 I828 I898:I899 I902:I923 I925:I927 I929:I935 I937:I939 I1076:I1077 I1089 I1095 I1102:I1103">
    <cfRule type="cellIs" dxfId="2" priority="3" operator="equal">
      <formula>"Bluemetrix"</formula>
    </cfRule>
  </conditionalFormatting>
  <conditionalFormatting sqref="I802 I827 H898:H899 H915:H917 H919:H923 H925:H927 H929:H935 H937:H939 H1089 I1095 H1102:H1103">
    <cfRule type="cellIs" dxfId="1" priority="1" operator="equal">
      <formula>"Conquest"</formula>
    </cfRule>
    <cfRule type="cellIs" dxfId="0" priority="2" operator="equal">
      <formula>"Voga"</formula>
    </cfRule>
  </conditionalFormatting>
  <dataValidations count="1">
    <dataValidation type="list" allowBlank="1" showErrorMessage="1" sqref="D2:D1300" xr:uid="{00000000-0002-0000-1200-000000000000}">
      <formula1>$AA:$AA</formula1>
    </dataValidation>
  </dataValidation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B7884-8C87-4801-9053-3220AE6ECE0B}">
  <dimension ref="A1:W14"/>
  <sheetViews>
    <sheetView workbookViewId="0">
      <selection activeCell="J29" sqref="J29"/>
    </sheetView>
  </sheetViews>
  <sheetFormatPr defaultRowHeight="12.75"/>
  <cols>
    <col min="1" max="1" width="10.7109375" bestFit="1" customWidth="1"/>
    <col min="2" max="3" width="17.140625" bestFit="1" customWidth="1"/>
    <col min="4" max="4" width="5.140625" customWidth="1"/>
    <col min="5" max="5" width="10.7109375" bestFit="1" customWidth="1"/>
    <col min="6" max="7" width="18.28515625" bestFit="1" customWidth="1"/>
    <col min="8" max="8" width="5" customWidth="1"/>
    <col min="9" max="9" width="10.7109375" bestFit="1" customWidth="1"/>
    <col min="10" max="11" width="17.140625" bestFit="1" customWidth="1"/>
    <col min="12" max="12" width="4.28515625" customWidth="1"/>
    <col min="13" max="15" width="17.140625" customWidth="1"/>
    <col min="16" max="16" width="4.42578125" customWidth="1"/>
    <col min="17" max="19" width="17.140625" customWidth="1"/>
    <col min="20" max="20" width="4.5703125" customWidth="1"/>
    <col min="21" max="21" width="11.5703125" bestFit="1" customWidth="1"/>
    <col min="22" max="22" width="5.140625" customWidth="1"/>
    <col min="23" max="23" width="14.85546875" bestFit="1" customWidth="1"/>
  </cols>
  <sheetData>
    <row r="1" spans="1:23" s="150" customFormat="1">
      <c r="A1" s="163" t="s">
        <v>118</v>
      </c>
      <c r="B1" s="163"/>
      <c r="C1" s="163"/>
      <c r="E1" s="164" t="s">
        <v>2005</v>
      </c>
      <c r="F1" s="164"/>
      <c r="G1" s="164"/>
      <c r="I1" s="164" t="s">
        <v>58</v>
      </c>
      <c r="J1" s="164"/>
      <c r="K1" s="164"/>
      <c r="M1" s="164" t="s">
        <v>158</v>
      </c>
      <c r="N1" s="164"/>
      <c r="O1" s="164"/>
      <c r="Q1" s="164" t="s">
        <v>448</v>
      </c>
      <c r="R1" s="164"/>
      <c r="S1" s="164"/>
      <c r="U1" s="150" t="s">
        <v>2006</v>
      </c>
      <c r="W1" s="150" t="s">
        <v>2007</v>
      </c>
    </row>
    <row r="2" spans="1:23" ht="15">
      <c r="A2" s="143" t="s">
        <v>2008</v>
      </c>
      <c r="B2" s="144" t="s">
        <v>2009</v>
      </c>
      <c r="C2" s="144" t="s">
        <v>2010</v>
      </c>
      <c r="E2" s="143" t="s">
        <v>2008</v>
      </c>
      <c r="F2" s="144" t="s">
        <v>2009</v>
      </c>
      <c r="G2" s="144" t="s">
        <v>2010</v>
      </c>
      <c r="I2" s="143" t="s">
        <v>2008</v>
      </c>
      <c r="J2" s="144" t="s">
        <v>2009</v>
      </c>
      <c r="K2" s="144" t="s">
        <v>2010</v>
      </c>
      <c r="M2" s="143" t="s">
        <v>2008</v>
      </c>
      <c r="N2" s="144" t="s">
        <v>2009</v>
      </c>
      <c r="O2" s="144" t="s">
        <v>2010</v>
      </c>
      <c r="Q2" s="143" t="s">
        <v>2008</v>
      </c>
      <c r="R2" s="144" t="s">
        <v>2009</v>
      </c>
      <c r="S2" s="144" t="s">
        <v>2010</v>
      </c>
      <c r="U2" s="143" t="s">
        <v>2008</v>
      </c>
      <c r="W2" s="143" t="s">
        <v>2008</v>
      </c>
    </row>
    <row r="3" spans="1:23">
      <c r="A3" s="145">
        <v>6.0000000000000001E-3</v>
      </c>
      <c r="B3" s="146">
        <v>1000000</v>
      </c>
      <c r="C3" s="147">
        <v>5000000</v>
      </c>
      <c r="E3" s="145">
        <v>7.0000000000000001E-3</v>
      </c>
      <c r="F3" s="146">
        <v>1000000</v>
      </c>
      <c r="G3" s="147">
        <v>5000000</v>
      </c>
      <c r="I3" s="148">
        <v>0.01</v>
      </c>
      <c r="J3" s="149"/>
      <c r="K3" s="149">
        <v>1000000</v>
      </c>
      <c r="M3" s="148">
        <v>6.0000000000000001E-3</v>
      </c>
      <c r="N3" s="149">
        <v>1000000</v>
      </c>
      <c r="O3" s="149">
        <v>5000000</v>
      </c>
      <c r="Q3" s="148">
        <v>6.0000000000000001E-3</v>
      </c>
      <c r="R3" s="149">
        <v>1000000</v>
      </c>
      <c r="S3" s="149">
        <v>5000000</v>
      </c>
      <c r="U3" s="148">
        <v>3.5000000000000001E-3</v>
      </c>
      <c r="W3" s="148">
        <v>4.0000000000000001E-3</v>
      </c>
    </row>
    <row r="4" spans="1:23">
      <c r="A4" s="145">
        <v>5.0000000000000001E-3</v>
      </c>
      <c r="B4" s="146">
        <v>5000000.01</v>
      </c>
      <c r="C4" s="147">
        <v>10000000</v>
      </c>
      <c r="E4" s="145">
        <v>6.0000000000000001E-3</v>
      </c>
      <c r="F4" s="146">
        <v>5000000.01</v>
      </c>
      <c r="G4" s="147">
        <v>10000000</v>
      </c>
      <c r="I4" s="148">
        <v>8.0000000000000002E-3</v>
      </c>
      <c r="J4" s="149">
        <v>1000000.01</v>
      </c>
      <c r="K4" s="149">
        <v>5000000</v>
      </c>
      <c r="M4" s="148">
        <v>5.0000000000000001E-3</v>
      </c>
      <c r="N4" s="149">
        <v>5000000.01</v>
      </c>
      <c r="O4" s="149">
        <v>10000000</v>
      </c>
      <c r="Q4" s="148">
        <v>4.0000000000000001E-3</v>
      </c>
      <c r="R4" s="149">
        <v>5000000.01</v>
      </c>
      <c r="S4" s="149">
        <v>10000000</v>
      </c>
    </row>
    <row r="5" spans="1:23">
      <c r="A5" s="145">
        <v>4.0000000000000001E-3</v>
      </c>
      <c r="B5" s="146">
        <v>10000000.01</v>
      </c>
      <c r="C5" s="147">
        <v>15000000</v>
      </c>
      <c r="E5" s="145">
        <v>5.0000000000000001E-3</v>
      </c>
      <c r="F5" s="146">
        <v>10000000.01</v>
      </c>
      <c r="G5" s="147">
        <v>15000000</v>
      </c>
      <c r="I5" s="148">
        <v>7.0000000000000001E-3</v>
      </c>
      <c r="J5" s="149">
        <v>5000000.01</v>
      </c>
      <c r="K5" s="149">
        <v>10000000</v>
      </c>
      <c r="M5" s="148">
        <v>4.0000000000000001E-3</v>
      </c>
      <c r="N5" s="149">
        <v>10000000.01</v>
      </c>
      <c r="O5" s="149">
        <v>15000000</v>
      </c>
      <c r="Q5" s="148">
        <v>4.0000000000000001E-3</v>
      </c>
      <c r="R5" s="149">
        <v>10000000.01</v>
      </c>
      <c r="S5" s="149">
        <v>15000000</v>
      </c>
    </row>
    <row r="6" spans="1:23">
      <c r="A6" s="145">
        <v>3.0000000000000001E-3</v>
      </c>
      <c r="B6" s="146">
        <v>15000000.01</v>
      </c>
      <c r="C6" s="147"/>
      <c r="E6" s="145">
        <v>4.0000000000000001E-3</v>
      </c>
      <c r="F6" s="146">
        <v>15000000.01</v>
      </c>
      <c r="G6" s="147">
        <v>30000000</v>
      </c>
      <c r="I6" s="148">
        <v>6.0000000000000001E-3</v>
      </c>
      <c r="J6" s="149">
        <v>10000000.01</v>
      </c>
      <c r="K6" s="149">
        <v>15000000</v>
      </c>
      <c r="M6" s="148">
        <v>3.0000000000000001E-3</v>
      </c>
      <c r="N6" s="149">
        <v>15000000.01</v>
      </c>
      <c r="O6" s="149">
        <v>50000000</v>
      </c>
      <c r="Q6" s="148">
        <v>3.0000000000000001E-3</v>
      </c>
      <c r="R6" s="149">
        <v>15000000.01</v>
      </c>
      <c r="S6" s="149"/>
    </row>
    <row r="7" spans="1:23">
      <c r="E7" s="145">
        <v>3.0000000000000001E-3</v>
      </c>
      <c r="F7" s="146">
        <v>30000000.010000002</v>
      </c>
      <c r="G7" s="147">
        <v>100000000</v>
      </c>
      <c r="I7" s="148">
        <v>5.0000000000000001E-3</v>
      </c>
      <c r="J7" s="149">
        <v>15000000.01</v>
      </c>
      <c r="K7" s="149">
        <v>30000000</v>
      </c>
      <c r="M7" s="148">
        <v>2.8999999999999998E-3</v>
      </c>
      <c r="N7" s="149">
        <v>50000000.009999998</v>
      </c>
      <c r="O7" s="149">
        <v>100000000</v>
      </c>
      <c r="Q7" s="151"/>
      <c r="R7" s="151"/>
      <c r="S7" s="151"/>
    </row>
    <row r="8" spans="1:23">
      <c r="E8" s="145">
        <v>2.8999999999999998E-3</v>
      </c>
      <c r="F8" s="146">
        <v>100000000.01000001</v>
      </c>
      <c r="G8" s="147">
        <v>150000000</v>
      </c>
      <c r="I8" s="148">
        <v>4.0000000000000001E-3</v>
      </c>
      <c r="J8" s="149">
        <v>30000000.010000002</v>
      </c>
      <c r="K8" s="149">
        <v>50000000</v>
      </c>
      <c r="M8" s="148">
        <v>2.8E-3</v>
      </c>
      <c r="N8" s="149">
        <v>100000000.01000001</v>
      </c>
      <c r="O8" s="149">
        <v>150000000</v>
      </c>
      <c r="Q8" s="151"/>
      <c r="R8" s="151"/>
      <c r="S8" s="151"/>
    </row>
    <row r="9" spans="1:23">
      <c r="E9" s="145">
        <v>2.8E-3</v>
      </c>
      <c r="F9" s="146">
        <v>150000000.00999999</v>
      </c>
      <c r="G9" s="147">
        <v>200000000</v>
      </c>
      <c r="I9" s="148">
        <v>3.0000000000000001E-3</v>
      </c>
      <c r="J9" s="149">
        <v>50000000.009999998</v>
      </c>
      <c r="K9" s="149">
        <v>100000000</v>
      </c>
      <c r="M9" s="148">
        <v>2.7000000000000001E-3</v>
      </c>
      <c r="N9" s="149">
        <v>150000000.00999999</v>
      </c>
      <c r="O9" s="149">
        <v>200000000</v>
      </c>
      <c r="Q9" s="151"/>
      <c r="R9" s="151"/>
      <c r="S9" s="151"/>
    </row>
    <row r="10" spans="1:23">
      <c r="E10" s="145">
        <v>2.7000000000000001E-3</v>
      </c>
      <c r="F10" s="146">
        <v>200000000.00999999</v>
      </c>
      <c r="G10" s="147">
        <v>250000000</v>
      </c>
      <c r="I10" s="148">
        <v>2.8999999999999998E-3</v>
      </c>
      <c r="J10" s="149">
        <v>100000000.01000001</v>
      </c>
      <c r="K10" s="149">
        <v>150000000</v>
      </c>
      <c r="M10" s="148">
        <v>2.5999999999999999E-3</v>
      </c>
      <c r="N10" s="149">
        <v>200000000.00999999</v>
      </c>
      <c r="O10" s="149">
        <v>250000000</v>
      </c>
      <c r="Q10" s="151"/>
      <c r="R10" s="151"/>
      <c r="S10" s="151"/>
    </row>
    <row r="11" spans="1:23">
      <c r="E11" s="145">
        <v>2.5999999999999999E-3</v>
      </c>
      <c r="F11" s="146">
        <v>250000000.00999999</v>
      </c>
      <c r="G11" s="147">
        <v>300000000</v>
      </c>
      <c r="I11" s="148">
        <v>2.8E-3</v>
      </c>
      <c r="J11" s="149">
        <v>150000000.00999999</v>
      </c>
      <c r="K11" s="149">
        <v>200000000</v>
      </c>
      <c r="M11" s="148">
        <v>2.5000000000000001E-3</v>
      </c>
      <c r="N11" s="149">
        <v>250000000</v>
      </c>
      <c r="O11" s="149"/>
      <c r="Q11" s="151"/>
      <c r="R11" s="151"/>
      <c r="S11" s="151"/>
    </row>
    <row r="12" spans="1:23">
      <c r="E12" s="145">
        <v>2.5000000000000001E-3</v>
      </c>
      <c r="F12" s="146">
        <v>300000000.00999999</v>
      </c>
      <c r="G12" s="147"/>
      <c r="I12" s="148">
        <v>2.7000000000000001E-3</v>
      </c>
      <c r="J12" s="149">
        <v>200000000.00999999</v>
      </c>
      <c r="K12" s="149">
        <v>250000000</v>
      </c>
      <c r="M12" s="151"/>
      <c r="N12" s="151"/>
      <c r="O12" s="151"/>
      <c r="Q12" s="151"/>
      <c r="R12" s="151"/>
      <c r="S12" s="151"/>
    </row>
    <row r="13" spans="1:23">
      <c r="I13" s="148">
        <v>2.5999999999999999E-3</v>
      </c>
      <c r="J13" s="149">
        <v>250000000.00999999</v>
      </c>
      <c r="K13" s="149">
        <v>300000000</v>
      </c>
      <c r="M13" s="151"/>
      <c r="N13" s="151"/>
      <c r="O13" s="151"/>
      <c r="Q13" s="151"/>
      <c r="R13" s="151"/>
      <c r="S13" s="151"/>
    </row>
    <row r="14" spans="1:23">
      <c r="I14" s="148">
        <v>2.5000000000000001E-3</v>
      </c>
      <c r="J14" s="149">
        <v>300000000.00999999</v>
      </c>
      <c r="K14" s="149"/>
      <c r="M14" s="151"/>
      <c r="N14" s="151"/>
      <c r="O14" s="151"/>
      <c r="Q14" s="151"/>
      <c r="R14" s="151"/>
      <c r="S14" s="151"/>
    </row>
  </sheetData>
  <mergeCells count="5">
    <mergeCell ref="A1:C1"/>
    <mergeCell ref="E1:G1"/>
    <mergeCell ref="I1:K1"/>
    <mergeCell ref="M1:O1"/>
    <mergeCell ref="Q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BD6BD-2ABB-4694-AC75-37E08BDF5770}">
  <dimension ref="A1:V3"/>
  <sheetViews>
    <sheetView tabSelected="1" workbookViewId="0">
      <selection activeCell="G13" sqref="G13"/>
    </sheetView>
  </sheetViews>
  <sheetFormatPr defaultRowHeight="12.75"/>
  <cols>
    <col min="1" max="1" width="9.28515625" bestFit="1" customWidth="1"/>
    <col min="2" max="3" width="25.5703125" bestFit="1" customWidth="1"/>
    <col min="4" max="4" width="21.5703125" bestFit="1" customWidth="1"/>
    <col min="5" max="5" width="6.42578125" bestFit="1" customWidth="1"/>
    <col min="6" max="6" width="6.5703125" bestFit="1" customWidth="1"/>
    <col min="7" max="7" width="33.28515625" bestFit="1" customWidth="1"/>
    <col min="8" max="8" width="6.5703125" bestFit="1" customWidth="1"/>
    <col min="9" max="19" width="12.42578125" bestFit="1" customWidth="1"/>
  </cols>
  <sheetData>
    <row r="1" spans="1:22">
      <c r="A1" s="75" t="s">
        <v>0</v>
      </c>
      <c r="B1" s="74" t="s">
        <v>1</v>
      </c>
      <c r="C1" s="74" t="s">
        <v>2</v>
      </c>
      <c r="D1" s="74" t="s">
        <v>3</v>
      </c>
      <c r="E1" s="74" t="s">
        <v>4</v>
      </c>
      <c r="F1" s="74" t="s">
        <v>5</v>
      </c>
      <c r="G1" s="74" t="s">
        <v>6</v>
      </c>
      <c r="H1" s="74" t="s">
        <v>2011</v>
      </c>
      <c r="I1" s="74" t="s">
        <v>37</v>
      </c>
      <c r="J1" s="74" t="s">
        <v>38</v>
      </c>
      <c r="K1" s="74" t="s">
        <v>39</v>
      </c>
      <c r="L1" s="74" t="s">
        <v>40</v>
      </c>
      <c r="M1" s="74" t="s">
        <v>41</v>
      </c>
      <c r="N1" s="74" t="s">
        <v>42</v>
      </c>
      <c r="O1" s="74" t="s">
        <v>43</v>
      </c>
      <c r="P1" s="74" t="s">
        <v>44</v>
      </c>
      <c r="Q1" s="74" t="s">
        <v>45</v>
      </c>
      <c r="R1" s="74" t="s">
        <v>46</v>
      </c>
      <c r="S1" s="74" t="s">
        <v>47</v>
      </c>
    </row>
    <row r="2" spans="1:22">
      <c r="A2" s="1" t="s">
        <v>2012</v>
      </c>
      <c r="B2" s="5" t="s">
        <v>278</v>
      </c>
      <c r="C2" s="5" t="s">
        <v>278</v>
      </c>
      <c r="D2" s="5" t="s">
        <v>279</v>
      </c>
      <c r="E2" s="3" t="s">
        <v>50</v>
      </c>
      <c r="F2" s="3" t="s">
        <v>51</v>
      </c>
      <c r="G2" s="5" t="s">
        <v>2013</v>
      </c>
      <c r="H2" s="2" t="s">
        <v>2014</v>
      </c>
      <c r="I2" s="77">
        <v>228890.67</v>
      </c>
      <c r="J2" s="77">
        <v>228890.67</v>
      </c>
      <c r="K2" s="77">
        <v>228890.67</v>
      </c>
      <c r="L2" s="77">
        <v>228890.67</v>
      </c>
      <c r="M2" s="77">
        <v>228890.67</v>
      </c>
      <c r="N2" s="77">
        <v>228890.67</v>
      </c>
      <c r="O2" s="77">
        <v>228890.67</v>
      </c>
      <c r="P2" s="77">
        <v>228890.67</v>
      </c>
      <c r="Q2" s="77">
        <v>228890.67</v>
      </c>
      <c r="R2" s="77">
        <v>228890.67</v>
      </c>
      <c r="S2" s="77">
        <v>228890.67</v>
      </c>
    </row>
    <row r="3" spans="1:22" ht="15">
      <c r="A3" s="1" t="s">
        <v>2012</v>
      </c>
      <c r="B3" s="5" t="s">
        <v>294</v>
      </c>
      <c r="C3" s="5" t="s">
        <v>156</v>
      </c>
      <c r="D3" s="5" t="s">
        <v>294</v>
      </c>
      <c r="E3" s="3" t="s">
        <v>50</v>
      </c>
      <c r="F3" s="3" t="s">
        <v>123</v>
      </c>
      <c r="G3" s="5" t="s">
        <v>2015</v>
      </c>
      <c r="H3" s="2" t="s">
        <v>2014</v>
      </c>
      <c r="I3" s="77">
        <v>200000</v>
      </c>
      <c r="J3" s="77">
        <v>200000</v>
      </c>
      <c r="K3" s="77">
        <v>200000</v>
      </c>
      <c r="L3" s="77">
        <v>200000</v>
      </c>
      <c r="M3" s="77">
        <v>200000</v>
      </c>
      <c r="N3" s="77">
        <v>200000</v>
      </c>
      <c r="O3" s="77">
        <v>200000</v>
      </c>
      <c r="P3" s="77">
        <v>200000</v>
      </c>
      <c r="Q3" s="77">
        <v>200000</v>
      </c>
      <c r="R3" s="77">
        <v>200000</v>
      </c>
      <c r="S3" s="77">
        <v>200000</v>
      </c>
      <c r="T3" s="152"/>
      <c r="U3" s="152"/>
      <c r="V3" s="152"/>
    </row>
  </sheetData>
  <dataValidations count="2">
    <dataValidation type="list" allowBlank="1" showErrorMessage="1" sqref="F2:F3" xr:uid="{E141933A-B2B7-4C24-BB3E-6B804E0FB1DD}">
      <formula1>"MFO, Tesouraria, Wealth"</formula1>
    </dataValidation>
    <dataValidation type="list" allowBlank="1" showErrorMessage="1" sqref="E2:E3" xr:uid="{E8A44518-2764-412B-92DD-BE0437260355}">
      <formula1>"PF,PJ"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11</dc:creator>
  <cp:keywords/>
  <dc:description/>
  <cp:lastModifiedBy/>
  <cp:revision/>
  <dcterms:created xsi:type="dcterms:W3CDTF">2026-01-29T13:07:14Z</dcterms:created>
  <dcterms:modified xsi:type="dcterms:W3CDTF">2026-10-19T15:08:57Z</dcterms:modified>
  <cp:category/>
  <cp:contentStatus/>
</cp:coreProperties>
</file>