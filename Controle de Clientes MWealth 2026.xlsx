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6C779E9D-7FFA-4670-A445-7C5B4907169B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6" hidden="1">'Tabelas Fee'!$F$19:$F$19</definedName>
    <definedName name="_xlnm._FilterDatabase" localSheetId="0" hidden="1">'Controle Contas'!$A$1:$AU$143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" i="2" l="1"/>
  <c r="R70" i="2"/>
  <c r="R56" i="2"/>
  <c r="R141" i="2"/>
  <c r="R57" i="2"/>
  <c r="R134" i="2"/>
  <c r="R126" i="2"/>
  <c r="R58" i="2"/>
  <c r="R136" i="2"/>
  <c r="R124" i="2"/>
  <c r="R42" i="2"/>
  <c r="R97" i="2"/>
  <c r="R109" i="2"/>
  <c r="R100" i="2"/>
  <c r="R36" i="2"/>
  <c r="R142" i="2"/>
  <c r="R86" i="2"/>
  <c r="R27" i="2"/>
  <c r="R132" i="2"/>
  <c r="R131" i="2"/>
  <c r="R98" i="2"/>
  <c r="R46" i="2"/>
  <c r="R2" i="2"/>
  <c r="R12" i="2"/>
  <c r="R125" i="2"/>
  <c r="R73" i="2"/>
  <c r="R121" i="2"/>
  <c r="R89" i="2"/>
  <c r="R90" i="2"/>
  <c r="R118" i="2"/>
  <c r="R43" i="2"/>
  <c r="R3" i="2"/>
  <c r="R18" i="2"/>
  <c r="R114" i="2"/>
  <c r="R112" i="2"/>
  <c r="R11" i="2"/>
  <c r="R76" i="2"/>
  <c r="R102" i="2"/>
  <c r="R4" i="2"/>
  <c r="R107" i="2"/>
  <c r="R108" i="2"/>
  <c r="R106" i="2"/>
  <c r="R103" i="2"/>
  <c r="R104" i="2"/>
  <c r="R41" i="2"/>
  <c r="R101" i="2"/>
  <c r="R14" i="2"/>
  <c r="R23" i="2"/>
  <c r="R32" i="2"/>
  <c r="R92" i="2"/>
  <c r="R93" i="2"/>
  <c r="R113" i="2"/>
  <c r="R47" i="2"/>
  <c r="R88" i="2"/>
  <c r="R48" i="2"/>
  <c r="R55" i="2"/>
  <c r="R85" i="2"/>
  <c r="R51" i="2"/>
  <c r="R17" i="2"/>
  <c r="R99" i="2"/>
  <c r="R80" i="2"/>
  <c r="R78" i="2"/>
  <c r="R79" i="2"/>
  <c r="R82" i="2"/>
  <c r="R28" i="2"/>
  <c r="R44" i="2"/>
  <c r="R122" i="2"/>
  <c r="R61" i="2"/>
  <c r="R50" i="2"/>
  <c r="R35" i="2"/>
  <c r="R69" i="2"/>
  <c r="R84" i="2"/>
  <c r="R68" i="2"/>
  <c r="R66" i="2"/>
  <c r="R65" i="2"/>
  <c r="R31" i="2"/>
  <c r="R20" i="2"/>
  <c r="R62" i="2"/>
  <c r="R22" i="2"/>
  <c r="R94" i="2"/>
  <c r="R116" i="2"/>
  <c r="R63" i="2"/>
  <c r="R81" i="2"/>
  <c r="R54" i="2"/>
  <c r="R5" i="2"/>
  <c r="R39" i="2"/>
  <c r="R72" i="2"/>
  <c r="R49" i="2"/>
  <c r="R110" i="2"/>
  <c r="R117" i="2"/>
  <c r="R71" i="2"/>
  <c r="R10" i="2"/>
  <c r="R74" i="2"/>
  <c r="R25" i="2"/>
  <c r="R64" i="2"/>
  <c r="R52" i="2"/>
  <c r="R135" i="2"/>
  <c r="R38" i="2"/>
  <c r="R123" i="2"/>
  <c r="R87" i="2"/>
  <c r="R91" i="2"/>
  <c r="R34" i="2"/>
  <c r="R40" i="2"/>
  <c r="R137" i="2"/>
  <c r="R8" i="2"/>
  <c r="R29" i="2"/>
  <c r="R30" i="2"/>
  <c r="R37" i="2"/>
  <c r="R95" i="2"/>
  <c r="R24" i="2"/>
  <c r="R77" i="2"/>
  <c r="R105" i="2"/>
  <c r="R33" i="2"/>
  <c r="R19" i="2"/>
  <c r="R119" i="2"/>
  <c r="R83" i="2"/>
  <c r="R16" i="2"/>
  <c r="R140" i="2"/>
  <c r="R139" i="2"/>
  <c r="R13" i="2"/>
  <c r="R67" i="2"/>
  <c r="R120" i="2"/>
  <c r="R26" i="2"/>
  <c r="R9" i="2"/>
  <c r="R111" i="2"/>
  <c r="R59" i="2"/>
  <c r="R21" i="2"/>
  <c r="C2" i="18" a="1"/>
  <c r="C3" i="18" a="1"/>
  <c r="C4" i="18" a="1"/>
  <c r="C5" i="18" a="1"/>
  <c r="C6" i="18" a="1"/>
  <c r="C7" i="18" a="1"/>
  <c r="C8" i="18" a="1"/>
  <c r="C9" i="18" a="1"/>
  <c r="C10" i="18" a="1"/>
  <c r="C11" i="18" a="1"/>
  <c r="C12" i="18" a="1"/>
  <c r="C13" i="18" a="1"/>
  <c r="C14" i="18" a="1"/>
  <c r="C15" i="18" a="1"/>
  <c r="C16" i="18" a="1"/>
  <c r="C17" i="18" a="1"/>
  <c r="C18" i="18" a="1"/>
  <c r="C19" i="18" a="1"/>
  <c r="C20" i="18" a="1"/>
  <c r="C21" i="18" a="1"/>
  <c r="C22" i="18" a="1"/>
  <c r="C23" i="18" a="1"/>
  <c r="C24" i="18" a="1"/>
  <c r="C25" i="18" a="1"/>
  <c r="C26" i="18" a="1"/>
  <c r="C27" i="18" a="1"/>
  <c r="C28" i="18" a="1"/>
  <c r="C29" i="18" a="1"/>
  <c r="C30" i="18" a="1"/>
  <c r="C31" i="18" a="1"/>
  <c r="C32" i="18" a="1"/>
  <c r="C33" i="18" a="1"/>
  <c r="C34" i="18" a="1"/>
  <c r="C35" i="18" a="1"/>
  <c r="C36" i="18" a="1"/>
  <c r="C37" i="18" a="1"/>
  <c r="C38" i="18" a="1"/>
  <c r="C39" i="18" a="1"/>
  <c r="C40" i="18" a="1"/>
  <c r="C41" i="18" a="1"/>
  <c r="C42" i="18" a="1"/>
  <c r="C43" i="18" a="1"/>
  <c r="C44" i="18" a="1"/>
  <c r="C45" i="18" a="1"/>
  <c r="C46" i="18" a="1"/>
  <c r="C47" i="18" a="1"/>
  <c r="C48" i="18" a="1"/>
  <c r="C49" i="18" a="1"/>
  <c r="C50" i="18" a="1"/>
  <c r="C51" i="18" a="1"/>
  <c r="C52" i="18" a="1"/>
  <c r="C53" i="18" a="1"/>
  <c r="C54" i="18" a="1"/>
  <c r="C55" i="18" a="1"/>
  <c r="C56" i="18" a="1"/>
  <c r="C57" i="18" a="1"/>
  <c r="C58" i="18" a="1"/>
  <c r="C59" i="18" a="1"/>
  <c r="C60" i="18" a="1"/>
  <c r="C61" i="18" a="1"/>
  <c r="C62" i="18" a="1"/>
  <c r="C63" i="18" a="1"/>
  <c r="C64" i="18" a="1"/>
  <c r="C65" i="18" a="1"/>
  <c r="C66" i="18" a="1"/>
  <c r="C67" i="18" a="1"/>
  <c r="C68" i="18" a="1"/>
  <c r="C69" i="18" a="1"/>
  <c r="C70" i="18" a="1"/>
  <c r="C71" i="18" a="1"/>
  <c r="C72" i="18" a="1"/>
  <c r="C73" i="18" a="1"/>
  <c r="C74" i="18" a="1"/>
  <c r="C75" i="18" a="1"/>
  <c r="C76" i="18" a="1"/>
  <c r="C77" i="18" a="1"/>
  <c r="C78" i="18" a="1"/>
  <c r="C79" i="18" a="1"/>
  <c r="C80" i="18" a="1"/>
  <c r="C81" i="18" a="1"/>
  <c r="C82" i="18" a="1"/>
  <c r="C83" i="18" a="1"/>
  <c r="C84" i="18" a="1"/>
  <c r="C85" i="18" a="1"/>
  <c r="C86" i="18" a="1"/>
  <c r="C87" i="18" a="1"/>
  <c r="C88" i="18" a="1"/>
  <c r="C89" i="18" a="1"/>
  <c r="C90" i="18" a="1"/>
  <c r="C91" i="18" a="1"/>
  <c r="C92" i="18" a="1"/>
  <c r="C93" i="18" a="1"/>
  <c r="C94" i="18" a="1"/>
  <c r="C95" i="18" a="1"/>
  <c r="C96" i="18" a="1"/>
  <c r="C97" i="18" a="1"/>
  <c r="C98" i="18" a="1"/>
  <c r="C99" i="18" a="1"/>
  <c r="C100" i="18" a="1"/>
  <c r="C101" i="18" a="1"/>
  <c r="C102" i="18" a="1"/>
  <c r="C103" i="18" a="1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<sst xmlns="http://schemas.openxmlformats.org/spreadsheetml/2006/main" count="12810" uniqueCount="2010">
  <si>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</si>
  <si>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</si>
  <si>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</si>
  <si>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</si>
  <si>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</si>
  <si>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</si>
  <si>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</si>
  <si>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</si>
  <si>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</si>
  <si>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</si>
  <si>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</si>
  <si>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</si>
  <si>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</si>
  <si>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</si>
  <si>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</si>
  <si>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</si>
  <si>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</si>
  <si>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</si>
  <si>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</si>
  <si>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</si>
  <si>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</si>
  <si>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</si>
  <si>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</si>
  <si>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</si>
  <si>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</si>
  <si>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</si>
  <si>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</si>
  <si>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</si>
  <si>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</si>
  <si>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</si>
  <si>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</si>
  <si>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</si>
  <si>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</si>
  <si>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</si>
  <si>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</si>
  <si>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</si>
  <si>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</si>
  <si>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</si>
  <si>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</si>
  <si>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</si>
  <si>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</si>
  <si>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</si>
  <si>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</si>
  <si>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</si>
  <si>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</si>
  <si>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</si>
  <si>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PL 30/09/2026</t>
  </si>
  <si>
    <t>XP</t>
  </si>
  <si>
    <t>Tatiana Lara Formage Schmidt</t>
  </si>
  <si>
    <t>PF</t>
  </si>
  <si>
    <t>Wealth</t>
  </si>
  <si>
    <t xml:space="preserve">Tatiana Lara Formage Schmidt - XP </t>
  </si>
  <si>
    <t>BA</t>
  </si>
  <si>
    <t>Thiago Silva</t>
  </si>
  <si>
    <t>MERCADO</t>
  </si>
  <si>
    <t>Moderado Renda Usufruto</t>
  </si>
  <si>
    <t>ARROJADO</t>
  </si>
  <si>
    <t>Tabela 1</t>
  </si>
  <si>
    <t>NÃO</t>
  </si>
  <si>
    <t>SIM</t>
  </si>
  <si>
    <t>Carteira de renda deve vir dos IPCA+ e FII + Transferir R$ 9k todo dia 16</t>
  </si>
  <si>
    <t>Brasil</t>
  </si>
  <si>
    <t>TATY_LARA@HOTMAIL.COM</t>
  </si>
  <si>
    <t>Rodrigo Franzoi de Oliveira</t>
  </si>
  <si>
    <t xml:space="preserve">Rodrigo Franzoi de Oliveira - XP </t>
  </si>
  <si>
    <t>MT</t>
  </si>
  <si>
    <t>MODERADO</t>
  </si>
  <si>
    <t>Tabela 3</t>
  </si>
  <si>
    <t>RODRIGOFRANZOI@HOTMAIL.COM</t>
  </si>
  <si>
    <t>Raphael Alves Ferreira Tome</t>
  </si>
  <si>
    <t>Família Tomé</t>
  </si>
  <si>
    <t>Raphael Alves Ferreira Tome - XP</t>
  </si>
  <si>
    <t>MG</t>
  </si>
  <si>
    <t>Arrojado Renda Construção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</si>
  <si>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</si>
  <si>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RAPHAEL.TOME@YAHOO.COM.BR</t>
  </si>
  <si>
    <t>JACKSON TAVORA</t>
  </si>
  <si>
    <t>JACKSON TAVORA - XP</t>
  </si>
  <si>
    <t>Distrato em processo</t>
  </si>
  <si>
    <t>AVORA@TERRA.COM.BR</t>
  </si>
  <si>
    <t xml:space="preserve"> R$ -   </t>
  </si>
  <si>
    <t>SAFRA</t>
  </si>
  <si>
    <t>Família D Alessandro</t>
  </si>
  <si>
    <t>Andre Duarte D Alessandro</t>
  </si>
  <si>
    <t>Andre Duarte D Alessandro - SAFRA</t>
  </si>
  <si>
    <t>6703116</t>
  </si>
  <si>
    <t>DF</t>
  </si>
  <si>
    <t>Julio Serodio</t>
  </si>
  <si>
    <t>DALESSANDROANDRE@GMAIL.COM</t>
  </si>
  <si>
    <t>Nicolau D Alessandro Filho</t>
  </si>
  <si>
    <t>Nicolau D Alessandro Filho - XP</t>
  </si>
  <si>
    <t>dalessandronicolau5@gmail.com</t>
  </si>
  <si>
    <t>Fábio e Mariana</t>
  </si>
  <si>
    <t>Fabio Megid Pinto</t>
  </si>
  <si>
    <t>Fábio Megid Pinto - XP</t>
  </si>
  <si>
    <t>SP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</si>
  <si>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</si>
  <si>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FMEGID@GMAIL.COM</t>
  </si>
  <si>
    <t>CHARLES SCHWAB</t>
  </si>
  <si>
    <t>Bruna da Silva Kusumoto</t>
  </si>
  <si>
    <t>Família Kusomoto</t>
  </si>
  <si>
    <t>ABR Investments LTD</t>
  </si>
  <si>
    <t>PJ</t>
  </si>
  <si>
    <t>Bruna da Silva Kusumoto - CS</t>
  </si>
  <si>
    <t>NR</t>
  </si>
  <si>
    <t>Conservador</t>
  </si>
  <si>
    <t>Cliente só tem conta Offshore _ Charles Schwab_3570-4002 - ABR INVESTMENTS LTD</t>
  </si>
  <si>
    <t>Não</t>
  </si>
  <si>
    <t>brunakusumoto@uol.com.br</t>
  </si>
  <si>
    <t>Guilherme Goncalves Feijo de Carvalho</t>
  </si>
  <si>
    <t>Guilherme Goncalves Feijo de Carvalho - XP</t>
  </si>
  <si>
    <t>GUIGFC@GMAIL.COM</t>
  </si>
  <si>
    <t>Rodrigo Alexandre de Deus Domingues</t>
  </si>
  <si>
    <t xml:space="preserve">Rodrigo Alexandre de Deus Domingues - XP </t>
  </si>
  <si>
    <t>Moderado Renda Construção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</si>
  <si>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O saldo para pagamento do crédito deve estar disponível antes da data de vencimento. Cliente possui crédito com prazo para 2026 (R$ 82.792,59 | R$ 72.443,52 | R$ 410.302,36. Valor para 2027 (R$ 155.236,12)"</t>
  </si>
  <si>
    <t>Brasil e Offshore</t>
  </si>
  <si>
    <t>RODRIGO_ESCS@YAHOO.COM.BR</t>
  </si>
  <si>
    <t>Tamara Cristina Formage Schmidt</t>
  </si>
  <si>
    <t>Tamara Cristina Formage Schmidt - XP</t>
  </si>
  <si>
    <t>RJ</t>
  </si>
  <si>
    <t>Tamara é responsável pela conta mãe Joana Formage XP - 11466830 Conta na Charles Schwab : ﻿﻿6166-3347 TWILL INVESTMENTS LIMITED. Cliente precisa de resgate todo mês até o dia 8 - R$ 10k  (conta para resgate ITAU 07183 - 2) Cliente em preríodo de obra - precisa de liquidez eventualmente. Deixar sempre R$ 50k em D+0.  Parcela de Crédito R$ 307.535,72  Venc 15/02/2029</t>
  </si>
  <si>
    <t>t.formage.schmidt@gmail.com</t>
  </si>
  <si>
    <t>Celso Griesang - Condomínio Rural</t>
  </si>
  <si>
    <t>Família Griesang</t>
  </si>
  <si>
    <t>Celso Griesang</t>
  </si>
  <si>
    <t>Tesouraria</t>
  </si>
  <si>
    <t>Celso Griesang - Condomínio Rural - CS</t>
  </si>
  <si>
    <t>Tabela 2</t>
  </si>
  <si>
    <t>"Seguir carteira específica Consolidar contas:XP 6445064 CS 5307-6915 CELSO GRIESANG &amp;"</t>
  </si>
  <si>
    <t>Offshore</t>
  </si>
  <si>
    <t>financeiro@semenstestropical.com.br</t>
  </si>
  <si>
    <t>BTG</t>
  </si>
  <si>
    <t>Vinicius e Priscilla</t>
  </si>
  <si>
    <t>Priscilla Diniz Correa</t>
  </si>
  <si>
    <t>Priscilla Diniz Correa - BTG</t>
  </si>
  <si>
    <t>CURVA</t>
  </si>
  <si>
    <t>"Vai deixar reserva de emergência no C6, Precisa ter 30K de Liquidez no BTG Conta Internacional: Charles Schwab: 7822-4399 PRISCILLA DINIZ CORREA"</t>
  </si>
  <si>
    <t>contato@viafresa.com.br</t>
  </si>
  <si>
    <t>Andre Duarte D Alessandro - XP</t>
  </si>
  <si>
    <t>Cintia Prado Vargas Denser</t>
  </si>
  <si>
    <t>Cintia Prado Vargas Denser - CS</t>
  </si>
  <si>
    <t>Cliente tem conta NR Light no BTG e conta PF na Charles Schwab</t>
  </si>
  <si>
    <t>pradovargas@gmail.com</t>
  </si>
  <si>
    <t>Mariana Guimaraes de Batista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</si>
  <si>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</si>
  <si>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</si>
  <si>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</si>
  <si>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Rodrigo Cardoso Uchoa</t>
  </si>
  <si>
    <t>Rodrigo Cardoso Uchoa - XP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</si>
  <si>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</si>
  <si>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</si>
  <si>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</si>
  <si>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</si>
  <si>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</si>
  <si>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</si>
  <si>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</si>
  <si>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</si>
  <si>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</si>
  <si>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martgodinho@hotmail.com</t>
  </si>
  <si>
    <t>Lucas Rona Soares</t>
  </si>
  <si>
    <t>Lucas Rona Soares - XP</t>
  </si>
  <si>
    <t>Conta na Charles Schawab 7945-1840 LUCAS RONA SOARES O ativo IRB deve ser mantido na carteira"</t>
  </si>
  <si>
    <t>LUCAS_RONA@HOTMAIL.COM</t>
  </si>
  <si>
    <t>Abrao Miguel Arabe Neto</t>
  </si>
  <si>
    <t>Abrao Miguel Arabe Neto - XP</t>
  </si>
  <si>
    <t>abraoarabe@hotmail.com</t>
  </si>
  <si>
    <t>Lucas Rona Soares - BTG</t>
  </si>
  <si>
    <t> 210.339,39</t>
  </si>
  <si>
    <t>Pedro Henrique Silva Pimenta</t>
  </si>
  <si>
    <t>Pedro Henrique Silva Pimenta - BTG</t>
  </si>
  <si>
    <t>Phsppimenta@hotmail.com</t>
  </si>
  <si>
    <t>Dreamers BRA LLC</t>
  </si>
  <si>
    <t>Dreamers BRA LLC - CS</t>
  </si>
  <si>
    <t>Ultraconservador</t>
  </si>
  <si>
    <t>cmj@figvellcapital.com</t>
  </si>
  <si>
    <t xml:space="preserve"> -   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</si>
  <si>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</si>
  <si>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</si>
  <si>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</si>
  <si>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</si>
  <si>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Caio Cesar Lemos Fonseca</t>
  </si>
  <si>
    <t>Caio Cesar Lemos Fonseca - XP</t>
  </si>
  <si>
    <t xml:space="preserve">Deve começar a viver de renda em breve (2027) Começar a estruturar uma carteira perfil Moderado / Renda </t>
  </si>
  <si>
    <t>ccaiolemosf@gmail.com</t>
  </si>
  <si>
    <t>Thiago Oliveira Correa</t>
  </si>
  <si>
    <t>Thiago Oliveira Correa - XP</t>
  </si>
  <si>
    <t xml:space="preserve">Cliente com conta no exterior com maior participação. Devemos compor a carteira Brasil. </t>
  </si>
  <si>
    <t>THIAGOCORREA79@GMAIL.COM</t>
  </si>
  <si>
    <t>Marcos Jose Correa Camargo</t>
  </si>
  <si>
    <t>Família Lio Camargo</t>
  </si>
  <si>
    <t>Marcos José Correa Camargo - XP</t>
  </si>
  <si>
    <t>Sempre que enviar a ordem, mandar email como descrição breve do racional. Cliente pretende resgatar mensalmente R$ 15k quando se aposentar em 2 ou 3 anosRenda fixa deve ter foco em renda e ter diversificação de vencimentos Aumentar exposição internacional via ETF - IVVB11 Comprar fundo de BITH11 limitado a 2% da carteira - comprar sempre que cairNeste caso específico, para não duplicar as posições com a carteira da Lucienne, vamos usar a Carteira Qualidade Todo mês enviar os extratos para o Contador Va preciso de um valor (R$520k) em Maio. Todos os novos aportes devem ir para o fundo de reserva.</t>
  </si>
  <si>
    <t>CORREA_CORREA09@HOTMAIL.COM</t>
  </si>
  <si>
    <t>Green Arcardia LTD</t>
  </si>
  <si>
    <t>Fábio Megid Pinto - CS</t>
  </si>
  <si>
    <t>fmegid@gmail.com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</si>
  <si>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</si>
  <si>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</si>
  <si>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</si>
  <si>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</si>
  <si>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Nelson Julio Balestro Junior</t>
  </si>
  <si>
    <t>Nelson e Monica</t>
  </si>
  <si>
    <t>Nelson Julio Balestro Junior - XP</t>
  </si>
  <si>
    <t>RS</t>
  </si>
  <si>
    <t>MONICA@CLINICABALESTRO.COM.BR</t>
  </si>
  <si>
    <t>Daniela Ribeiro</t>
  </si>
  <si>
    <t>Daniela Ribeiro Queiroz dos Santos</t>
  </si>
  <si>
    <t>Daniela Ribeiro Queiroz dos Santos - XP</t>
  </si>
  <si>
    <t>danirqs@hotmail.com</t>
  </si>
  <si>
    <t>Família Carneiro</t>
  </si>
  <si>
    <t>Hugo &amp; L Carneiro D Resende, &amp;</t>
  </si>
  <si>
    <t>MFO</t>
  </si>
  <si>
    <t>Família Carneiro de Resende - CS</t>
  </si>
  <si>
    <t>83140110</t>
  </si>
  <si>
    <t>Conservador Renda Usufruto</t>
  </si>
  <si>
    <t>"Número da conta: 17208214 ; 11948279 ; 15706583 Deixar 20% da carteira em até D+1 Resgatar todo dia 01 2025 &gt; R$ 20k para cada um (Hugo, Lucas e Eliane) Todo dia 15 fazer remessa para os USA:  2026 &gt; R$ 200 mil  2027 &gt; R$ 400 mil  2028 &gt; R$ 500 mil R$ 50k mensais na previdência da conta da Eliane"</t>
  </si>
  <si>
    <t>grupocanaa2018@gmail.com</t>
  </si>
  <si>
    <t>Luiz Roberto Carrara Lelis</t>
  </si>
  <si>
    <t>Família Lelis</t>
  </si>
  <si>
    <t>Luiz Roberto Carrara Lelis - XP</t>
  </si>
  <si>
    <t>Sem cobrança</t>
  </si>
  <si>
    <t>Seguir carteira específica</t>
  </si>
  <si>
    <t>luiz.roberto@supplog.com</t>
  </si>
  <si>
    <t>Trissia de Moraes Lelis</t>
  </si>
  <si>
    <t xml:space="preserve">Trissia de Moraes Lelis - XP </t>
  </si>
  <si>
    <t>Tabela Luiz</t>
  </si>
  <si>
    <t>TRISSIAL@GMAIL.COM</t>
  </si>
  <si>
    <t>Mariana Guimaraes de Battista e/ou Fabio Megid Pinto</t>
  </si>
  <si>
    <t>Fábio e Mariana - BTG</t>
  </si>
  <si>
    <t>mgbaptista@gmail.com</t>
  </si>
  <si>
    <t> 1.177.994,77</t>
  </si>
  <si>
    <t>Fernanda Almenara Cardoso Encinas</t>
  </si>
  <si>
    <t>F Almenara Cardoso Encinas</t>
  </si>
  <si>
    <t>Fernanda Almenara Cardoso Encinas - CS</t>
  </si>
  <si>
    <t>facencinas@gmail.com</t>
  </si>
  <si>
    <t>Isabela Kassis Mendonca</t>
  </si>
  <si>
    <t>Isabela Kassis Mendonça - XP</t>
  </si>
  <si>
    <t>Conservador Renda Construção</t>
  </si>
  <si>
    <t>ISABELAKASSIS@GMAIL.COM</t>
  </si>
  <si>
    <t>Fabricio Franco Naves</t>
  </si>
  <si>
    <t>Família Naves</t>
  </si>
  <si>
    <t>Fabrício Franco Naves - XP</t>
  </si>
  <si>
    <t>Tem crédito e quer ir amortizando, então, sempre que tiver recurso na conta, usar metade para amortizar o crédito. Deixar 120k em liquidez d+0</t>
  </si>
  <si>
    <t>FABRICIOFNAVES@YAHOO.COM.BR</t>
  </si>
  <si>
    <t>Priscilla Diniz Correa - XP</t>
  </si>
  <si>
    <t>CONTATO@VIAFRESA.COM.BR</t>
  </si>
  <si>
    <t>Grupo Botuverá</t>
  </si>
  <si>
    <t>Vicente Bissoni Neto</t>
  </si>
  <si>
    <t xml:space="preserve">Vicente Bissoni Neto - XP </t>
  </si>
  <si>
    <t>Tesouraria (0,35)</t>
  </si>
  <si>
    <t>Política Investimentos - Grupo Botuverá</t>
  </si>
  <si>
    <t>vicentebissonineto@gmail.com</t>
  </si>
  <si>
    <t>Romulo Romano Salles</t>
  </si>
  <si>
    <t>Família Romano Salles</t>
  </si>
  <si>
    <t>Romulo Romano Salles - BTG</t>
  </si>
  <si>
    <t>"Cliente Charles Schwab 6434-3370 SRS BUSINESS LTD Todo o recurso deve ser enviado para esta conta Câmbio deve estar sempre atualizado e com limite aprovado</t>
  </si>
  <si>
    <t>romulosalles@hotmail.com</t>
  </si>
  <si>
    <t>Marcos José Correa Camargo - BTG</t>
  </si>
  <si>
    <t>Sempre que enviar a ordem, mandar email como descrição breve do racional. Cliente pretende resgatar mensalmente R$ 15k quando se aposentar em 2 ou 3 anosRenda fixa deve ter foco em renda e ter diversificação de vencimentos Aumentar exposição internacional via ETF - IVVB11 Comprar fundo de BITH11 limitado a 2% da carteira - comprar sempre que cair Neste caso específico, para não duplicar as posições com a carteira da Lucienne, vamos usar a Carteira Qualidade Todo mês enviar os extratos para o Contador Va preciso de um valor (R$520k) em Maio. Todos os novos aportes devem ir para o fundo de reserva.</t>
  </si>
  <si>
    <t>correa_correa09@hotmail.com</t>
  </si>
  <si>
    <t>76519394</t>
  </si>
  <si>
    <t>Tatyana Joffily Leuman Faleiro</t>
  </si>
  <si>
    <t>Família Faleiro</t>
  </si>
  <si>
    <t xml:space="preserve">Tatyana Joffily Leuman Faleiro - BTG </t>
  </si>
  <si>
    <t>Moderado</t>
  </si>
  <si>
    <t>Cliente mora fora do país, abrirá a empresa Offshore com a 4Tax</t>
  </si>
  <si>
    <t>tatyanafaleiro.elf@gmail.com</t>
  </si>
  <si>
    <t> 5.188.652,90</t>
  </si>
  <si>
    <t>Melissa Faleiro Aiza</t>
  </si>
  <si>
    <t>Melissa Faleiro Aiza - BTG</t>
  </si>
  <si>
    <t>tatyanafaleiro@gmail.com</t>
  </si>
  <si>
    <t>Matheo Faleiro Aiza</t>
  </si>
  <si>
    <t>Matheo Faleiro Aiza - BTG</t>
  </si>
  <si>
    <t>Iolivan Jose de Brito</t>
  </si>
  <si>
    <t>Iolivan Jose de Brito &amp;</t>
  </si>
  <si>
    <t>Iolivan Jose de Brito &amp; - CS</t>
  </si>
  <si>
    <t>iolivan@nefronshd.com</t>
  </si>
  <si>
    <t>Luiz Roberto Carrara Lelis - XP2</t>
  </si>
  <si>
    <t>Mariana Guimaraes de Batista - BTG</t>
  </si>
  <si>
    <t>Fernanda Lio Rocha Camargo</t>
  </si>
  <si>
    <t>Fernanda Lio Rocha Camargo - XP</t>
  </si>
  <si>
    <t>CONSERVADOR</t>
  </si>
  <si>
    <t xml:space="preserve">Todo dia 5 acontecerá o débito da previdência (atualmente em R$ 1.500). Deixar valor na conta. </t>
  </si>
  <si>
    <t>FERNANDALRCAMARGO@GMAIL.COM</t>
  </si>
  <si>
    <t>ATIVORE</t>
  </si>
  <si>
    <t>Joana Darque Formage Schmidt</t>
  </si>
  <si>
    <t>Twill Investments Limited</t>
  </si>
  <si>
    <t>Joana Darque Formage Schmidt - Ativore</t>
  </si>
  <si>
    <t>Joana Darque Formage Schmidt - CS</t>
  </si>
  <si>
    <t>Cliente precisa de resgate todo mêsaté o dia 8 - R$ 22k (conta para resgate ITAU 07614 - 6). Está em período de obra - Favor deixar R$ 50k em D+0. ﻿Tem crédito na XP 11466830. Clinte possui crédito (R$716.400,09  para 02/02/2029) Manter a parte de RV 100% em FII/FiAgro"</t>
  </si>
  <si>
    <t>Marlon Brando Bezerra de Almeida</t>
  </si>
  <si>
    <t>Marlon Brando Bezerra de Almeida - XP</t>
  </si>
  <si>
    <t>MALMEIDA@PETROBRAS.COM.BR</t>
  </si>
  <si>
    <t>ÁGORA</t>
  </si>
  <si>
    <t>Jose Luiz Lopes Teixeira Filho</t>
  </si>
  <si>
    <t>Família Teixeira</t>
  </si>
  <si>
    <t xml:space="preserve">José Luiz Lopes Teixeira Filho - ÁGORA </t>
  </si>
  <si>
    <t>13759983</t>
  </si>
  <si>
    <t>"Resgatar mensalmente R$ 30.000,00 a partir de 2026/2027</t>
  </si>
  <si>
    <t>JLUIZTX2015@GMAIL.COM</t>
  </si>
  <si>
    <t>José Luiz Lopes Teixeira Filho - SAFRA</t>
  </si>
  <si>
    <t>6703094</t>
  </si>
  <si>
    <t>Adriano Bissoni</t>
  </si>
  <si>
    <t>Adriano Bissoni - XP</t>
  </si>
  <si>
    <t>adriano@botuvera.com</t>
  </si>
  <si>
    <t>Alice Daia Naves</t>
  </si>
  <si>
    <t>Alice Daia Naves - BTG</t>
  </si>
  <si>
    <t>alicedn15@yahoo.com</t>
  </si>
  <si>
    <t>M Wealth</t>
  </si>
  <si>
    <t>M2WM MFO Servicos Adminstrativos LTDA</t>
  </si>
  <si>
    <t>M Wealth - BTG</t>
  </si>
  <si>
    <t>bruna.ro.alkimim@gmail.com</t>
  </si>
  <si>
    <t xml:space="preserve">  -   </t>
  </si>
  <si>
    <t/>
  </si>
  <si>
    <t>Lucas Rona Soares - CS</t>
  </si>
  <si>
    <t>lucas_rona@hotmail.com</t>
  </si>
  <si>
    <t>José Luiz Lopes Teixeira Filho - XP</t>
  </si>
  <si>
    <t>Fernando Ferreira da Silva Parro</t>
  </si>
  <si>
    <t>Fernando Ferreira da Silva Parro - XP</t>
  </si>
  <si>
    <t>FERNANDOFPARRO@GMAIL.COM</t>
  </si>
  <si>
    <t>Luiz Carlos Tome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</si>
  <si>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</si>
  <si>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</si>
  <si>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</si>
  <si>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</si>
  <si>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</si>
  <si>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Cooperativa Agro Pecuaria de Carmo do Par</t>
  </si>
  <si>
    <t>CARPEC - XP</t>
  </si>
  <si>
    <t>Tesouraria (0,40%)</t>
  </si>
  <si>
    <t>financeiro.gerencial@carpec.com.br</t>
  </si>
  <si>
    <t>Luiz Carlos Tome - XP</t>
  </si>
  <si>
    <t>LCTOME@YAHOO.COM.BR</t>
  </si>
  <si>
    <t>LFTJD LTD</t>
  </si>
  <si>
    <t>Luiz Roberto Carrara Lelis - CS</t>
  </si>
  <si>
    <t>Luiz Roberto Carrara Lelis &amp; Flávia Lelis</t>
  </si>
  <si>
    <t>67227652</t>
  </si>
  <si>
    <t>Hugo Carneiro de Resende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</si>
  <si>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</si>
  <si>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</si>
  <si>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HUGODERESENDE@OUTLOOK.COM</t>
  </si>
  <si>
    <t>Irineu Afonso Bragagnolo</t>
  </si>
  <si>
    <t>Irineu Afonso Bragagnolo - XP</t>
  </si>
  <si>
    <t>DEISEBISSONI@BOTUVERA.COM</t>
  </si>
  <si>
    <t>RVS Participacoes LTDA</t>
  </si>
  <si>
    <t>RVS Participacoes LTDA - BTG</t>
  </si>
  <si>
    <t>Fronteira Agronegocios LTDA</t>
  </si>
  <si>
    <t>Fronteira Agronegocios LTDA - XP</t>
  </si>
  <si>
    <t>Colchão da operação Rural - Deixar a liquidez escalonada sempre</t>
  </si>
  <si>
    <t>financeiro@fronteiraagronegocios.com.br</t>
  </si>
  <si>
    <t>Márcia Regina Mazalotti Teixeira</t>
  </si>
  <si>
    <t>Márcia Regina Mazalotti Teixeira - ÁGORA</t>
  </si>
  <si>
    <t>25968661</t>
  </si>
  <si>
    <t>marciartx@gmail.com</t>
  </si>
  <si>
    <t>Raquel Griesang</t>
  </si>
  <si>
    <t>Raquel Griesang - XP</t>
  </si>
  <si>
    <t>Cliente mora fora do país</t>
  </si>
  <si>
    <t>CELSO@SEMENTESTROPICAL.COM.BR</t>
  </si>
  <si>
    <t>Deise Cristina Bissoni Sachetti</t>
  </si>
  <si>
    <t>Deise Cristina Bissoni Sachetti - XP</t>
  </si>
  <si>
    <t>Maria Cecilia Dias de Mello Flores</t>
  </si>
  <si>
    <t>M Dias de Mello Flores</t>
  </si>
  <si>
    <t>Maria Cecilia Dias de Mello Flores - CS</t>
  </si>
  <si>
    <t>"Seguir carteira específica Transferir R$ 70k todo dia 15 do mês para o ITAU Parcelas do apartamento aplicar no Safra Di Master D+0 (esse fundo é para aplicar e resgatar apenas os valores da venda do imovel)"</t>
  </si>
  <si>
    <t>ceciliamelloflores@gmail.com</t>
  </si>
  <si>
    <t>Exponential Overseas Investmen</t>
  </si>
  <si>
    <t>M Cecilia Dias de Mello Flores</t>
  </si>
  <si>
    <t>Joana Darque Formage Schmidt - XP</t>
  </si>
  <si>
    <t>schmidt.formage@gmail.com</t>
  </si>
  <si>
    <t>XP US</t>
  </si>
  <si>
    <t>Aureus Global LTD</t>
  </si>
  <si>
    <t>Maria Cecilia Dias de Mello Flores - XP US</t>
  </si>
  <si>
    <t>QXR347535</t>
  </si>
  <si>
    <t>Cintia Prado Vargas Denser (CNR Light)</t>
  </si>
  <si>
    <t>Cintia Prado Vargas Denser (CNR Light) - BTG</t>
  </si>
  <si>
    <t>Luiz Roberto Carrara Lelis - BTG</t>
  </si>
  <si>
    <t>Marlon Brando Bezerra de Almeida - SAFRA</t>
  </si>
  <si>
    <t>TOMÁS CORTES BARTHOLO</t>
  </si>
  <si>
    <t xml:space="preserve">TOMAS CORTES BARTHOLO </t>
  </si>
  <si>
    <t>TOMÁS CORTES BARTHOLO- XP</t>
  </si>
  <si>
    <t>Saiu da Base</t>
  </si>
  <si>
    <t>Família Carneiro de Resende Hugo - XP</t>
  </si>
  <si>
    <t>MAWAY LLC</t>
  </si>
  <si>
    <t>MAWAY LLC - CS</t>
  </si>
  <si>
    <t>Rose Meri Bissoni</t>
  </si>
  <si>
    <t xml:space="preserve">Rose Meri Bissoni - XP 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</si>
  <si>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</si>
  <si>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</si>
  <si>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Romulo Romano Salles - XP</t>
  </si>
  <si>
    <t>ROMULOSALLES@HOTMAIL.COM</t>
  </si>
  <si>
    <t>Eliane Carneiro de Melo Resende</t>
  </si>
  <si>
    <t>Família Carneiro de Resende Eliane - XP</t>
  </si>
  <si>
    <t>ELIANECMR65@GMAIL.COM</t>
  </si>
  <si>
    <t>Nelson Julio Balestro Junior &amp;</t>
  </si>
  <si>
    <t>Nelson Julio Balestro Junior - CS</t>
  </si>
  <si>
    <t>nelsonjr@clinicabalestro.com.br</t>
  </si>
  <si>
    <t>MNSB LTD</t>
  </si>
  <si>
    <t>﻿Vai fazer câmbio com frequência - Precisa cadastrar para câmbio ﻿Todo recurso que for transferido ou cair na conta referente a vencimento das aplicações atuais, deve ser enviados ao exterior para a ﻿﻿conta da MNSB ﻿3620-0373"</t>
  </si>
  <si>
    <t>Lucas Carneiro de Resende</t>
  </si>
  <si>
    <t>Lucas Carneiro de Resende - XP</t>
  </si>
  <si>
    <t>LUCASCR12345@GMAIL.COM</t>
  </si>
  <si>
    <t>Eliane Carneiro de Melo Resende - XP</t>
  </si>
  <si>
    <t>Nicolau D Alessandro Filho - SAFRA</t>
  </si>
  <si>
    <t>6703078</t>
  </si>
  <si>
    <t>VIAFRESA Servicos e Locacoes LTDA</t>
  </si>
  <si>
    <t>VIAFRESA Servicos e Locacoes LTDA - XP</t>
  </si>
  <si>
    <t>Tesouraria (0,40)</t>
  </si>
  <si>
    <t>Teresinha Gomes da Silva</t>
  </si>
  <si>
    <t>Teresinha Gomes da Silva - XP</t>
  </si>
  <si>
    <t>Seguir carteira conservadora</t>
  </si>
  <si>
    <t>TERESINHA@LIFELAGOS.COM.BR</t>
  </si>
  <si>
    <t>Maria Cecilia Dias de Mello Flores - XP</t>
  </si>
  <si>
    <t>CECILIAMELLOFLORES@GMAIL.COM</t>
  </si>
  <si>
    <t>Tropical Agricola LTDA</t>
  </si>
  <si>
    <t>Tropical Agricola LTDA - XP</t>
  </si>
  <si>
    <t>financeiro@sementestropical.com.br</t>
  </si>
  <si>
    <t>Priscilla Diniz Correa - CS</t>
  </si>
  <si>
    <t>viniciusquintas@hotmail.com</t>
  </si>
  <si>
    <t>Rachele Ferreira Rosmo</t>
  </si>
  <si>
    <t>Rachele Ferreira Rosmo - XP</t>
  </si>
  <si>
    <t>Conta operada pelo Giampiero Rosmo</t>
  </si>
  <si>
    <t>rachelerosmo@hotmail.com</t>
  </si>
  <si>
    <t xml:space="preserve">Rachele Ferreira Rosmo - CS 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</si>
  <si>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</si>
  <si>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</si>
  <si>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</si>
  <si>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</si>
  <si>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</si>
  <si>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</si>
  <si>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</si>
  <si>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</si>
  <si>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</si>
  <si>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 - CS</t>
  </si>
  <si>
    <t>raphael.tome@yahoo.com.br</t>
  </si>
  <si>
    <t xml:space="preserve">Raphael Alves Ferreira Tome - CS 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</si>
  <si>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</si>
  <si>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Vanessa Andrade Romano Salles</t>
  </si>
  <si>
    <t xml:space="preserve">Vanessa Andrade Romano Salles - XP </t>
  </si>
  <si>
    <t xml:space="preserve">Conta do Romulo Salles </t>
  </si>
  <si>
    <t>NESSAANDRADE@HOTMAIL.COM</t>
  </si>
  <si>
    <t>Iolivan Jose de Brito - XP</t>
  </si>
  <si>
    <t>IOLIVAN@NEFRONSHD.COM.BR</t>
  </si>
  <si>
    <t>Brito Gestao e Coordenacao de Clinicas LTDA</t>
  </si>
  <si>
    <t>Brito Gestao e Coordenacao de Clinicas LTDA - XP</t>
  </si>
  <si>
    <t>iolivan@nefronshd.com.br</t>
  </si>
  <si>
    <t>R Domingues</t>
  </si>
  <si>
    <t>Rodrigo Alexandre de Deus Domingues - CS</t>
  </si>
  <si>
    <t>rodrigo_escs@yahoo.com.br</t>
  </si>
  <si>
    <t>Monica Wendt</t>
  </si>
  <si>
    <t>Monica Wendt - XP</t>
  </si>
  <si>
    <t>Conta será usada somente para fazer câmbio</t>
  </si>
  <si>
    <t>RCURDB International LTD</t>
  </si>
  <si>
    <t xml:space="preserve">Rodrigo Cardoso Uchoa - CS </t>
  </si>
  <si>
    <t>rcuchoa@gmail.com</t>
  </si>
  <si>
    <t>R&amp;L Participacoes LTDA</t>
  </si>
  <si>
    <t>R&amp;L Participacoes LTDA - XP</t>
  </si>
  <si>
    <t>Lelis Empreendimentos e Loteamentos Imobiliarios LTDA</t>
  </si>
  <si>
    <t>Lelis Empreendimentos e Loteamentos Imobiliarios LTDA - BTG</t>
  </si>
  <si>
    <t>Iolivan Jose de Brito - BTG</t>
  </si>
  <si>
    <t>SRS Business LTD</t>
  </si>
  <si>
    <t>Romulo Romano Salles - CS</t>
  </si>
  <si>
    <t>Daniel de Moraes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</si>
  <si>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</si>
  <si>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</si>
  <si>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</si>
  <si>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Canaa Agronegocios LTDA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</si>
  <si>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</si>
  <si>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</si>
  <si>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</si>
  <si>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</si>
  <si>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Rosimeire Faustino da Silva Kusumoto</t>
  </si>
  <si>
    <t xml:space="preserve">Rosimeire Faustino da Silva Kusumoto - CS </t>
  </si>
  <si>
    <t>Cliente só tem conta Offshore _ Charles Schwab_8502-1853 - ABR INVESTMENTS LTD</t>
  </si>
  <si>
    <t>M Wealth - XP</t>
  </si>
  <si>
    <t>10800085</t>
  </si>
  <si>
    <t>lbeato@mwealth.com.br</t>
  </si>
  <si>
    <t>Família Carneiro de Resende Lucas - XP</t>
  </si>
  <si>
    <t>11948279</t>
  </si>
  <si>
    <t>Victor Griesang</t>
  </si>
  <si>
    <t>Victor Griesang - XP</t>
  </si>
  <si>
    <t>19522034</t>
  </si>
  <si>
    <t>SEM PERFIL</t>
  </si>
  <si>
    <t>VICTOR.GRIESANG@SEMENTESTROPICAL.COM.BR</t>
  </si>
  <si>
    <t>T Cristina Formage Schmidt  &amp;</t>
  </si>
  <si>
    <t xml:space="preserve">Tamara Cristina Formage Schmidt - CS </t>
  </si>
  <si>
    <t>RQRS Comercio de Alimentos LTDA</t>
  </si>
  <si>
    <t>RQRS Comercio de Alimentos LTDA - XP</t>
  </si>
  <si>
    <t>19657497</t>
  </si>
  <si>
    <t>anagabrielaroriz@gmail.com</t>
  </si>
  <si>
    <t>Erico Trebeschi</t>
  </si>
  <si>
    <t>Erico Trebeschi - XP</t>
  </si>
  <si>
    <t>20045904</t>
  </si>
  <si>
    <t>erico@trebeschi.com.br</t>
  </si>
  <si>
    <t>Diogo Duarte D Alessandro</t>
  </si>
  <si>
    <t>Diogo Duarte D Alessandro - XP</t>
  </si>
  <si>
    <t>2045140</t>
  </si>
  <si>
    <t>diogodd@gmail.com</t>
  </si>
  <si>
    <t>Miriam Soberon Lopez</t>
  </si>
  <si>
    <t>Miriam Soberon Lopez - XP</t>
  </si>
  <si>
    <t>2063235</t>
  </si>
  <si>
    <t>myriam.soberon@gmail.com</t>
  </si>
  <si>
    <t>Savio Luis Oliveira Ramos</t>
  </si>
  <si>
    <t>Savio Luis Oliveira Ramos - XP</t>
  </si>
  <si>
    <t>2067728</t>
  </si>
  <si>
    <t>savioramos@hotmail.com</t>
  </si>
  <si>
    <t>XP GLOBAL</t>
  </si>
  <si>
    <t xml:space="preserve">Teresinha Gomes da Silva - XP </t>
  </si>
  <si>
    <t>3XP46552</t>
  </si>
  <si>
    <t xml:space="preserve">Thiago Oliveira Correa - CS </t>
  </si>
  <si>
    <t>thiagocorrea79@gmail.com</t>
  </si>
  <si>
    <t>Ana Lucia Duarte D Alessandro</t>
  </si>
  <si>
    <t>Ana Lucia Duarte D Alessandro - XP</t>
  </si>
  <si>
    <t>2123318</t>
  </si>
  <si>
    <t>analuzdd@hotmail.com</t>
  </si>
  <si>
    <t>Dreamers LTDA</t>
  </si>
  <si>
    <t>Dreamers LTDA - BTG</t>
  </si>
  <si>
    <t>23314990</t>
  </si>
  <si>
    <t>tf@figvellcapital.com</t>
  </si>
  <si>
    <t>Fernanda Almenara Cardoso Encinas - XP</t>
  </si>
  <si>
    <t>2408885</t>
  </si>
  <si>
    <t>Construção de Patrimônio, foco longo prazo, perfil moderado.</t>
  </si>
  <si>
    <t>FACENCINAS@GMAIL.COM</t>
  </si>
  <si>
    <t>Virgilio Bullo Rocha</t>
  </si>
  <si>
    <t xml:space="preserve">Virgilio Bullo Rocha - XP </t>
  </si>
  <si>
    <t>3257275</t>
  </si>
  <si>
    <t xml:space="preserve">Cliente em fase de construção patrimonial. </t>
  </si>
  <si>
    <t>rochavirgilio55@gmail.com</t>
  </si>
  <si>
    <t>Fabrício Franco Naves - BTG</t>
  </si>
  <si>
    <t>4498022</t>
  </si>
  <si>
    <t>fabriciofnaves@yahoo.com.br</t>
  </si>
  <si>
    <t>Nicolau D Alessandro Filho - BTG</t>
  </si>
  <si>
    <t>483586</t>
  </si>
  <si>
    <t>Celso Griesang (Condomínio Rural)</t>
  </si>
  <si>
    <t>Celso Griesang - Condomínio Rural - XP</t>
  </si>
  <si>
    <t>6445064</t>
  </si>
  <si>
    <t xml:space="preserve">Celso Griesang - XP </t>
  </si>
  <si>
    <t>7161258</t>
  </si>
  <si>
    <t>"Seguir carteira específica XP 7161258"</t>
  </si>
  <si>
    <t>7272031</t>
  </si>
  <si>
    <t>Transportes Botuvera LTDA</t>
  </si>
  <si>
    <t xml:space="preserve">Transportes Botuvera LTDA - XP </t>
  </si>
  <si>
    <t>9445242</t>
  </si>
  <si>
    <t>Construção de Patrimônio</t>
  </si>
  <si>
    <t>deisebissoni@botuvera.com</t>
  </si>
  <si>
    <t>CLIENTE</t>
  </si>
  <si>
    <t>CÓDIGO</t>
  </si>
  <si>
    <t>LIMITE</t>
  </si>
  <si>
    <t>EXPIRAÇÃO CÂMBIO</t>
  </si>
  <si>
    <t>ABRAO MIGUEL ARABE NETO</t>
  </si>
  <si>
    <t>2729546</t>
  </si>
  <si>
    <t>X</t>
  </si>
  <si>
    <t>ADRIANO BISSONI</t>
  </si>
  <si>
    <t>5166121</t>
  </si>
  <si>
    <t>BRITO GESTAO E COORDENACAO DE CLINICAS LTDA</t>
  </si>
  <si>
    <t>19301650</t>
  </si>
  <si>
    <t>CAIO CESAR LEMOS FONSECA</t>
  </si>
  <si>
    <t>3082235</t>
  </si>
  <si>
    <t>CELSO GRIESANG</t>
  </si>
  <si>
    <t>CELSO GRIESANG (CONDOMÍNIO RURAL)</t>
  </si>
  <si>
    <t>DANIELA RIBEIRO QUEIROZ DOS SANTOS</t>
  </si>
  <si>
    <t>3246094</t>
  </si>
  <si>
    <t>DANIELLE SOLETTI SARTORI BISSONI</t>
  </si>
  <si>
    <t>19003827</t>
  </si>
  <si>
    <t>DEISE CRISTINA BISSONI SACHETTI</t>
  </si>
  <si>
    <t>11370136</t>
  </si>
  <si>
    <t>ELIANE CARNEIRO DE MELO RESENDE</t>
  </si>
  <si>
    <t>17736177</t>
  </si>
  <si>
    <t>17208214</t>
  </si>
  <si>
    <t>FABIO MEGID PINTO</t>
  </si>
  <si>
    <t>FABRICIO FRANCO NAVES</t>
  </si>
  <si>
    <t>3721574</t>
  </si>
  <si>
    <t>FERNANDA ALMENARA CARDOSO ENCINAS</t>
  </si>
  <si>
    <t>FERNANDA LIO ROCHA CAMARGO</t>
  </si>
  <si>
    <t>4760422</t>
  </si>
  <si>
    <t>FERNANDO FERREIRA DA SILVA PARRO</t>
  </si>
  <si>
    <t>FILIPE RIBEIRO QUEIROZ DOS SANTOS</t>
  </si>
  <si>
    <t>FRONTEIRA AGRONEGOCIOS LTDA</t>
  </si>
  <si>
    <t>HUGO CARNEIRO DE RESENDE</t>
  </si>
  <si>
    <t>IOLIVAN JOSE DE BRITO</t>
  </si>
  <si>
    <t>19251578</t>
  </si>
  <si>
    <t>IRINEU AFONSO BRAGAGNOLO</t>
  </si>
  <si>
    <t>ISABELA KASSIS MENDONCA</t>
  </si>
  <si>
    <t>JOANA DARQUE FORMAGE SCHMIDT</t>
  </si>
  <si>
    <t>11466830</t>
  </si>
  <si>
    <t>JOSE LUIZ LOPES TEIXEIRA FILHO</t>
  </si>
  <si>
    <t>LUCAS CARNEIRO DE RESENDE</t>
  </si>
  <si>
    <t>LUCAS RONA SOARES</t>
  </si>
  <si>
    <t>LUCIENNE LIO ROCHA CAMARGO</t>
  </si>
  <si>
    <t>LUIZ CARLOS TOME</t>
  </si>
  <si>
    <t>LUIZ ROBERTO CARRARA LELIS</t>
  </si>
  <si>
    <t>M2WM MFO SERVICOS ADMINISTRATIVOS LTDA</t>
  </si>
  <si>
    <t>MARCOS JOSE CORREA CAMARGO</t>
  </si>
  <si>
    <t>MARIA CECILIA DIAS DE MELLO FLORES</t>
  </si>
  <si>
    <t>18129345</t>
  </si>
  <si>
    <t>MARIANA GUIMARAES DE BATTISTA</t>
  </si>
  <si>
    <t>MARLON BRANDO BEZERRA DE ALMEIDA</t>
  </si>
  <si>
    <t>MONICA WENDT</t>
  </si>
  <si>
    <t>NELSON JULIO BALESTRO JUNIOR</t>
  </si>
  <si>
    <t>PRISCILLA DINIZ CORREA</t>
  </si>
  <si>
    <t>RACHELE FERREIRA ROSMO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</si>
  <si>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</si>
  <si>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</si>
  <si>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</si>
  <si>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</si>
  <si>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</si>
  <si>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ROSE MERI BISSONI</t>
  </si>
  <si>
    <t>TAMARA CRISTINA FORMAGE SCHMIDT</t>
  </si>
  <si>
    <t>TATIANA LARA FORMAGE SCHMIDT</t>
  </si>
  <si>
    <t>TERESINHA GOMES DA SILVA</t>
  </si>
  <si>
    <t>THIAGO OLIVEIRA CORREA</t>
  </si>
  <si>
    <t>TRANSPORTES BOTUVERA LTDA</t>
  </si>
  <si>
    <t>TRISSIA DE MORAES LELIS</t>
  </si>
  <si>
    <t>VANESSA ANDRADE ROMANO SALLES</t>
  </si>
  <si>
    <t>VICENTE BISSONI NETO</t>
  </si>
  <si>
    <t>VIRGILIO BULLO ROCHA</t>
  </si>
  <si>
    <t>RODRIGO FRANZOI DE OLIVEIRA</t>
  </si>
  <si>
    <t>GUILHERME GONCALVES FEIJO DE CARVALHO</t>
  </si>
  <si>
    <t>COOPERATIVA AGRO PECUARIA DE CARMO DO PAR</t>
  </si>
  <si>
    <t>7153570</t>
  </si>
  <si>
    <t>VIAFRESA SERVICOS E LOCACOES LTDA</t>
  </si>
  <si>
    <t>17770891</t>
  </si>
  <si>
    <t>Bloqueado</t>
  </si>
  <si>
    <t>TROPICAL AGRICOLA LTDA</t>
  </si>
  <si>
    <t>VICTOR GRIESANG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</si>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</sst>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3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  <font>
      <sz val="10"/>
      <color rgb="FF000000"/>
      <name val="Times New Roman"/>
      <charset val="1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6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0" fontId="16" fillId="0" borderId="0" xfId="0" applyFont="1"/>
    <xf numFmtId="0" fontId="21" fillId="0" borderId="0" xfId="0" applyFont="1"/>
    <xf numFmtId="44" fontId="0" fillId="9" borderId="1" xfId="1" applyFont="1" applyFill="1" applyBorder="1"/>
    <xf numFmtId="49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7" fillId="0" borderId="1" xfId="0" applyFont="1" applyBorder="1"/>
    <xf numFmtId="0" fontId="22" fillId="0" borderId="1" xfId="0" applyFont="1" applyBorder="1"/>
    <xf numFmtId="44" fontId="2" fillId="0" borderId="0" xfId="1" applyFont="1" applyBorder="1" applyAlignment="1">
      <alignment horizontal="right" vertical="center"/>
    </xf>
    <xf numFmtId="0" fontId="1" fillId="0" borderId="0" xfId="0" applyFont="1" applyAlignment="1">
      <alignment vertical="center"/>
    </xf>
    <xf numFmtId="8" fontId="2" fillId="0" borderId="1" xfId="1" applyNumberFormat="1" applyFont="1" applyBorder="1" applyAlignment="1">
      <alignment horizontal="right" vertical="center"/>
    </xf>
    <xf numFmtId="0" fontId="22" fillId="0" borderId="0" xfId="0" applyFont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95250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859B904D-2096-41A5-8AC5-4DEDF88844ED}">
    <nsvFilter filterId="{00000000-0001-0000-0100-000000000000}" ref="A1:AU143" tableId="0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63" Type="http://schemas.openxmlformats.org/officeDocument/2006/relationships/hyperlink" Target="mailto:rachelerosmo@hotmail.com" TargetMode="External"/><Relationship Id="rId84" Type="http://schemas.openxmlformats.org/officeDocument/2006/relationships/hyperlink" Target="mailto:financeiro@sementestropical.com.br" TargetMode="External"/><Relationship Id="rId138" Type="http://schemas.microsoft.com/office/2017/10/relationships/threadedComment" Target="../threadedComments/threadedComment1.xm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128" Type="http://schemas.openxmlformats.org/officeDocument/2006/relationships/hyperlink" Target="mailto:savioramos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134" Type="http://schemas.openxmlformats.org/officeDocument/2006/relationships/hyperlink" Target="mailto:erico@trebeschi.com.br" TargetMode="External"/><Relationship Id="rId139" Type="http://schemas.microsoft.com/office/2019/04/relationships/namedSheetView" Target="../namedSheetViews/namedSheetView1.xm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hyperlink" Target="mailto:TERESINHA@LIFELAGOS.COM.BR" TargetMode="External"/><Relationship Id="rId129" Type="http://schemas.openxmlformats.org/officeDocument/2006/relationships/hyperlink" Target="mailto:luiz.roberto@supplog.com" TargetMode="Externa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0" Type="http://schemas.openxmlformats.org/officeDocument/2006/relationships/hyperlink" Target="mailto:GUIGFC@GMAIL.COM" TargetMode="External"/><Relationship Id="rId135" Type="http://schemas.openxmlformats.org/officeDocument/2006/relationships/drawing" Target="../drawings/drawing1.xm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hyperlink" Target="mailto:dalessandronicolau5@g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131" Type="http://schemas.openxmlformats.org/officeDocument/2006/relationships/hyperlink" Target="mailto:diogodd@gmail.com" TargetMode="External"/><Relationship Id="rId136" Type="http://schemas.openxmlformats.org/officeDocument/2006/relationships/vmlDrawing" Target="../drawings/vmlDrawing1.vm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hyperlink" Target="mailto:JLUIZTX2015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137" Type="http://schemas.openxmlformats.org/officeDocument/2006/relationships/comments" Target="../comments1.xm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32" Type="http://schemas.openxmlformats.org/officeDocument/2006/relationships/hyperlink" Target="mailto:myriam.soberon@gmail.com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openxmlformats.org/officeDocument/2006/relationships/hyperlink" Target="mailto:marciartx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26" Type="http://schemas.openxmlformats.org/officeDocument/2006/relationships/hyperlink" Target="mailto:financeiro@sementestropical.com.br" TargetMode="External"/><Relationship Id="rId47" Type="http://schemas.openxmlformats.org/officeDocument/2006/relationships/hyperlink" Target="mailto:JLUIZTX2015@GMAIL.COM" TargetMode="External"/><Relationship Id="rId68" Type="http://schemas.openxmlformats.org/officeDocument/2006/relationships/hyperlink" Target="mailto:ROMULOSALLES@HOTMAIL.COM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33" Type="http://schemas.openxmlformats.org/officeDocument/2006/relationships/hyperlink" Target="mailto:analuzdd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43"/>
  <sheetViews>
    <sheetView showGridLines="0" tabSelected="1" workbookViewId="0">
      <pane ySplit="1" topLeftCell="A28" activePane="bottomLeft" state="frozen"/>
      <selection pane="bottomLeft" activeCell="AU1" sqref="AU1"/>
    </sheetView>
  </sheetViews>
  <sheetFormatPr defaultColWidth="9.1406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customWidth="1"/>
    <col min="10" max="10" width="11.42578125" customWidth="1"/>
    <col min="11" max="11" width="15.85546875" customWidth="1"/>
    <col min="12" max="12" width="18" customWidth="1"/>
    <col min="13" max="13" width="25.28515625" customWidth="1"/>
    <col min="14" max="14" width="19" customWidth="1"/>
    <col min="15" max="15" width="21.85546875" style="113" customWidth="1"/>
    <col min="16" max="17" width="21.42578125" style="113" customWidth="1"/>
    <col min="18" max="18" width="16.140625" customWidth="1"/>
    <col min="19" max="19" width="14.140625" customWidth="1"/>
    <col min="20" max="20" width="10.42578125" customWidth="1"/>
    <col min="21" max="21" width="21.140625" customWidth="1"/>
    <col min="22" max="22" width="255.7109375" customWidth="1"/>
    <col min="23" max="23" width="15" customWidth="1"/>
    <col min="24" max="24" width="18.42578125" customWidth="1"/>
    <col min="25" max="25" width="18.28515625" customWidth="1"/>
    <col min="26" max="26" width="49.140625" customWidth="1"/>
    <col min="27" max="46" width="15.7109375" customWidth="1"/>
    <col min="47" max="47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  <c r="AU1" s="74" t="s">
        <v>46</v>
      </c>
    </row>
    <row r="2" spans="1:51" ht="15">
      <c r="A2" s="1" t="s">
        <v>47</v>
      </c>
      <c r="B2" s="5" t="s">
        <v>48</v>
      </c>
      <c r="C2" s="5" t="s">
        <v>48</v>
      </c>
      <c r="D2" s="5" t="s">
        <v>48</v>
      </c>
      <c r="E2" s="3" t="s">
        <v>49</v>
      </c>
      <c r="F2" s="3" t="s">
        <v>50</v>
      </c>
      <c r="G2" s="5" t="s">
        <v>51</v>
      </c>
      <c r="H2" s="6">
        <v>68501</v>
      </c>
      <c r="I2" s="2" t="s">
        <v>52</v>
      </c>
      <c r="J2" s="2" t="s">
        <v>53</v>
      </c>
      <c r="K2" s="7">
        <v>45643</v>
      </c>
      <c r="L2" s="7" t="s">
        <v>54</v>
      </c>
      <c r="M2" s="3" t="s">
        <v>55</v>
      </c>
      <c r="N2" s="3" t="s">
        <v>56</v>
      </c>
      <c r="O2" s="112">
        <v>47291</v>
      </c>
      <c r="P2" s="112">
        <v>47291</v>
      </c>
      <c r="Q2" s="112" t="s">
        <v>57</v>
      </c>
      <c r="R2" s="3" t="str">
        <f ca="1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58</v>
      </c>
      <c r="T2" s="3" t="s">
        <v>59</v>
      </c>
      <c r="U2" s="3" t="s">
        <v>59</v>
      </c>
      <c r="V2" s="130" t="s">
        <v>60</v>
      </c>
      <c r="W2" s="3" t="s">
        <v>59</v>
      </c>
      <c r="X2" s="3" t="s">
        <v>58</v>
      </c>
      <c r="Y2" s="3" t="s">
        <v>61</v>
      </c>
      <c r="Z2" s="114" t="s">
        <v>62</v>
      </c>
      <c r="AA2" s="159">
        <v>2209012.98</v>
      </c>
      <c r="AB2" s="78">
        <v>2245405.73</v>
      </c>
      <c r="AC2" s="78">
        <v>2272935.7999999998</v>
      </c>
      <c r="AD2" s="78">
        <v>1986963.09</v>
      </c>
      <c r="AE2" s="78">
        <v>1795494.36</v>
      </c>
      <c r="AF2" s="78">
        <v>1810406.71</v>
      </c>
      <c r="AG2" s="78">
        <v>1803790.82</v>
      </c>
      <c r="AH2" s="78">
        <v>1817215.72</v>
      </c>
      <c r="AI2" s="78">
        <v>1856321.92</v>
      </c>
      <c r="AJ2" s="78">
        <v>1877291.26</v>
      </c>
      <c r="AK2" s="78">
        <v>1886396.76</v>
      </c>
      <c r="AL2" s="78">
        <v>1922614.47</v>
      </c>
      <c r="AM2" s="78">
        <v>1952775.54</v>
      </c>
      <c r="AN2" s="111">
        <v>1961884.78</v>
      </c>
      <c r="AO2" s="78">
        <v>1965725.76</v>
      </c>
      <c r="AP2" s="78">
        <v>1978310.43</v>
      </c>
      <c r="AQ2" s="78">
        <v>1967315.1593508499</v>
      </c>
      <c r="AR2" s="79">
        <v>1950856.45</v>
      </c>
      <c r="AS2" s="79">
        <v>1962773</v>
      </c>
      <c r="AT2" s="122">
        <v>1966687.93</v>
      </c>
      <c r="AU2" s="122">
        <v>1973260.93</v>
      </c>
      <c r="AW2" s="152"/>
      <c r="AX2" s="152"/>
      <c r="AY2" s="152"/>
    </row>
    <row r="3" spans="1:51" ht="15">
      <c r="A3" s="1" t="s">
        <v>47</v>
      </c>
      <c r="B3" s="5" t="s">
        <v>63</v>
      </c>
      <c r="C3" s="5" t="s">
        <v>63</v>
      </c>
      <c r="D3" s="5" t="s">
        <v>63</v>
      </c>
      <c r="E3" s="3" t="s">
        <v>49</v>
      </c>
      <c r="F3" s="3" t="s">
        <v>50</v>
      </c>
      <c r="G3" s="5" t="s">
        <v>64</v>
      </c>
      <c r="H3" s="6">
        <v>242411</v>
      </c>
      <c r="I3" s="2" t="s">
        <v>65</v>
      </c>
      <c r="J3" s="2" t="s">
        <v>53</v>
      </c>
      <c r="K3" s="7">
        <v>46178</v>
      </c>
      <c r="L3" s="7" t="s">
        <v>54</v>
      </c>
      <c r="M3" s="3"/>
      <c r="N3" s="3" t="s">
        <v>66</v>
      </c>
      <c r="O3" s="112">
        <v>47230</v>
      </c>
      <c r="P3" s="112">
        <v>47274</v>
      </c>
      <c r="Q3" s="112" t="s">
        <v>67</v>
      </c>
      <c r="R3" s="3" t="str">
        <f ca="1"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/>
      </c>
      <c r="S3" s="3" t="s">
        <v>58</v>
      </c>
      <c r="T3" s="3"/>
      <c r="U3" s="3"/>
      <c r="V3" s="130"/>
      <c r="W3" s="3"/>
      <c r="X3" s="3"/>
      <c r="Y3" s="3"/>
      <c r="Z3" s="114" t="s">
        <v>68</v>
      </c>
      <c r="AA3" s="79">
        <v>0</v>
      </c>
      <c r="AB3" s="79">
        <v>0</v>
      </c>
      <c r="AC3" s="79">
        <v>0</v>
      </c>
      <c r="AD3" s="79">
        <v>0</v>
      </c>
      <c r="AE3" s="79">
        <v>0</v>
      </c>
      <c r="AF3" s="79">
        <v>0</v>
      </c>
      <c r="AG3" s="79">
        <v>0</v>
      </c>
      <c r="AH3" s="79">
        <v>0</v>
      </c>
      <c r="AI3" s="79">
        <v>0</v>
      </c>
      <c r="AJ3" s="79">
        <v>0</v>
      </c>
      <c r="AK3" s="79">
        <v>0</v>
      </c>
      <c r="AL3" s="79">
        <v>0</v>
      </c>
      <c r="AM3" s="79">
        <v>0</v>
      </c>
      <c r="AN3" s="79">
        <v>130684.36</v>
      </c>
      <c r="AO3" s="79">
        <v>0</v>
      </c>
      <c r="AP3" s="79">
        <v>0</v>
      </c>
      <c r="AQ3" s="79">
        <v>0</v>
      </c>
      <c r="AR3" s="79">
        <v>2087911.19</v>
      </c>
      <c r="AS3" s="79">
        <v>2105377</v>
      </c>
      <c r="AT3" s="122">
        <v>2123592.0290000001</v>
      </c>
      <c r="AU3" s="122">
        <v>3526082.68</v>
      </c>
      <c r="AW3" s="152"/>
      <c r="AX3" s="152"/>
      <c r="AY3" s="152"/>
    </row>
    <row r="4" spans="1:51">
      <c r="A4" s="1" t="s">
        <v>47</v>
      </c>
      <c r="B4" s="5" t="s">
        <v>69</v>
      </c>
      <c r="C4" s="5" t="s">
        <v>70</v>
      </c>
      <c r="D4" s="5" t="s">
        <v>69</v>
      </c>
      <c r="E4" s="3" t="s">
        <v>49</v>
      </c>
      <c r="F4" s="3" t="s">
        <v>50</v>
      </c>
      <c r="G4" s="5" t="s">
        <v>71</v>
      </c>
      <c r="H4" s="6">
        <v>292615</v>
      </c>
      <c r="I4" s="2" t="s">
        <v>72</v>
      </c>
      <c r="J4" s="2" t="s">
        <v>53</v>
      </c>
      <c r="K4" s="7">
        <v>45587</v>
      </c>
      <c r="L4" s="7" t="s">
        <v>54</v>
      </c>
      <c r="M4" s="3" t="s">
        <v>73</v>
      </c>
      <c r="N4" s="3" t="s">
        <v>56</v>
      </c>
      <c r="O4" s="112">
        <v>46676</v>
      </c>
      <c r="P4" s="112">
        <v>47259</v>
      </c>
      <c r="Q4" s="112" t="s">
        <v>57</v>
      </c>
      <c r="R4" s="3" t="str">
        <f ca="1"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IPCA+6%</v>
      </c>
      <c r="S4" s="3" t="s">
        <v>59</v>
      </c>
      <c r="T4" s="3" t="s">
        <v>59</v>
      </c>
      <c r="U4" s="3" t="s">
        <v>58</v>
      </c>
      <c r="V4" s="130" t="s">
        <v>74</v>
      </c>
      <c r="W4" s="3" t="s">
        <v>59</v>
      </c>
      <c r="X4" s="3" t="s">
        <v>59</v>
      </c>
      <c r="Y4" s="3" t="s">
        <v>61</v>
      </c>
      <c r="Z4" s="114" t="s">
        <v>75</v>
      </c>
      <c r="AA4" s="78">
        <v>3962204.32</v>
      </c>
      <c r="AB4" s="78">
        <v>4056156.39</v>
      </c>
      <c r="AC4" s="78">
        <v>4081420.93</v>
      </c>
      <c r="AD4" s="78">
        <v>4123374.63</v>
      </c>
      <c r="AE4" s="78">
        <v>4184001.28</v>
      </c>
      <c r="AF4" s="78">
        <v>4121096.56</v>
      </c>
      <c r="AG4" s="78">
        <v>3922064.81</v>
      </c>
      <c r="AH4" s="78">
        <v>3932589.85</v>
      </c>
      <c r="AI4" s="78">
        <v>3748838.48</v>
      </c>
      <c r="AJ4" s="78">
        <v>3774011.72</v>
      </c>
      <c r="AK4" s="78">
        <v>3391272.2</v>
      </c>
      <c r="AL4" s="78">
        <v>3210901.05</v>
      </c>
      <c r="AM4" s="78">
        <v>3247574.74</v>
      </c>
      <c r="AN4" s="111">
        <v>3282878.78</v>
      </c>
      <c r="AO4" s="78">
        <v>3238583.49</v>
      </c>
      <c r="AP4" s="78">
        <v>3307606.27</v>
      </c>
      <c r="AQ4" s="78">
        <v>3346860.511318</v>
      </c>
      <c r="AR4" s="79">
        <v>3357087.81</v>
      </c>
      <c r="AS4" s="79">
        <v>3352127</v>
      </c>
      <c r="AT4" s="122">
        <v>3313000.5419999999</v>
      </c>
      <c r="AU4" s="122">
        <v>3313509.86</v>
      </c>
    </row>
    <row r="5" spans="1:51" ht="15">
      <c r="A5" s="133" t="s">
        <v>47</v>
      </c>
      <c r="B5" s="127" t="s">
        <v>76</v>
      </c>
      <c r="C5" s="127" t="s">
        <v>76</v>
      </c>
      <c r="D5" s="127" t="s">
        <v>76</v>
      </c>
      <c r="E5" s="134" t="s">
        <v>49</v>
      </c>
      <c r="F5" s="134" t="s">
        <v>50</v>
      </c>
      <c r="G5" s="127" t="s">
        <v>77</v>
      </c>
      <c r="H5" s="126">
        <v>339991</v>
      </c>
      <c r="I5" s="135"/>
      <c r="J5" s="135" t="s">
        <v>53</v>
      </c>
      <c r="K5" s="136"/>
      <c r="L5" s="136" t="s">
        <v>54</v>
      </c>
      <c r="M5" s="134"/>
      <c r="N5" s="134" t="s">
        <v>66</v>
      </c>
      <c r="O5" s="136">
        <v>46769</v>
      </c>
      <c r="P5" s="136">
        <v>46738</v>
      </c>
      <c r="Q5" s="112" t="s">
        <v>67</v>
      </c>
      <c r="R5" s="134" t="str">
        <f ca="1">IF(M5="Arrojado","IPCA+6%",IF(M5="Arrojado Renda Construção","IPCA+6%",IF(M5="Arrojado Renda Usufruto","IPCA+6%",IF(M5="Moderado","IPCA+5%",IF(M5="Moderado Renda Construção","IPCA+5%",IF(M5="Moderado Renda Usufruto","IPCA+5%",IF(M5="Conservador","IPCA+4%",IF(M5="Conservador Renda Construção","IPCA+4%",IF(M5="Conservador Renda Usufruto","IPCA+4%",IF(M5="Ultraconservador","IPCA+4%",""))))))))))</f>
        <v/>
      </c>
      <c r="S5" s="134" t="s">
        <v>58</v>
      </c>
      <c r="T5" s="134"/>
      <c r="U5" s="134"/>
      <c r="V5" s="137" t="s">
        <v>78</v>
      </c>
      <c r="W5" s="134"/>
      <c r="X5" s="134"/>
      <c r="Y5" s="134"/>
      <c r="Z5" s="138" t="s">
        <v>79</v>
      </c>
      <c r="AA5" s="139">
        <v>1827423.75</v>
      </c>
      <c r="AB5" s="139">
        <v>1816950.75</v>
      </c>
      <c r="AC5" s="139">
        <v>2004828.54</v>
      </c>
      <c r="AD5" s="139">
        <v>2065417.33</v>
      </c>
      <c r="AE5" s="139">
        <v>2104258.9900000002</v>
      </c>
      <c r="AF5" s="139">
        <v>2072942.92</v>
      </c>
      <c r="AG5" s="139">
        <v>1965551.35</v>
      </c>
      <c r="AH5" s="139">
        <v>2002723.26</v>
      </c>
      <c r="AI5" s="139">
        <v>2048938.09</v>
      </c>
      <c r="AJ5" s="139">
        <v>1944272.23</v>
      </c>
      <c r="AK5" s="139">
        <v>1960569.32</v>
      </c>
      <c r="AL5" s="139">
        <v>1945395.23</v>
      </c>
      <c r="AM5" s="139">
        <v>2079323.67</v>
      </c>
      <c r="AN5" s="140">
        <v>2143715.9900000002</v>
      </c>
      <c r="AO5" s="139">
        <v>2237262.59</v>
      </c>
      <c r="AP5" s="139">
        <v>2292977.4500000002</v>
      </c>
      <c r="AQ5" s="139">
        <v>2401770.1791579998</v>
      </c>
      <c r="AR5" s="141">
        <v>2439688.9</v>
      </c>
      <c r="AS5" s="141">
        <v>0</v>
      </c>
      <c r="AT5" s="140">
        <v>0</v>
      </c>
      <c r="AU5" s="140" t="s">
        <v>80</v>
      </c>
      <c r="AW5" s="152"/>
      <c r="AX5" s="152"/>
      <c r="AY5" s="152"/>
    </row>
    <row r="6" spans="1:51" ht="15">
      <c r="A6" s="1" t="s">
        <v>81</v>
      </c>
      <c r="B6" s="5" t="s">
        <v>82</v>
      </c>
      <c r="C6" s="5" t="s">
        <v>82</v>
      </c>
      <c r="D6" s="5" t="s">
        <v>83</v>
      </c>
      <c r="E6" s="3" t="s">
        <v>49</v>
      </c>
      <c r="F6" s="3" t="s">
        <v>50</v>
      </c>
      <c r="G6" s="5" t="s">
        <v>84</v>
      </c>
      <c r="H6" s="6" t="s">
        <v>85</v>
      </c>
      <c r="I6" s="2" t="s">
        <v>86</v>
      </c>
      <c r="J6" s="82" t="s">
        <v>87</v>
      </c>
      <c r="K6" s="7"/>
      <c r="L6" s="7" t="s">
        <v>54</v>
      </c>
      <c r="M6" s="3"/>
      <c r="N6" s="3" t="s">
        <v>66</v>
      </c>
      <c r="O6" s="112"/>
      <c r="P6" s="112">
        <v>46990</v>
      </c>
      <c r="Q6" s="112" t="s">
        <v>67</v>
      </c>
      <c r="R6" s="3"/>
      <c r="S6" s="3"/>
      <c r="T6" s="3"/>
      <c r="U6" s="3"/>
      <c r="V6" s="130"/>
      <c r="W6" s="3"/>
      <c r="X6" s="3"/>
      <c r="Y6" s="3"/>
      <c r="Z6" s="114" t="s">
        <v>88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U6" s="78">
        <v>1519909.42</v>
      </c>
      <c r="AW6" s="152"/>
      <c r="AX6" s="152"/>
      <c r="AY6" s="152"/>
    </row>
    <row r="7" spans="1:51" ht="15">
      <c r="A7" s="1" t="s">
        <v>47</v>
      </c>
      <c r="B7" s="5" t="s">
        <v>82</v>
      </c>
      <c r="C7" s="5" t="s">
        <v>82</v>
      </c>
      <c r="D7" s="5" t="s">
        <v>89</v>
      </c>
      <c r="E7" s="3" t="s">
        <v>49</v>
      </c>
      <c r="F7" s="3" t="s">
        <v>50</v>
      </c>
      <c r="G7" s="5" t="s">
        <v>90</v>
      </c>
      <c r="H7" s="6">
        <v>391189</v>
      </c>
      <c r="I7" s="2" t="s">
        <v>86</v>
      </c>
      <c r="J7" s="82" t="s">
        <v>87</v>
      </c>
      <c r="K7" s="7">
        <v>46253</v>
      </c>
      <c r="L7" s="7" t="s">
        <v>54</v>
      </c>
      <c r="M7" s="3"/>
      <c r="N7" s="3" t="s">
        <v>66</v>
      </c>
      <c r="O7" s="112">
        <v>46336</v>
      </c>
      <c r="P7" s="112">
        <v>46990</v>
      </c>
      <c r="Q7" s="112" t="s">
        <v>67</v>
      </c>
      <c r="R7" s="3"/>
      <c r="S7" s="3"/>
      <c r="T7" s="3"/>
      <c r="U7" s="3"/>
      <c r="V7" s="130"/>
      <c r="W7" s="3"/>
      <c r="X7" s="3"/>
      <c r="Y7" s="3"/>
      <c r="Z7" s="114" t="s">
        <v>91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78">
        <v>0</v>
      </c>
      <c r="AO7" s="78">
        <v>0</v>
      </c>
      <c r="AP7" s="78">
        <v>0</v>
      </c>
      <c r="AQ7" s="78">
        <v>0</v>
      </c>
      <c r="AR7" s="78">
        <v>0</v>
      </c>
      <c r="AS7" s="78">
        <v>0</v>
      </c>
      <c r="AT7" s="78">
        <v>0</v>
      </c>
      <c r="AU7" s="78" t="s">
        <v>80</v>
      </c>
      <c r="AW7" s="152"/>
      <c r="AX7" s="152"/>
      <c r="AY7" s="152"/>
    </row>
    <row r="8" spans="1:51">
      <c r="A8" s="1" t="s">
        <v>47</v>
      </c>
      <c r="B8" s="5" t="s">
        <v>92</v>
      </c>
      <c r="C8" s="5" t="s">
        <v>92</v>
      </c>
      <c r="D8" s="5" t="s">
        <v>93</v>
      </c>
      <c r="E8" s="3" t="s">
        <v>49</v>
      </c>
      <c r="F8" s="3" t="s">
        <v>50</v>
      </c>
      <c r="G8" s="5" t="s">
        <v>94</v>
      </c>
      <c r="H8" s="6">
        <v>500819</v>
      </c>
      <c r="I8" s="2" t="s">
        <v>95</v>
      </c>
      <c r="J8" s="2" t="s">
        <v>53</v>
      </c>
      <c r="K8" s="7">
        <v>45546</v>
      </c>
      <c r="L8" s="7" t="s">
        <v>54</v>
      </c>
      <c r="M8" s="3" t="s">
        <v>73</v>
      </c>
      <c r="N8" s="3" t="s">
        <v>56</v>
      </c>
      <c r="O8" s="112">
        <v>46671</v>
      </c>
      <c r="P8" s="112">
        <v>47269</v>
      </c>
      <c r="Q8" s="112" t="s">
        <v>57</v>
      </c>
      <c r="R8" s="3" t="str">
        <f ca="1"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IPCA+6%</v>
      </c>
      <c r="S8" s="3" t="s">
        <v>59</v>
      </c>
      <c r="T8" s="3" t="s">
        <v>58</v>
      </c>
      <c r="U8" s="3" t="s">
        <v>58</v>
      </c>
      <c r="V8" s="130" t="s">
        <v>96</v>
      </c>
      <c r="W8" s="3" t="s">
        <v>58</v>
      </c>
      <c r="X8" s="3" t="s">
        <v>59</v>
      </c>
      <c r="Y8" s="3" t="s">
        <v>61</v>
      </c>
      <c r="Z8" s="114" t="s">
        <v>97</v>
      </c>
      <c r="AA8" s="78">
        <v>963088.63</v>
      </c>
      <c r="AB8" s="78">
        <v>956651.54</v>
      </c>
      <c r="AC8" s="78">
        <v>965131.45</v>
      </c>
      <c r="AD8" s="78">
        <v>990564.34</v>
      </c>
      <c r="AE8" s="78">
        <v>1000451.06</v>
      </c>
      <c r="AF8" s="78">
        <v>1005862.21</v>
      </c>
      <c r="AG8" s="78">
        <v>994499.88</v>
      </c>
      <c r="AH8" s="78">
        <v>1018942.32</v>
      </c>
      <c r="AI8" s="78">
        <v>1049967.1599999999</v>
      </c>
      <c r="AJ8" s="78">
        <v>1065598.33</v>
      </c>
      <c r="AK8" s="78">
        <v>1098565.3999999999</v>
      </c>
      <c r="AL8" s="78">
        <v>1154337.27</v>
      </c>
      <c r="AM8" s="78">
        <v>1186941.28</v>
      </c>
      <c r="AN8" s="111">
        <v>1215009.33</v>
      </c>
      <c r="AO8" s="78">
        <v>1212488.07</v>
      </c>
      <c r="AP8" s="78">
        <v>1231323.1100000001</v>
      </c>
      <c r="AQ8" s="78">
        <v>1201103.275623</v>
      </c>
      <c r="AR8" s="79">
        <v>1197481.57</v>
      </c>
      <c r="AS8" s="79">
        <v>1194917</v>
      </c>
      <c r="AT8" s="122">
        <v>1198009.5730000001</v>
      </c>
      <c r="AU8" s="122">
        <v>1213352.06</v>
      </c>
    </row>
    <row r="9" spans="1:51">
      <c r="A9" s="1" t="s">
        <v>98</v>
      </c>
      <c r="B9" s="5" t="s">
        <v>99</v>
      </c>
      <c r="C9" s="5" t="s">
        <v>100</v>
      </c>
      <c r="D9" s="5" t="s">
        <v>101</v>
      </c>
      <c r="E9" s="3" t="s">
        <v>102</v>
      </c>
      <c r="F9" s="3" t="s">
        <v>50</v>
      </c>
      <c r="G9" s="5" t="s">
        <v>103</v>
      </c>
      <c r="H9" s="6">
        <v>35704002</v>
      </c>
      <c r="I9" s="2" t="s">
        <v>104</v>
      </c>
      <c r="J9" s="2" t="s">
        <v>53</v>
      </c>
      <c r="K9" s="7"/>
      <c r="L9" s="7" t="s">
        <v>54</v>
      </c>
      <c r="M9" s="3" t="s">
        <v>105</v>
      </c>
      <c r="N9" s="3"/>
      <c r="O9" s="112"/>
      <c r="P9" s="112"/>
      <c r="Q9" s="112" t="s">
        <v>67</v>
      </c>
      <c r="R9" s="3" t="str">
        <f ca="1"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59</v>
      </c>
      <c r="T9" s="3" t="s">
        <v>58</v>
      </c>
      <c r="U9" s="3" t="s">
        <v>58</v>
      </c>
      <c r="V9" s="130" t="s">
        <v>106</v>
      </c>
      <c r="W9" s="3" t="s">
        <v>58</v>
      </c>
      <c r="X9" s="3" t="s">
        <v>58</v>
      </c>
      <c r="Y9" s="3" t="s">
        <v>107</v>
      </c>
      <c r="Z9" s="114" t="s">
        <v>108</v>
      </c>
      <c r="AA9" s="77">
        <v>0</v>
      </c>
      <c r="AB9" s="77">
        <v>0</v>
      </c>
      <c r="AC9" s="77">
        <v>0</v>
      </c>
      <c r="AD9" s="77">
        <v>0</v>
      </c>
      <c r="AE9" s="77">
        <v>0</v>
      </c>
      <c r="AF9" s="77">
        <v>0</v>
      </c>
      <c r="AG9" s="77">
        <v>0</v>
      </c>
      <c r="AH9" s="77">
        <v>0</v>
      </c>
      <c r="AI9" s="77">
        <v>0</v>
      </c>
      <c r="AJ9" s="77">
        <v>0</v>
      </c>
      <c r="AK9" s="77">
        <v>0</v>
      </c>
      <c r="AL9" s="77">
        <v>0</v>
      </c>
      <c r="AM9" s="77">
        <v>7414.92</v>
      </c>
      <c r="AN9" s="77">
        <v>122657.41</v>
      </c>
      <c r="AO9" s="77">
        <v>122853.14</v>
      </c>
      <c r="AP9" s="77">
        <v>120608.12</v>
      </c>
      <c r="AQ9" s="80">
        <v>168874.29</v>
      </c>
      <c r="AR9" s="80">
        <v>169555.33</v>
      </c>
      <c r="AS9" s="80">
        <v>166272.82999999999</v>
      </c>
      <c r="AT9" s="132">
        <v>166346.32999999999</v>
      </c>
      <c r="AU9" s="132">
        <v>156872.32000000001</v>
      </c>
    </row>
    <row r="10" spans="1:51" ht="15">
      <c r="A10" s="1" t="s">
        <v>47</v>
      </c>
      <c r="B10" s="5" t="s">
        <v>109</v>
      </c>
      <c r="C10" s="5" t="s">
        <v>109</v>
      </c>
      <c r="D10" s="5" t="s">
        <v>109</v>
      </c>
      <c r="E10" s="3" t="s">
        <v>49</v>
      </c>
      <c r="F10" s="3" t="s">
        <v>50</v>
      </c>
      <c r="G10" s="5" t="s">
        <v>110</v>
      </c>
      <c r="H10" s="6">
        <v>576471</v>
      </c>
      <c r="I10" s="2" t="s">
        <v>86</v>
      </c>
      <c r="J10" s="2" t="s">
        <v>87</v>
      </c>
      <c r="K10" s="7">
        <v>46162</v>
      </c>
      <c r="L10" s="7" t="s">
        <v>54</v>
      </c>
      <c r="M10" s="3"/>
      <c r="N10" s="3" t="s">
        <v>66</v>
      </c>
      <c r="O10" s="112">
        <v>45411</v>
      </c>
      <c r="P10" s="112">
        <v>46690</v>
      </c>
      <c r="Q10" s="112" t="s">
        <v>67</v>
      </c>
      <c r="R10" s="3" t="str">
        <f ca="1"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/>
      </c>
      <c r="S10" s="3" t="s">
        <v>58</v>
      </c>
      <c r="T10" s="3"/>
      <c r="U10" s="3"/>
      <c r="V10" s="130"/>
      <c r="W10" s="3"/>
      <c r="X10" s="3"/>
      <c r="Y10" s="3"/>
      <c r="Z10" s="114" t="s">
        <v>111</v>
      </c>
      <c r="AA10" s="79">
        <v>0</v>
      </c>
      <c r="AB10" s="79">
        <v>0</v>
      </c>
      <c r="AC10" s="79">
        <v>0</v>
      </c>
      <c r="AD10" s="79">
        <v>0</v>
      </c>
      <c r="AE10" s="79">
        <v>0</v>
      </c>
      <c r="AF10" s="79">
        <v>0</v>
      </c>
      <c r="AG10" s="79">
        <v>0</v>
      </c>
      <c r="AH10" s="79">
        <v>0</v>
      </c>
      <c r="AI10" s="79">
        <v>0</v>
      </c>
      <c r="AJ10" s="79">
        <v>0</v>
      </c>
      <c r="AK10" s="79">
        <v>0</v>
      </c>
      <c r="AL10" s="79">
        <v>0</v>
      </c>
      <c r="AM10" s="79">
        <v>0</v>
      </c>
      <c r="AN10" s="79">
        <v>54.41</v>
      </c>
      <c r="AO10" s="79">
        <v>0</v>
      </c>
      <c r="AP10" s="79">
        <v>0</v>
      </c>
      <c r="AQ10" s="79">
        <v>0</v>
      </c>
      <c r="AR10" s="79">
        <v>50</v>
      </c>
      <c r="AS10" s="79">
        <v>50</v>
      </c>
      <c r="AT10" s="122">
        <v>79.41</v>
      </c>
      <c r="AU10" s="122">
        <v>51446.09</v>
      </c>
      <c r="AW10" s="152"/>
      <c r="AX10" s="152"/>
      <c r="AY10" s="152"/>
    </row>
    <row r="11" spans="1:51" ht="15">
      <c r="A11" s="1" t="s">
        <v>47</v>
      </c>
      <c r="B11" s="5" t="s">
        <v>112</v>
      </c>
      <c r="C11" s="5" t="s">
        <v>112</v>
      </c>
      <c r="D11" s="5" t="s">
        <v>112</v>
      </c>
      <c r="E11" s="3" t="s">
        <v>49</v>
      </c>
      <c r="F11" s="3" t="s">
        <v>50</v>
      </c>
      <c r="G11" s="5" t="s">
        <v>113</v>
      </c>
      <c r="H11" s="6">
        <v>579979</v>
      </c>
      <c r="I11" s="2" t="s">
        <v>86</v>
      </c>
      <c r="J11" s="2" t="s">
        <v>53</v>
      </c>
      <c r="K11" s="7">
        <v>45566</v>
      </c>
      <c r="L11" s="7" t="s">
        <v>54</v>
      </c>
      <c r="M11" s="3" t="s">
        <v>114</v>
      </c>
      <c r="N11" s="3" t="s">
        <v>66</v>
      </c>
      <c r="O11" s="112">
        <v>47327</v>
      </c>
      <c r="P11" s="112">
        <v>47289</v>
      </c>
      <c r="Q11" s="112" t="s">
        <v>57</v>
      </c>
      <c r="R11" s="3" t="str">
        <f ca="1"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IPCA+5%</v>
      </c>
      <c r="S11" s="3" t="s">
        <v>59</v>
      </c>
      <c r="T11" s="3" t="s">
        <v>59</v>
      </c>
      <c r="U11" s="3" t="s">
        <v>58</v>
      </c>
      <c r="V11" s="130" t="s">
        <v>115</v>
      </c>
      <c r="W11" s="3" t="s">
        <v>59</v>
      </c>
      <c r="X11" s="3" t="s">
        <v>59</v>
      </c>
      <c r="Y11" s="3" t="s">
        <v>116</v>
      </c>
      <c r="Z11" s="114" t="s">
        <v>117</v>
      </c>
      <c r="AA11" s="78">
        <v>2076032.26</v>
      </c>
      <c r="AB11" s="78">
        <v>2250543.5699999998</v>
      </c>
      <c r="AC11" s="78">
        <v>2395803.63</v>
      </c>
      <c r="AD11" s="78">
        <v>1715172.16</v>
      </c>
      <c r="AE11" s="78">
        <v>1751027.88</v>
      </c>
      <c r="AF11" s="78">
        <v>1775170.44</v>
      </c>
      <c r="AG11" s="78">
        <v>1699884.36</v>
      </c>
      <c r="AH11" s="78">
        <v>1792835.63</v>
      </c>
      <c r="AI11" s="78">
        <v>1735592.1</v>
      </c>
      <c r="AJ11" s="78">
        <v>1955404.78</v>
      </c>
      <c r="AK11" s="78">
        <v>2011963.77</v>
      </c>
      <c r="AL11" s="78">
        <v>2083710.87</v>
      </c>
      <c r="AM11" s="78">
        <v>2054159.48</v>
      </c>
      <c r="AN11" s="111">
        <v>2000963.09</v>
      </c>
      <c r="AO11" s="78">
        <v>1927630.69</v>
      </c>
      <c r="AP11" s="78">
        <v>2021893.62</v>
      </c>
      <c r="AQ11" s="78">
        <v>2080683.41761704</v>
      </c>
      <c r="AR11" s="79">
        <v>2082020.25</v>
      </c>
      <c r="AS11" s="79">
        <v>2064154</v>
      </c>
      <c r="AT11" s="122">
        <v>2067960.155</v>
      </c>
      <c r="AU11" s="122">
        <v>1763404.57</v>
      </c>
      <c r="AW11" s="152"/>
      <c r="AX11" s="152"/>
      <c r="AY11" s="152"/>
    </row>
    <row r="12" spans="1:51" ht="15">
      <c r="A12" s="1" t="s">
        <v>47</v>
      </c>
      <c r="B12" s="5" t="s">
        <v>118</v>
      </c>
      <c r="C12" s="5" t="s">
        <v>118</v>
      </c>
      <c r="D12" s="5" t="s">
        <v>118</v>
      </c>
      <c r="E12" s="3" t="s">
        <v>49</v>
      </c>
      <c r="F12" s="3" t="s">
        <v>50</v>
      </c>
      <c r="G12" s="5" t="s">
        <v>119</v>
      </c>
      <c r="H12" s="6">
        <v>598451</v>
      </c>
      <c r="I12" s="2" t="s">
        <v>120</v>
      </c>
      <c r="J12" s="2" t="s">
        <v>53</v>
      </c>
      <c r="K12" s="7">
        <v>45568</v>
      </c>
      <c r="L12" s="7" t="s">
        <v>54</v>
      </c>
      <c r="M12" s="3" t="s">
        <v>55</v>
      </c>
      <c r="N12" s="3" t="s">
        <v>56</v>
      </c>
      <c r="O12" s="112">
        <v>46712</v>
      </c>
      <c r="P12" s="112">
        <v>47219</v>
      </c>
      <c r="Q12" s="112" t="s">
        <v>57</v>
      </c>
      <c r="R12" s="3" t="str">
        <f ca="1"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IPCA+5%</v>
      </c>
      <c r="S12" s="3" t="s">
        <v>58</v>
      </c>
      <c r="T12" s="3" t="s">
        <v>59</v>
      </c>
      <c r="U12" s="3" t="s">
        <v>59</v>
      </c>
      <c r="V12" s="130" t="s">
        <v>121</v>
      </c>
      <c r="W12" s="3" t="s">
        <v>59</v>
      </c>
      <c r="X12" s="3" t="s">
        <v>58</v>
      </c>
      <c r="Y12" s="3" t="s">
        <v>61</v>
      </c>
      <c r="Z12" s="114" t="s">
        <v>122</v>
      </c>
      <c r="AA12" s="78">
        <v>1982076.27</v>
      </c>
      <c r="AB12" s="78">
        <v>2015184.7</v>
      </c>
      <c r="AC12" s="78">
        <v>2047547.98</v>
      </c>
      <c r="AD12" s="78">
        <v>2086102.71</v>
      </c>
      <c r="AE12" s="78">
        <v>2100418.2999999998</v>
      </c>
      <c r="AF12" s="78">
        <v>2110733.2200000002</v>
      </c>
      <c r="AG12" s="78">
        <v>2099283.9700000002</v>
      </c>
      <c r="AH12" s="78">
        <v>2115577.87</v>
      </c>
      <c r="AI12" s="78">
        <v>2141250</v>
      </c>
      <c r="AJ12" s="78">
        <v>2148132.3199999998</v>
      </c>
      <c r="AK12" s="78">
        <v>2150305.0099999998</v>
      </c>
      <c r="AL12" s="78">
        <v>2175661.04</v>
      </c>
      <c r="AM12" s="78">
        <v>2200743.2400000002</v>
      </c>
      <c r="AN12" s="111">
        <v>2215160.64</v>
      </c>
      <c r="AO12" s="78">
        <v>2203600.62</v>
      </c>
      <c r="AP12" s="78">
        <v>2226696.42</v>
      </c>
      <c r="AQ12" s="78">
        <v>2213015.5843874998</v>
      </c>
      <c r="AR12" s="79">
        <v>2181120.29</v>
      </c>
      <c r="AS12" s="79">
        <v>2191711</v>
      </c>
      <c r="AT12" s="122">
        <v>2181759.1949999998</v>
      </c>
      <c r="AU12" s="122">
        <v>2186388.66</v>
      </c>
      <c r="AW12" s="152"/>
      <c r="AX12" s="152"/>
      <c r="AY12" s="152"/>
    </row>
    <row r="13" spans="1:51" ht="15">
      <c r="A13" s="1" t="s">
        <v>98</v>
      </c>
      <c r="B13" s="5" t="s">
        <v>123</v>
      </c>
      <c r="C13" s="5" t="s">
        <v>124</v>
      </c>
      <c r="D13" s="5" t="s">
        <v>125</v>
      </c>
      <c r="E13" s="3" t="s">
        <v>49</v>
      </c>
      <c r="F13" s="3" t="s">
        <v>126</v>
      </c>
      <c r="G13" s="5" t="s">
        <v>127</v>
      </c>
      <c r="H13" s="6">
        <v>53076915</v>
      </c>
      <c r="I13" s="2" t="s">
        <v>65</v>
      </c>
      <c r="J13" s="2" t="s">
        <v>53</v>
      </c>
      <c r="K13" s="7"/>
      <c r="L13" s="7" t="s">
        <v>54</v>
      </c>
      <c r="M13" s="3" t="s">
        <v>105</v>
      </c>
      <c r="N13" s="3" t="s">
        <v>66</v>
      </c>
      <c r="O13" s="112"/>
      <c r="P13" s="112"/>
      <c r="Q13" s="112" t="s">
        <v>128</v>
      </c>
      <c r="R13" s="3" t="str">
        <f ca="1"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59</v>
      </c>
      <c r="T13" s="3" t="s">
        <v>58</v>
      </c>
      <c r="U13" s="3" t="s">
        <v>58</v>
      </c>
      <c r="V13" s="130" t="s">
        <v>129</v>
      </c>
      <c r="W13" s="3" t="s">
        <v>59</v>
      </c>
      <c r="X13" s="3" t="s">
        <v>58</v>
      </c>
      <c r="Y13" s="3" t="s">
        <v>130</v>
      </c>
      <c r="Z13" s="114" t="s">
        <v>131</v>
      </c>
      <c r="AA13" s="77">
        <v>0</v>
      </c>
      <c r="AB13" s="77">
        <v>0</v>
      </c>
      <c r="AC13" s="77">
        <v>0</v>
      </c>
      <c r="AD13" s="77">
        <v>0</v>
      </c>
      <c r="AE13" s="77">
        <v>0</v>
      </c>
      <c r="AF13" s="77">
        <v>1007776.27</v>
      </c>
      <c r="AG13" s="77">
        <v>1255074.07</v>
      </c>
      <c r="AH13" s="77">
        <v>1262724.1000000001</v>
      </c>
      <c r="AI13" s="77">
        <v>670.55</v>
      </c>
      <c r="AJ13" s="77">
        <v>670.38</v>
      </c>
      <c r="AK13" s="77">
        <v>237819.66</v>
      </c>
      <c r="AL13" s="77">
        <v>238673.46</v>
      </c>
      <c r="AM13" s="77">
        <v>239303.49</v>
      </c>
      <c r="AN13" s="77">
        <v>239904.8</v>
      </c>
      <c r="AO13" s="77">
        <v>240546.4</v>
      </c>
      <c r="AP13" s="77">
        <v>241224.66</v>
      </c>
      <c r="AQ13" s="80">
        <v>238669.22</v>
      </c>
      <c r="AR13" s="80">
        <v>238060.14</v>
      </c>
      <c r="AS13" s="80">
        <v>242257.55</v>
      </c>
      <c r="AT13" s="132">
        <v>241871.51</v>
      </c>
      <c r="AU13" s="132">
        <v>241822.46</v>
      </c>
      <c r="AW13" s="152"/>
      <c r="AX13" s="152"/>
      <c r="AY13" s="152"/>
    </row>
    <row r="14" spans="1:51">
      <c r="A14" s="1" t="s">
        <v>132</v>
      </c>
      <c r="B14" s="5" t="s">
        <v>133</v>
      </c>
      <c r="C14" s="5" t="s">
        <v>133</v>
      </c>
      <c r="D14" s="5" t="s">
        <v>134</v>
      </c>
      <c r="E14" s="3" t="s">
        <v>49</v>
      </c>
      <c r="F14" s="3" t="s">
        <v>50</v>
      </c>
      <c r="G14" s="5" t="s">
        <v>135</v>
      </c>
      <c r="H14" s="6">
        <v>1959557</v>
      </c>
      <c r="I14" s="2" t="s">
        <v>86</v>
      </c>
      <c r="J14" s="2" t="s">
        <v>87</v>
      </c>
      <c r="K14" s="7"/>
      <c r="L14" s="7" t="s">
        <v>136</v>
      </c>
      <c r="M14" s="3" t="s">
        <v>73</v>
      </c>
      <c r="N14" s="3" t="s">
        <v>56</v>
      </c>
      <c r="O14" s="112">
        <v>46535</v>
      </c>
      <c r="P14" s="112">
        <v>47606</v>
      </c>
      <c r="Q14" s="112" t="s">
        <v>57</v>
      </c>
      <c r="R14" s="3" t="str">
        <f ca="1"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IPCA+6%</v>
      </c>
      <c r="S14" s="3" t="s">
        <v>59</v>
      </c>
      <c r="T14" s="3" t="s">
        <v>59</v>
      </c>
      <c r="U14" s="3" t="s">
        <v>58</v>
      </c>
      <c r="V14" s="130" t="s">
        <v>137</v>
      </c>
      <c r="W14" s="3" t="s">
        <v>58</v>
      </c>
      <c r="X14" s="3" t="s">
        <v>59</v>
      </c>
      <c r="Y14" s="3" t="s">
        <v>116</v>
      </c>
      <c r="Z14" s="114" t="s">
        <v>138</v>
      </c>
      <c r="AA14" s="78">
        <v>3465084.07</v>
      </c>
      <c r="AB14" s="78">
        <v>3487622.22</v>
      </c>
      <c r="AC14" s="78">
        <v>3572893.76</v>
      </c>
      <c r="AD14" s="78">
        <v>3484057.14</v>
      </c>
      <c r="AE14" s="78">
        <v>3495785.02</v>
      </c>
      <c r="AF14" s="78">
        <v>3480882.77</v>
      </c>
      <c r="AG14" s="78">
        <v>3313261.5</v>
      </c>
      <c r="AH14" s="78">
        <v>3292501.05</v>
      </c>
      <c r="AI14" s="78">
        <v>3327440.01</v>
      </c>
      <c r="AJ14" s="78">
        <v>3357051.32</v>
      </c>
      <c r="AK14" s="78">
        <v>3385577.46</v>
      </c>
      <c r="AL14" s="78">
        <v>3618078.84</v>
      </c>
      <c r="AM14" s="78">
        <v>3284192.66</v>
      </c>
      <c r="AN14" s="111">
        <v>3209737.65</v>
      </c>
      <c r="AO14" s="78">
        <v>3315720.100000001</v>
      </c>
      <c r="AP14" s="78">
        <v>3328358.11</v>
      </c>
      <c r="AQ14" s="78">
        <v>3347309.18</v>
      </c>
      <c r="AR14" s="78">
        <v>3374295.4899999998</v>
      </c>
      <c r="AS14" s="78">
        <v>3550255.5199999991</v>
      </c>
      <c r="AT14" s="122">
        <v>3346629.29</v>
      </c>
      <c r="AU14" s="122">
        <v>3584887.71</v>
      </c>
    </row>
    <row r="15" spans="1:51">
      <c r="A15" s="1" t="s">
        <v>47</v>
      </c>
      <c r="B15" s="5" t="s">
        <v>82</v>
      </c>
      <c r="C15" s="5" t="s">
        <v>82</v>
      </c>
      <c r="D15" s="5" t="s">
        <v>83</v>
      </c>
      <c r="E15" s="3" t="s">
        <v>49</v>
      </c>
      <c r="F15" s="3" t="s">
        <v>50</v>
      </c>
      <c r="G15" s="5" t="s">
        <v>139</v>
      </c>
      <c r="H15" s="6">
        <v>2027022</v>
      </c>
      <c r="I15" s="2" t="s">
        <v>86</v>
      </c>
      <c r="J15" s="82" t="s">
        <v>87</v>
      </c>
      <c r="K15" s="7">
        <v>46254</v>
      </c>
      <c r="L15" s="7" t="s">
        <v>54</v>
      </c>
      <c r="M15" s="3"/>
      <c r="N15" s="3" t="s">
        <v>66</v>
      </c>
      <c r="O15" s="112">
        <v>46948</v>
      </c>
      <c r="P15" s="112">
        <v>46620</v>
      </c>
      <c r="Q15" s="112" t="s">
        <v>67</v>
      </c>
      <c r="R15" s="3"/>
      <c r="S15" s="3"/>
      <c r="T15" s="3"/>
      <c r="U15" s="3"/>
      <c r="V15" s="130"/>
      <c r="W15" s="3"/>
      <c r="X15" s="3"/>
      <c r="Y15" s="3"/>
      <c r="Z15" s="114" t="s">
        <v>88</v>
      </c>
      <c r="AA15" s="78">
        <v>0</v>
      </c>
      <c r="AB15" s="78">
        <v>0</v>
      </c>
      <c r="AC15" s="78">
        <v>0</v>
      </c>
      <c r="AD15" s="78">
        <v>0</v>
      </c>
      <c r="AE15" s="78">
        <v>0</v>
      </c>
      <c r="AF15" s="78">
        <v>0</v>
      </c>
      <c r="AG15" s="78">
        <v>0</v>
      </c>
      <c r="AH15" s="78">
        <v>0</v>
      </c>
      <c r="AI15" s="78">
        <v>0</v>
      </c>
      <c r="AJ15" s="78">
        <v>0</v>
      </c>
      <c r="AK15" s="78">
        <v>0</v>
      </c>
      <c r="AL15" s="78">
        <v>0</v>
      </c>
      <c r="AM15" s="78">
        <v>0</v>
      </c>
      <c r="AN15" s="78">
        <v>0</v>
      </c>
      <c r="AO15" s="78">
        <v>0</v>
      </c>
      <c r="AP15" s="78">
        <v>0</v>
      </c>
      <c r="AQ15" s="78">
        <v>0</v>
      </c>
      <c r="AR15" s="78">
        <v>0</v>
      </c>
      <c r="AS15" s="78">
        <v>0</v>
      </c>
      <c r="AT15" s="78">
        <v>682857.25379999995</v>
      </c>
      <c r="AU15" s="161">
        <v>779293.76</v>
      </c>
    </row>
    <row r="16" spans="1:51" ht="15">
      <c r="A16" s="1" t="s">
        <v>98</v>
      </c>
      <c r="B16" s="5" t="s">
        <v>140</v>
      </c>
      <c r="C16" s="5" t="s">
        <v>140</v>
      </c>
      <c r="D16" s="5" t="s">
        <v>140</v>
      </c>
      <c r="E16" s="3" t="s">
        <v>49</v>
      </c>
      <c r="F16" s="3" t="s">
        <v>50</v>
      </c>
      <c r="G16" s="5" t="s">
        <v>141</v>
      </c>
      <c r="H16" s="6">
        <v>27109027</v>
      </c>
      <c r="I16" s="2" t="s">
        <v>104</v>
      </c>
      <c r="J16" s="2" t="s">
        <v>53</v>
      </c>
      <c r="K16" s="7"/>
      <c r="L16" s="7" t="s">
        <v>54</v>
      </c>
      <c r="M16" s="3" t="s">
        <v>105</v>
      </c>
      <c r="N16" s="3" t="s">
        <v>56</v>
      </c>
      <c r="O16" s="112"/>
      <c r="P16" s="112"/>
      <c r="Q16" s="112" t="s">
        <v>128</v>
      </c>
      <c r="R16" s="3" t="str">
        <f ca="1"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59</v>
      </c>
      <c r="T16" s="3" t="s">
        <v>58</v>
      </c>
      <c r="U16" s="3" t="s">
        <v>58</v>
      </c>
      <c r="V16" s="130" t="s">
        <v>142</v>
      </c>
      <c r="W16" s="3" t="s">
        <v>58</v>
      </c>
      <c r="X16" s="3" t="s">
        <v>59</v>
      </c>
      <c r="Y16" s="3" t="s">
        <v>107</v>
      </c>
      <c r="Z16" s="114" t="s">
        <v>143</v>
      </c>
      <c r="AA16" s="77">
        <v>385.02</v>
      </c>
      <c r="AB16" s="77">
        <v>20779.900000000001</v>
      </c>
      <c r="AC16" s="77">
        <v>40922.57</v>
      </c>
      <c r="AD16" s="77">
        <v>40454.910000000003</v>
      </c>
      <c r="AE16" s="77">
        <v>59873.38</v>
      </c>
      <c r="AF16" s="77">
        <v>61564.24</v>
      </c>
      <c r="AG16" s="77">
        <v>61651.62</v>
      </c>
      <c r="AH16" s="77">
        <v>62080.55</v>
      </c>
      <c r="AI16" s="77">
        <v>64490.59</v>
      </c>
      <c r="AJ16" s="77">
        <v>265233.73</v>
      </c>
      <c r="AK16" s="77">
        <v>266475.59999999998</v>
      </c>
      <c r="AL16" s="77">
        <v>263711.76</v>
      </c>
      <c r="AM16" s="77">
        <v>265377.33</v>
      </c>
      <c r="AN16" s="77">
        <v>269298.03999999998</v>
      </c>
      <c r="AO16" s="77">
        <v>261768.53</v>
      </c>
      <c r="AP16" s="77">
        <v>265150.59000000003</v>
      </c>
      <c r="AQ16" s="80">
        <v>265057.96000000002</v>
      </c>
      <c r="AR16" s="80">
        <v>266359.65000000002</v>
      </c>
      <c r="AS16" s="80">
        <v>263833.8</v>
      </c>
      <c r="AT16" s="132">
        <v>266069.09999999998</v>
      </c>
      <c r="AU16" s="132">
        <v>254213.07</v>
      </c>
      <c r="AW16" s="152"/>
      <c r="AX16" s="152"/>
      <c r="AY16" s="152"/>
    </row>
    <row r="17" spans="1:51">
      <c r="A17" s="1" t="s">
        <v>47</v>
      </c>
      <c r="B17" s="5" t="s">
        <v>92</v>
      </c>
      <c r="C17" s="5" t="s">
        <v>92</v>
      </c>
      <c r="D17" s="5" t="s">
        <v>144</v>
      </c>
      <c r="E17" s="3" t="s">
        <v>49</v>
      </c>
      <c r="F17" s="3" t="s">
        <v>50</v>
      </c>
      <c r="G17" s="5" t="s">
        <v>145</v>
      </c>
      <c r="H17" s="6">
        <v>2068296</v>
      </c>
      <c r="I17" s="2" t="s">
        <v>95</v>
      </c>
      <c r="J17" s="2" t="s">
        <v>53</v>
      </c>
      <c r="K17" s="7">
        <v>45548</v>
      </c>
      <c r="L17" s="7" t="s">
        <v>54</v>
      </c>
      <c r="M17" s="3" t="s">
        <v>73</v>
      </c>
      <c r="N17" s="3" t="s">
        <v>56</v>
      </c>
      <c r="O17" s="112">
        <v>46674</v>
      </c>
      <c r="P17" s="112">
        <v>47073</v>
      </c>
      <c r="Q17" s="112" t="s">
        <v>57</v>
      </c>
      <c r="R17" s="3" t="str">
        <f ca="1"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IPCA+6%</v>
      </c>
      <c r="S17" s="3" t="s">
        <v>59</v>
      </c>
      <c r="T17" s="3" t="s">
        <v>58</v>
      </c>
      <c r="U17" s="3" t="s">
        <v>58</v>
      </c>
      <c r="V17" s="130" t="s">
        <v>146</v>
      </c>
      <c r="W17" s="3" t="s">
        <v>58</v>
      </c>
      <c r="X17" s="3" t="s">
        <v>59</v>
      </c>
      <c r="Y17" s="3" t="s">
        <v>107</v>
      </c>
      <c r="Z17" s="114" t="s">
        <v>147</v>
      </c>
      <c r="AA17" s="78">
        <v>2028863.97</v>
      </c>
      <c r="AB17" s="78">
        <v>2120973.48</v>
      </c>
      <c r="AC17" s="78">
        <v>2162698.0699999998</v>
      </c>
      <c r="AD17" s="78">
        <v>2252418.98</v>
      </c>
      <c r="AE17" s="78">
        <v>2281169.98</v>
      </c>
      <c r="AF17" s="78">
        <v>2309532.5499999998</v>
      </c>
      <c r="AG17" s="78">
        <v>2362846.7200000002</v>
      </c>
      <c r="AH17" s="78">
        <v>2412244.27</v>
      </c>
      <c r="AI17" s="78">
        <v>2479175.21</v>
      </c>
      <c r="AJ17" s="78">
        <v>2505418.9500000002</v>
      </c>
      <c r="AK17" s="78">
        <v>2554465.12</v>
      </c>
      <c r="AL17" s="78">
        <v>2610260.17</v>
      </c>
      <c r="AM17" s="78">
        <v>2695231.96</v>
      </c>
      <c r="AN17" s="111">
        <v>2825517.02</v>
      </c>
      <c r="AO17" s="78">
        <v>2797804.42</v>
      </c>
      <c r="AP17" s="78">
        <v>2865516.35</v>
      </c>
      <c r="AQ17" s="78">
        <v>2899850.672117</v>
      </c>
      <c r="AR17" s="79">
        <v>2913007.96</v>
      </c>
      <c r="AS17" s="79">
        <v>2963896</v>
      </c>
      <c r="AT17" s="122">
        <v>2972632.557</v>
      </c>
      <c r="AU17" s="122">
        <v>2998366.19</v>
      </c>
    </row>
    <row r="18" spans="1:51" ht="15.75">
      <c r="A18" s="1" t="s">
        <v>47</v>
      </c>
      <c r="B18" s="5" t="s">
        <v>148</v>
      </c>
      <c r="C18" s="5" t="s">
        <v>148</v>
      </c>
      <c r="D18" s="5" t="s">
        <v>148</v>
      </c>
      <c r="E18" s="3" t="s">
        <v>49</v>
      </c>
      <c r="F18" s="3" t="s">
        <v>50</v>
      </c>
      <c r="G18" s="5" t="s">
        <v>149</v>
      </c>
      <c r="H18" s="6">
        <v>2247004</v>
      </c>
      <c r="I18" s="2" t="s">
        <v>120</v>
      </c>
      <c r="J18" s="2" t="s">
        <v>53</v>
      </c>
      <c r="K18" s="7">
        <v>45834</v>
      </c>
      <c r="L18" s="7" t="s">
        <v>54</v>
      </c>
      <c r="M18" s="3" t="s">
        <v>150</v>
      </c>
      <c r="N18" s="3" t="s">
        <v>56</v>
      </c>
      <c r="O18" s="112">
        <v>46647</v>
      </c>
      <c r="P18" s="112">
        <v>46821</v>
      </c>
      <c r="Q18" s="112" t="s">
        <v>151</v>
      </c>
      <c r="R18" s="3" t="str">
        <f ca="1"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IPCA+6%</v>
      </c>
      <c r="S18" s="3" t="s">
        <v>59</v>
      </c>
      <c r="T18" s="3" t="s">
        <v>58</v>
      </c>
      <c r="U18" s="3" t="s">
        <v>58</v>
      </c>
      <c r="V18" s="157" t="s">
        <v>152</v>
      </c>
      <c r="W18" s="3" t="s">
        <v>58</v>
      </c>
      <c r="X18" s="3" t="s">
        <v>58</v>
      </c>
      <c r="Y18" s="3" t="s">
        <v>61</v>
      </c>
      <c r="Z18" s="114" t="s">
        <v>153</v>
      </c>
      <c r="AA18" s="78">
        <v>4468946.1399999997</v>
      </c>
      <c r="AB18" s="78">
        <v>4321296.22</v>
      </c>
      <c r="AC18" s="78">
        <v>4422904.58</v>
      </c>
      <c r="AD18" s="78">
        <v>4661462.22</v>
      </c>
      <c r="AE18" s="78">
        <v>4842378.71</v>
      </c>
      <c r="AF18" s="78">
        <v>4853091.26</v>
      </c>
      <c r="AG18" s="78">
        <v>4854867</v>
      </c>
      <c r="AH18" s="78">
        <v>4968447.2699999996</v>
      </c>
      <c r="AI18" s="78">
        <v>5079175.9800000004</v>
      </c>
      <c r="AJ18" s="78">
        <v>5129318.0199999996</v>
      </c>
      <c r="AK18" s="78">
        <v>5158729.79</v>
      </c>
      <c r="AL18" s="78">
        <v>5240603.07</v>
      </c>
      <c r="AM18" s="78">
        <v>5493381.6200000001</v>
      </c>
      <c r="AN18" s="111">
        <v>5447850.29</v>
      </c>
      <c r="AO18" s="78">
        <v>5345951.42</v>
      </c>
      <c r="AP18" s="78">
        <v>5408575.4299999997</v>
      </c>
      <c r="AQ18" s="78">
        <v>5058745.5</v>
      </c>
      <c r="AR18" s="79">
        <v>4938201.7300000004</v>
      </c>
      <c r="AS18" s="79">
        <v>4927130</v>
      </c>
      <c r="AT18" s="122">
        <v>5028712.7</v>
      </c>
      <c r="AU18" s="122">
        <v>5146404.6399999997</v>
      </c>
    </row>
    <row r="19" spans="1:51">
      <c r="A19" s="1" t="s">
        <v>98</v>
      </c>
      <c r="B19" s="5" t="s">
        <v>154</v>
      </c>
      <c r="C19" s="5" t="s">
        <v>154</v>
      </c>
      <c r="D19" s="5" t="s">
        <v>155</v>
      </c>
      <c r="E19" s="3" t="s">
        <v>49</v>
      </c>
      <c r="F19" s="3" t="s">
        <v>50</v>
      </c>
      <c r="G19" s="5" t="s">
        <v>156</v>
      </c>
      <c r="H19" s="6">
        <v>98792193</v>
      </c>
      <c r="I19" s="2" t="s">
        <v>157</v>
      </c>
      <c r="J19" s="2" t="s">
        <v>53</v>
      </c>
      <c r="K19" s="7"/>
      <c r="L19" s="7" t="s">
        <v>54</v>
      </c>
      <c r="M19" s="3" t="s">
        <v>105</v>
      </c>
      <c r="N19" s="3"/>
      <c r="O19" s="112"/>
      <c r="P19" s="112"/>
      <c r="Q19" s="112"/>
      <c r="R19" s="3" t="str">
        <f ca="1"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58</v>
      </c>
      <c r="T19" s="3" t="s">
        <v>58</v>
      </c>
      <c r="U19" s="3" t="s">
        <v>58</v>
      </c>
      <c r="V19" s="130" t="s">
        <v>158</v>
      </c>
      <c r="W19" s="3" t="s">
        <v>58</v>
      </c>
      <c r="X19" s="3" t="s">
        <v>58</v>
      </c>
      <c r="Y19" s="3" t="s">
        <v>130</v>
      </c>
      <c r="Z19" s="114" t="s">
        <v>159</v>
      </c>
      <c r="AA19" s="77">
        <v>117723.7</v>
      </c>
      <c r="AB19" s="77">
        <v>121168.71</v>
      </c>
      <c r="AC19" s="77">
        <v>167549.84</v>
      </c>
      <c r="AD19" s="77">
        <v>165923.42000000001</v>
      </c>
      <c r="AE19" s="77">
        <v>164408.41</v>
      </c>
      <c r="AF19" s="77">
        <v>167611.60999999999</v>
      </c>
      <c r="AG19" s="77">
        <v>164587.5</v>
      </c>
      <c r="AH19" s="77">
        <v>183672.37</v>
      </c>
      <c r="AI19" s="77">
        <v>188341.4</v>
      </c>
      <c r="AJ19" s="77">
        <v>204257.86</v>
      </c>
      <c r="AK19" s="77">
        <v>206912.14</v>
      </c>
      <c r="AL19" s="77">
        <v>203748.61</v>
      </c>
      <c r="AM19" s="77">
        <v>206060.54</v>
      </c>
      <c r="AN19" s="77">
        <v>211049.46</v>
      </c>
      <c r="AO19" s="77">
        <v>251465.09</v>
      </c>
      <c r="AP19" s="77">
        <v>255808.56</v>
      </c>
      <c r="AQ19" s="80">
        <v>254756.17</v>
      </c>
      <c r="AR19" s="80">
        <v>254799.59</v>
      </c>
      <c r="AS19" s="80">
        <v>247989.73</v>
      </c>
      <c r="AT19" s="132">
        <v>258803.45</v>
      </c>
      <c r="AU19" s="132">
        <v>250039.3</v>
      </c>
    </row>
    <row r="20" spans="1:51" ht="15">
      <c r="A20" s="1" t="s">
        <v>47</v>
      </c>
      <c r="B20" s="5" t="s">
        <v>160</v>
      </c>
      <c r="C20" s="5" t="s">
        <v>160</v>
      </c>
      <c r="D20" s="5" t="s">
        <v>160</v>
      </c>
      <c r="E20" s="3" t="s">
        <v>49</v>
      </c>
      <c r="F20" s="3" t="s">
        <v>50</v>
      </c>
      <c r="G20" s="5" t="s">
        <v>161</v>
      </c>
      <c r="H20" s="6">
        <v>2497441</v>
      </c>
      <c r="I20" s="2" t="s">
        <v>72</v>
      </c>
      <c r="J20" s="2" t="s">
        <v>53</v>
      </c>
      <c r="K20" s="7">
        <v>45565</v>
      </c>
      <c r="L20" s="7" t="s">
        <v>136</v>
      </c>
      <c r="M20" s="3" t="s">
        <v>73</v>
      </c>
      <c r="N20" s="3" t="s">
        <v>56</v>
      </c>
      <c r="O20" s="112">
        <v>46487</v>
      </c>
      <c r="P20" s="112">
        <v>46503</v>
      </c>
      <c r="Q20" s="112" t="s">
        <v>57</v>
      </c>
      <c r="R20" s="3" t="str">
        <f ca="1"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IPCA+6%</v>
      </c>
      <c r="S20" s="3" t="s">
        <v>59</v>
      </c>
      <c r="T20" s="3" t="s">
        <v>59</v>
      </c>
      <c r="U20" s="3" t="s">
        <v>58</v>
      </c>
      <c r="V20" s="130" t="s">
        <v>162</v>
      </c>
      <c r="W20" s="3" t="s">
        <v>58</v>
      </c>
      <c r="X20" s="3" t="s">
        <v>59</v>
      </c>
      <c r="Y20" s="3" t="s">
        <v>130</v>
      </c>
      <c r="Z20" s="114" t="s">
        <v>163</v>
      </c>
      <c r="AA20" s="78">
        <v>1907464.91</v>
      </c>
      <c r="AB20" s="78">
        <v>1909606.85</v>
      </c>
      <c r="AC20" s="78">
        <v>1767880.41</v>
      </c>
      <c r="AD20" s="78">
        <v>1734727.78</v>
      </c>
      <c r="AE20" s="78">
        <v>1248933.43</v>
      </c>
      <c r="AF20" s="78">
        <v>1565700.08</v>
      </c>
      <c r="AG20" s="78">
        <v>1668568.37</v>
      </c>
      <c r="AH20" s="78">
        <v>2007135.09</v>
      </c>
      <c r="AI20" s="78">
        <v>1540363.7</v>
      </c>
      <c r="AJ20" s="78">
        <v>1469564.55</v>
      </c>
      <c r="AK20" s="78">
        <v>1483373.17</v>
      </c>
      <c r="AL20" s="78">
        <v>1498345.73</v>
      </c>
      <c r="AM20" s="78">
        <v>1523815.83</v>
      </c>
      <c r="AN20" s="111">
        <v>1533228.96</v>
      </c>
      <c r="AO20" s="78">
        <v>1338958.69</v>
      </c>
      <c r="AP20" s="78">
        <v>1347187.16</v>
      </c>
      <c r="AQ20" s="78">
        <v>1137388.6576626</v>
      </c>
      <c r="AR20" s="79">
        <v>1078118.9099999999</v>
      </c>
      <c r="AS20" s="79">
        <v>1037671</v>
      </c>
      <c r="AT20" s="122">
        <v>1039967.204</v>
      </c>
      <c r="AU20" s="122">
        <v>1032490.74</v>
      </c>
      <c r="AW20" s="152"/>
      <c r="AX20" s="152"/>
      <c r="AY20" s="152"/>
    </row>
    <row r="21" spans="1:51" ht="15">
      <c r="A21" s="1" t="s">
        <v>47</v>
      </c>
      <c r="B21" s="5" t="s">
        <v>164</v>
      </c>
      <c r="C21" s="5" t="s">
        <v>164</v>
      </c>
      <c r="D21" s="5" t="s">
        <v>164</v>
      </c>
      <c r="E21" s="3" t="s">
        <v>49</v>
      </c>
      <c r="F21" s="3" t="s">
        <v>50</v>
      </c>
      <c r="G21" s="5" t="s">
        <v>165</v>
      </c>
      <c r="H21" s="6">
        <v>2729546</v>
      </c>
      <c r="I21" s="2" t="s">
        <v>95</v>
      </c>
      <c r="J21" s="2" t="s">
        <v>53</v>
      </c>
      <c r="K21" s="7">
        <v>46001</v>
      </c>
      <c r="L21" s="7" t="s">
        <v>54</v>
      </c>
      <c r="M21" s="3" t="s">
        <v>114</v>
      </c>
      <c r="N21" s="3" t="s">
        <v>56</v>
      </c>
      <c r="O21" s="112">
        <v>46718</v>
      </c>
      <c r="P21" s="112">
        <v>46712</v>
      </c>
      <c r="Q21" s="112" t="s">
        <v>67</v>
      </c>
      <c r="R21" s="3" t="str">
        <f ca="1"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IPCA+5%</v>
      </c>
      <c r="S21" s="3" t="s">
        <v>58</v>
      </c>
      <c r="T21" s="3" t="s">
        <v>58</v>
      </c>
      <c r="U21" s="3" t="s">
        <v>58</v>
      </c>
      <c r="V21" s="130"/>
      <c r="W21" s="3" t="s">
        <v>58</v>
      </c>
      <c r="X21" s="3" t="s">
        <v>58</v>
      </c>
      <c r="Y21" s="3"/>
      <c r="Z21" s="114" t="s">
        <v>166</v>
      </c>
      <c r="AA21" s="78">
        <v>900311.38</v>
      </c>
      <c r="AB21" s="78">
        <v>910266.93</v>
      </c>
      <c r="AC21" s="78">
        <v>927254.9</v>
      </c>
      <c r="AD21" s="78">
        <v>949670.15</v>
      </c>
      <c r="AE21" s="78">
        <v>954114.35</v>
      </c>
      <c r="AF21" s="78">
        <v>961257.49</v>
      </c>
      <c r="AG21" s="78">
        <v>960593.51</v>
      </c>
      <c r="AH21" s="78">
        <v>972543.57</v>
      </c>
      <c r="AI21" s="78">
        <v>989595.67</v>
      </c>
      <c r="AJ21" s="78">
        <v>994207.21</v>
      </c>
      <c r="AK21" s="78">
        <v>1003862.97</v>
      </c>
      <c r="AL21" s="78">
        <v>1019866.39</v>
      </c>
      <c r="AM21" s="78">
        <v>1034089.32</v>
      </c>
      <c r="AN21" s="111">
        <v>1195391.0900000001</v>
      </c>
      <c r="AO21" s="78">
        <v>1578221.39</v>
      </c>
      <c r="AP21" s="78">
        <v>1617757.12</v>
      </c>
      <c r="AQ21" s="78">
        <v>1630257.0221929101</v>
      </c>
      <c r="AR21" s="79">
        <v>1654714.92</v>
      </c>
      <c r="AS21" s="79">
        <v>1703653</v>
      </c>
      <c r="AT21" s="122">
        <v>1750764.524</v>
      </c>
      <c r="AU21" s="122">
        <v>1753655.05</v>
      </c>
      <c r="AW21" s="152"/>
      <c r="AX21" s="152"/>
      <c r="AY21" s="152"/>
    </row>
    <row r="22" spans="1:51">
      <c r="A22" s="1" t="s">
        <v>132</v>
      </c>
      <c r="B22" s="5" t="s">
        <v>160</v>
      </c>
      <c r="C22" s="5" t="s">
        <v>160</v>
      </c>
      <c r="D22" s="5" t="s">
        <v>160</v>
      </c>
      <c r="E22" s="3" t="s">
        <v>49</v>
      </c>
      <c r="F22" s="3" t="s">
        <v>50</v>
      </c>
      <c r="G22" s="5" t="s">
        <v>167</v>
      </c>
      <c r="H22" s="6">
        <v>2758096</v>
      </c>
      <c r="I22" s="2" t="s">
        <v>72</v>
      </c>
      <c r="J22" s="2" t="s">
        <v>53</v>
      </c>
      <c r="K22" s="7"/>
      <c r="L22" s="7" t="s">
        <v>136</v>
      </c>
      <c r="M22" s="3" t="s">
        <v>73</v>
      </c>
      <c r="N22" s="3" t="s">
        <v>56</v>
      </c>
      <c r="O22" s="112">
        <v>46679</v>
      </c>
      <c r="P22" s="112">
        <v>47586</v>
      </c>
      <c r="Q22" s="112" t="s">
        <v>57</v>
      </c>
      <c r="R22" s="3" t="str">
        <f ca="1"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IPCA+6%</v>
      </c>
      <c r="S22" s="3" t="s">
        <v>59</v>
      </c>
      <c r="T22" s="3" t="s">
        <v>59</v>
      </c>
      <c r="U22" s="3" t="s">
        <v>58</v>
      </c>
      <c r="V22" s="130" t="s">
        <v>162</v>
      </c>
      <c r="W22" s="3" t="s">
        <v>58</v>
      </c>
      <c r="X22" s="3" t="s">
        <v>59</v>
      </c>
      <c r="Y22" s="3" t="s">
        <v>130</v>
      </c>
      <c r="Z22" s="114" t="s">
        <v>163</v>
      </c>
      <c r="AA22" s="78">
        <v>207935.91</v>
      </c>
      <c r="AB22" s="78" t="s">
        <v>168</v>
      </c>
      <c r="AC22" s="78">
        <v>454005.04</v>
      </c>
      <c r="AD22" s="78">
        <v>561840.41</v>
      </c>
      <c r="AE22" s="78">
        <v>986973.09</v>
      </c>
      <c r="AF22" s="78">
        <v>1109182.8899999999</v>
      </c>
      <c r="AG22" s="78">
        <v>1105980.1599999999</v>
      </c>
      <c r="AH22" s="78">
        <v>1130914.8</v>
      </c>
      <c r="AI22" s="78">
        <v>1102199.8799999999</v>
      </c>
      <c r="AJ22" s="78">
        <v>1111747.75</v>
      </c>
      <c r="AK22" s="78">
        <v>908279.83</v>
      </c>
      <c r="AL22" s="78">
        <v>924832.94</v>
      </c>
      <c r="AM22" s="78">
        <v>958204.44000000006</v>
      </c>
      <c r="AN22" s="111">
        <v>970850.23</v>
      </c>
      <c r="AO22" s="78">
        <v>959444.02</v>
      </c>
      <c r="AP22" s="78">
        <v>964407.11</v>
      </c>
      <c r="AQ22" s="78">
        <v>951537.41000000015</v>
      </c>
      <c r="AR22" s="111">
        <v>957353.01</v>
      </c>
      <c r="AS22" s="111">
        <v>951402.08000000007</v>
      </c>
      <c r="AT22" s="122">
        <v>936165.79</v>
      </c>
      <c r="AU22" s="122">
        <v>963903.36</v>
      </c>
    </row>
    <row r="23" spans="1:51">
      <c r="A23" s="1" t="s">
        <v>132</v>
      </c>
      <c r="B23" s="5" t="s">
        <v>169</v>
      </c>
      <c r="C23" s="5" t="s">
        <v>169</v>
      </c>
      <c r="D23" s="5" t="s">
        <v>169</v>
      </c>
      <c r="E23" s="3" t="s">
        <v>49</v>
      </c>
      <c r="F23" s="3" t="s">
        <v>50</v>
      </c>
      <c r="G23" s="5" t="s">
        <v>170</v>
      </c>
      <c r="H23" s="6">
        <v>2912475</v>
      </c>
      <c r="I23" s="2" t="s">
        <v>95</v>
      </c>
      <c r="J23" s="2" t="s">
        <v>87</v>
      </c>
      <c r="K23" s="7"/>
      <c r="L23" s="7" t="s">
        <v>136</v>
      </c>
      <c r="M23" s="3" t="s">
        <v>114</v>
      </c>
      <c r="N23" s="3" t="s">
        <v>56</v>
      </c>
      <c r="O23" s="112">
        <v>46496</v>
      </c>
      <c r="P23" s="112">
        <v>46983</v>
      </c>
      <c r="Q23" s="112" t="s">
        <v>57</v>
      </c>
      <c r="R23" s="3" t="str">
        <f ca="1"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IPCA+5%</v>
      </c>
      <c r="S23" s="3" t="s">
        <v>58</v>
      </c>
      <c r="T23" s="3"/>
      <c r="U23" s="3"/>
      <c r="V23" s="130"/>
      <c r="W23" s="3"/>
      <c r="X23" s="3"/>
      <c r="Y23" s="3"/>
      <c r="Z23" s="114" t="s">
        <v>171</v>
      </c>
      <c r="AA23" s="78">
        <v>872641.94</v>
      </c>
      <c r="AB23" s="78">
        <v>877445.92</v>
      </c>
      <c r="AC23" s="78">
        <v>885331.73</v>
      </c>
      <c r="AD23" s="78">
        <v>941302.75</v>
      </c>
      <c r="AE23" s="78">
        <v>961365.85</v>
      </c>
      <c r="AF23" s="78">
        <v>1106904.6299999999</v>
      </c>
      <c r="AG23" s="78">
        <v>1137857.43</v>
      </c>
      <c r="AH23" s="78">
        <v>1175741.3999999999</v>
      </c>
      <c r="AI23" s="78">
        <v>1221944.76</v>
      </c>
      <c r="AJ23" s="78">
        <v>1246185.47</v>
      </c>
      <c r="AK23" s="78">
        <v>1272304.1299999999</v>
      </c>
      <c r="AL23" s="78">
        <v>1318876.26</v>
      </c>
      <c r="AM23" s="78">
        <v>1365187.72</v>
      </c>
      <c r="AN23" s="111">
        <v>1376606.17</v>
      </c>
      <c r="AO23" s="78">
        <v>1385723.3900000001</v>
      </c>
      <c r="AP23" s="78">
        <v>1396740.5999999999</v>
      </c>
      <c r="AQ23" s="78">
        <v>1424915.8</v>
      </c>
      <c r="AR23" s="78">
        <v>1430619.77</v>
      </c>
      <c r="AS23" s="78">
        <v>1444406.81</v>
      </c>
      <c r="AT23" s="122">
        <v>1451360.91</v>
      </c>
      <c r="AU23" s="122">
        <v>1462146.65</v>
      </c>
    </row>
    <row r="24" spans="1:51" ht="15">
      <c r="A24" s="1" t="s">
        <v>98</v>
      </c>
      <c r="B24" s="5" t="s">
        <v>172</v>
      </c>
      <c r="C24" s="5" t="s">
        <v>172</v>
      </c>
      <c r="D24" s="5" t="s">
        <v>172</v>
      </c>
      <c r="E24" s="3" t="s">
        <v>102</v>
      </c>
      <c r="F24" s="3" t="s">
        <v>50</v>
      </c>
      <c r="G24" s="5" t="s">
        <v>173</v>
      </c>
      <c r="H24" s="6">
        <v>63338577</v>
      </c>
      <c r="I24" s="2" t="s">
        <v>86</v>
      </c>
      <c r="J24" s="2" t="s">
        <v>87</v>
      </c>
      <c r="K24" s="7"/>
      <c r="L24" s="7" t="s">
        <v>54</v>
      </c>
      <c r="M24" s="3" t="s">
        <v>174</v>
      </c>
      <c r="N24" s="3" t="s">
        <v>66</v>
      </c>
      <c r="O24" s="112"/>
      <c r="P24" s="112"/>
      <c r="Q24" s="112" t="s">
        <v>67</v>
      </c>
      <c r="R24" s="3" t="str">
        <f ca="1"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IPCA+4%</v>
      </c>
      <c r="S24" s="3" t="s">
        <v>58</v>
      </c>
      <c r="T24" s="3"/>
      <c r="U24" s="3"/>
      <c r="V24" s="130"/>
      <c r="W24" s="3"/>
      <c r="X24" s="3"/>
      <c r="Y24" s="3"/>
      <c r="Z24" s="142" t="s">
        <v>175</v>
      </c>
      <c r="AA24" s="77">
        <v>0</v>
      </c>
      <c r="AB24" s="77">
        <v>0</v>
      </c>
      <c r="AC24" s="77">
        <v>0</v>
      </c>
      <c r="AD24" s="77">
        <v>0</v>
      </c>
      <c r="AE24" s="77">
        <v>0</v>
      </c>
      <c r="AF24" s="77">
        <v>0</v>
      </c>
      <c r="AG24" s="77">
        <v>0</v>
      </c>
      <c r="AH24" s="77">
        <v>0</v>
      </c>
      <c r="AI24" s="77">
        <v>0</v>
      </c>
      <c r="AJ24" s="77">
        <v>0</v>
      </c>
      <c r="AK24" s="77">
        <v>0</v>
      </c>
      <c r="AL24" s="77">
        <v>0</v>
      </c>
      <c r="AM24" s="77">
        <v>0</v>
      </c>
      <c r="AN24" s="77" t="s">
        <v>176</v>
      </c>
      <c r="AO24" s="77">
        <v>0</v>
      </c>
      <c r="AP24" s="77">
        <v>0</v>
      </c>
      <c r="AQ24" s="80">
        <v>0</v>
      </c>
      <c r="AR24" s="80">
        <v>0</v>
      </c>
      <c r="AS24" s="80">
        <v>0</v>
      </c>
      <c r="AT24" s="132">
        <v>0</v>
      </c>
      <c r="AU24" s="132">
        <v>0</v>
      </c>
      <c r="AW24" s="152"/>
      <c r="AX24" s="152"/>
      <c r="AY24" s="152"/>
    </row>
    <row r="25" spans="1:51" ht="15">
      <c r="A25" s="1" t="s">
        <v>47</v>
      </c>
      <c r="B25" s="5" t="s">
        <v>177</v>
      </c>
      <c r="C25" s="5" t="s">
        <v>177</v>
      </c>
      <c r="D25" s="5" t="s">
        <v>177</v>
      </c>
      <c r="E25" s="3" t="s">
        <v>49</v>
      </c>
      <c r="F25" s="3" t="s">
        <v>50</v>
      </c>
      <c r="G25" s="5" t="s">
        <v>178</v>
      </c>
      <c r="H25" s="6">
        <v>3004033</v>
      </c>
      <c r="I25" s="2" t="s">
        <v>120</v>
      </c>
      <c r="J25" s="2" t="s">
        <v>53</v>
      </c>
      <c r="K25" s="7">
        <v>45632</v>
      </c>
      <c r="L25" s="7" t="s">
        <v>54</v>
      </c>
      <c r="M25" s="3" t="s">
        <v>114</v>
      </c>
      <c r="N25" s="3" t="s">
        <v>66</v>
      </c>
      <c r="O25" s="112">
        <v>46544</v>
      </c>
      <c r="P25" s="112">
        <v>46741</v>
      </c>
      <c r="Q25" s="112" t="s">
        <v>57</v>
      </c>
      <c r="R25" s="3" t="str">
        <f ca="1"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IPCA+5%</v>
      </c>
      <c r="S25" s="3" t="s">
        <v>58</v>
      </c>
      <c r="T25" s="3" t="s">
        <v>58</v>
      </c>
      <c r="U25" s="3" t="s">
        <v>58</v>
      </c>
      <c r="V25" s="130" t="s">
        <v>179</v>
      </c>
      <c r="W25" s="3" t="s">
        <v>58</v>
      </c>
      <c r="X25" s="3" t="s">
        <v>59</v>
      </c>
      <c r="Y25" s="3" t="s">
        <v>107</v>
      </c>
      <c r="Z25" s="114" t="s">
        <v>180</v>
      </c>
      <c r="AA25" s="78">
        <v>1684682.79</v>
      </c>
      <c r="AB25" s="78">
        <v>1689665.67</v>
      </c>
      <c r="AC25" s="78">
        <v>1697970.07</v>
      </c>
      <c r="AD25" s="78">
        <v>1744809.69</v>
      </c>
      <c r="AE25" s="78">
        <v>1777623.35</v>
      </c>
      <c r="AF25" s="78">
        <v>1823966.72</v>
      </c>
      <c r="AG25" s="78">
        <v>1830617.39</v>
      </c>
      <c r="AH25" s="78">
        <v>1859687.27</v>
      </c>
      <c r="AI25" s="78">
        <v>1874912.49</v>
      </c>
      <c r="AJ25" s="78">
        <v>1938795.88</v>
      </c>
      <c r="AK25" s="78">
        <v>1984795.51</v>
      </c>
      <c r="AL25" s="78">
        <v>2012434.65</v>
      </c>
      <c r="AM25" s="78">
        <v>2087642.78</v>
      </c>
      <c r="AN25" s="111">
        <v>2086175.97</v>
      </c>
      <c r="AO25" s="78">
        <v>2066742.34</v>
      </c>
      <c r="AP25" s="78">
        <v>2113853.65</v>
      </c>
      <c r="AQ25" s="78">
        <v>2190237.68172816</v>
      </c>
      <c r="AR25" s="79">
        <v>2162979.87</v>
      </c>
      <c r="AS25" s="79">
        <v>2185834</v>
      </c>
      <c r="AT25" s="122">
        <v>2238605.6910000001</v>
      </c>
      <c r="AU25" s="122">
        <v>2269222.0099999998</v>
      </c>
      <c r="AW25" s="152"/>
      <c r="AX25" s="152"/>
      <c r="AY25" s="152"/>
    </row>
    <row r="26" spans="1:51">
      <c r="A26" s="1" t="s">
        <v>47</v>
      </c>
      <c r="B26" s="5" t="s">
        <v>181</v>
      </c>
      <c r="C26" s="5" t="s">
        <v>181</v>
      </c>
      <c r="D26" s="5" t="s">
        <v>181</v>
      </c>
      <c r="E26" s="3" t="s">
        <v>49</v>
      </c>
      <c r="F26" s="3" t="s">
        <v>50</v>
      </c>
      <c r="G26" s="5" t="s">
        <v>182</v>
      </c>
      <c r="H26" s="6">
        <v>3082235</v>
      </c>
      <c r="I26" s="2" t="s">
        <v>120</v>
      </c>
      <c r="J26" s="2" t="s">
        <v>53</v>
      </c>
      <c r="K26" s="7">
        <v>45595</v>
      </c>
      <c r="L26" s="7" t="s">
        <v>54</v>
      </c>
      <c r="M26" s="3" t="s">
        <v>114</v>
      </c>
      <c r="N26" s="3" t="s">
        <v>56</v>
      </c>
      <c r="O26" s="112">
        <v>46492</v>
      </c>
      <c r="P26" s="112">
        <v>46940</v>
      </c>
      <c r="Q26" s="112" t="s">
        <v>57</v>
      </c>
      <c r="R26" s="3" t="str">
        <f ca="1"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IPCA+5%</v>
      </c>
      <c r="S26" s="3" t="s">
        <v>58</v>
      </c>
      <c r="T26" s="3" t="s">
        <v>58</v>
      </c>
      <c r="U26" s="3" t="s">
        <v>58</v>
      </c>
      <c r="V26" s="156" t="s">
        <v>183</v>
      </c>
      <c r="W26" s="3" t="s">
        <v>58</v>
      </c>
      <c r="X26" s="3" t="s">
        <v>58</v>
      </c>
      <c r="Y26" s="3" t="s">
        <v>107</v>
      </c>
      <c r="Z26" s="114" t="s">
        <v>184</v>
      </c>
      <c r="AA26" s="78">
        <v>842859.53</v>
      </c>
      <c r="AB26" s="78">
        <v>821310.58</v>
      </c>
      <c r="AC26" s="78">
        <v>827859.33</v>
      </c>
      <c r="AD26" s="78">
        <v>834896.68</v>
      </c>
      <c r="AE26" s="78">
        <v>839153.8</v>
      </c>
      <c r="AF26" s="78">
        <v>838196.09</v>
      </c>
      <c r="AG26" s="78">
        <v>834752.35</v>
      </c>
      <c r="AH26" s="78">
        <v>847631.12</v>
      </c>
      <c r="AI26" s="78">
        <v>856337.09</v>
      </c>
      <c r="AJ26" s="78">
        <v>863470.66</v>
      </c>
      <c r="AK26" s="78">
        <v>886125.16</v>
      </c>
      <c r="AL26" s="78">
        <v>892471.32</v>
      </c>
      <c r="AM26" s="78">
        <v>904811.44</v>
      </c>
      <c r="AN26" s="111">
        <v>914312.18</v>
      </c>
      <c r="AO26" s="78">
        <v>907040.29</v>
      </c>
      <c r="AP26" s="78">
        <v>916034.78</v>
      </c>
      <c r="AQ26" s="78">
        <v>893089.05540009995</v>
      </c>
      <c r="AR26" s="79">
        <v>905436.55</v>
      </c>
      <c r="AS26" s="79">
        <v>912772.1</v>
      </c>
      <c r="AT26" s="122">
        <v>917994.11179999996</v>
      </c>
      <c r="AU26" s="122">
        <v>927063.89</v>
      </c>
    </row>
    <row r="27" spans="1:51">
      <c r="A27" s="1" t="s">
        <v>47</v>
      </c>
      <c r="B27" s="5" t="s">
        <v>185</v>
      </c>
      <c r="C27" s="5" t="s">
        <v>185</v>
      </c>
      <c r="D27" s="5" t="s">
        <v>185</v>
      </c>
      <c r="E27" s="3" t="s">
        <v>49</v>
      </c>
      <c r="F27" s="3" t="s">
        <v>50</v>
      </c>
      <c r="G27" s="5" t="s">
        <v>186</v>
      </c>
      <c r="H27" s="6">
        <v>3093727</v>
      </c>
      <c r="I27" s="2" t="s">
        <v>86</v>
      </c>
      <c r="J27" s="2" t="s">
        <v>53</v>
      </c>
      <c r="K27" s="7">
        <v>45756</v>
      </c>
      <c r="L27" s="7" t="s">
        <v>54</v>
      </c>
      <c r="M27" s="3" t="s">
        <v>114</v>
      </c>
      <c r="N27" s="3" t="s">
        <v>56</v>
      </c>
      <c r="O27" s="112">
        <v>46943</v>
      </c>
      <c r="P27" s="112">
        <v>46941</v>
      </c>
      <c r="Q27" s="112" t="s">
        <v>57</v>
      </c>
      <c r="R27" s="3" t="str">
        <f ca="1"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IPCA+5%</v>
      </c>
      <c r="S27" s="3" t="s">
        <v>59</v>
      </c>
      <c r="T27" s="3" t="s">
        <v>58</v>
      </c>
      <c r="U27" s="3" t="s">
        <v>58</v>
      </c>
      <c r="V27" s="130" t="s">
        <v>187</v>
      </c>
      <c r="W27" s="3" t="s">
        <v>58</v>
      </c>
      <c r="X27" s="3" t="s">
        <v>59</v>
      </c>
      <c r="Y27" s="3" t="s">
        <v>130</v>
      </c>
      <c r="Z27" s="114" t="s">
        <v>188</v>
      </c>
      <c r="AA27" s="78">
        <v>143278.47</v>
      </c>
      <c r="AB27" s="78">
        <v>143984.45000000001</v>
      </c>
      <c r="AC27" s="78">
        <v>145705.63</v>
      </c>
      <c r="AD27" s="78">
        <v>148621.74</v>
      </c>
      <c r="AE27" s="78">
        <v>150902.54</v>
      </c>
      <c r="AF27" s="78">
        <v>153116.51999999999</v>
      </c>
      <c r="AG27" s="78">
        <v>153537.76999999999</v>
      </c>
      <c r="AH27" s="78">
        <v>155832.47</v>
      </c>
      <c r="AI27" s="78">
        <v>259672.23</v>
      </c>
      <c r="AJ27" s="78">
        <v>262174.07</v>
      </c>
      <c r="AK27" s="78">
        <v>266257.09000000003</v>
      </c>
      <c r="AL27" s="78">
        <v>269419.5</v>
      </c>
      <c r="AM27" s="78">
        <v>290457.94</v>
      </c>
      <c r="AN27" s="111">
        <v>293616.42</v>
      </c>
      <c r="AO27" s="78">
        <v>309614.27</v>
      </c>
      <c r="AP27" s="78">
        <v>310850.21000000002</v>
      </c>
      <c r="AQ27" s="78">
        <v>330690.11716791999</v>
      </c>
      <c r="AR27" s="79">
        <v>353028.98</v>
      </c>
      <c r="AS27" s="79">
        <v>366202.3</v>
      </c>
      <c r="AT27" s="122">
        <v>396950.33630000002</v>
      </c>
      <c r="AU27" s="122">
        <v>410449.33</v>
      </c>
    </row>
    <row r="28" spans="1:51">
      <c r="A28" s="1" t="s">
        <v>47</v>
      </c>
      <c r="B28" s="5" t="s">
        <v>189</v>
      </c>
      <c r="C28" s="5" t="s">
        <v>190</v>
      </c>
      <c r="D28" s="5" t="s">
        <v>189</v>
      </c>
      <c r="E28" s="3" t="s">
        <v>49</v>
      </c>
      <c r="F28" s="3" t="s">
        <v>50</v>
      </c>
      <c r="G28" s="5" t="s">
        <v>191</v>
      </c>
      <c r="H28" s="6">
        <v>3101560</v>
      </c>
      <c r="I28" s="2" t="s">
        <v>72</v>
      </c>
      <c r="J28" s="2" t="s">
        <v>53</v>
      </c>
      <c r="K28" s="7">
        <v>45636</v>
      </c>
      <c r="L28" s="7" t="s">
        <v>54</v>
      </c>
      <c r="M28" s="3" t="s">
        <v>55</v>
      </c>
      <c r="N28" s="3" t="s">
        <v>66</v>
      </c>
      <c r="O28" s="112">
        <v>46468</v>
      </c>
      <c r="P28" s="112">
        <v>46444</v>
      </c>
      <c r="Q28" s="112" t="s">
        <v>57</v>
      </c>
      <c r="R28" s="3" t="str">
        <f ca="1"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IPCA+5%</v>
      </c>
      <c r="S28" s="3" t="s">
        <v>59</v>
      </c>
      <c r="T28" s="3" t="s">
        <v>58</v>
      </c>
      <c r="U28" s="3" t="s">
        <v>58</v>
      </c>
      <c r="V28" s="130" t="s">
        <v>192</v>
      </c>
      <c r="W28" s="3" t="s">
        <v>58</v>
      </c>
      <c r="X28" s="3" t="s">
        <v>59</v>
      </c>
      <c r="Y28" s="3" t="s">
        <v>61</v>
      </c>
      <c r="Z28" s="114" t="s">
        <v>193</v>
      </c>
      <c r="AA28" s="78">
        <v>394414.07</v>
      </c>
      <c r="AB28" s="78">
        <v>426505.04</v>
      </c>
      <c r="AC28" s="78">
        <v>419183.49</v>
      </c>
      <c r="AD28" s="78">
        <v>419188</v>
      </c>
      <c r="AE28" s="78">
        <v>428438.44</v>
      </c>
      <c r="AF28" s="78">
        <v>423238.12</v>
      </c>
      <c r="AG28" s="78">
        <v>428478.12</v>
      </c>
      <c r="AH28" s="78">
        <v>434764.59</v>
      </c>
      <c r="AI28" s="78">
        <v>444304.44</v>
      </c>
      <c r="AJ28" s="78">
        <v>445294.08000000002</v>
      </c>
      <c r="AK28" s="78">
        <v>438345.3</v>
      </c>
      <c r="AL28" s="78">
        <v>447317.77</v>
      </c>
      <c r="AM28" s="78">
        <v>449734.89</v>
      </c>
      <c r="AN28" s="111">
        <v>444257.61</v>
      </c>
      <c r="AO28" s="78">
        <v>472437.06</v>
      </c>
      <c r="AP28" s="78">
        <v>501168.68</v>
      </c>
      <c r="AQ28" s="78">
        <v>523152.15467895998</v>
      </c>
      <c r="AR28" s="79">
        <v>516136.61</v>
      </c>
      <c r="AS28" s="79">
        <v>546068.80000000005</v>
      </c>
      <c r="AT28" s="122">
        <v>556221.33160000003</v>
      </c>
      <c r="AU28" s="122">
        <v>554775.18000000005</v>
      </c>
    </row>
    <row r="29" spans="1:51" ht="15">
      <c r="A29" s="1" t="s">
        <v>98</v>
      </c>
      <c r="B29" s="5" t="s">
        <v>92</v>
      </c>
      <c r="C29" s="5" t="s">
        <v>92</v>
      </c>
      <c r="D29" s="5" t="s">
        <v>194</v>
      </c>
      <c r="E29" s="3" t="s">
        <v>102</v>
      </c>
      <c r="F29" s="3" t="s">
        <v>50</v>
      </c>
      <c r="G29" s="5" t="s">
        <v>195</v>
      </c>
      <c r="H29" s="6">
        <v>73800696</v>
      </c>
      <c r="I29" s="2" t="s">
        <v>95</v>
      </c>
      <c r="J29" s="2" t="s">
        <v>53</v>
      </c>
      <c r="K29" s="7"/>
      <c r="L29" s="7" t="s">
        <v>54</v>
      </c>
      <c r="M29" s="3" t="s">
        <v>73</v>
      </c>
      <c r="N29" s="3" t="s">
        <v>56</v>
      </c>
      <c r="O29" s="112"/>
      <c r="P29" s="112"/>
      <c r="Q29" s="112" t="s">
        <v>57</v>
      </c>
      <c r="R29" s="3" t="str">
        <f ca="1"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IPCA+6%</v>
      </c>
      <c r="S29" s="3" t="s">
        <v>59</v>
      </c>
      <c r="T29" s="3" t="s">
        <v>58</v>
      </c>
      <c r="U29" s="3" t="s">
        <v>58</v>
      </c>
      <c r="V29" s="130" t="s">
        <v>96</v>
      </c>
      <c r="W29" s="3" t="s">
        <v>58</v>
      </c>
      <c r="X29" s="3" t="s">
        <v>59</v>
      </c>
      <c r="Y29" s="3" t="s">
        <v>61</v>
      </c>
      <c r="Z29" s="114" t="s">
        <v>196</v>
      </c>
      <c r="AA29" s="77">
        <v>0</v>
      </c>
      <c r="AB29" s="77">
        <v>0</v>
      </c>
      <c r="AC29" s="77">
        <v>0</v>
      </c>
      <c r="AD29" s="77">
        <v>0</v>
      </c>
      <c r="AE29" s="77">
        <v>0</v>
      </c>
      <c r="AF29" s="77">
        <v>95422.43</v>
      </c>
      <c r="AG29" s="77">
        <v>754202.19</v>
      </c>
      <c r="AH29" s="77">
        <v>769390.24</v>
      </c>
      <c r="AI29" s="77">
        <v>782509.42</v>
      </c>
      <c r="AJ29" s="77">
        <v>796775.95</v>
      </c>
      <c r="AK29" s="77">
        <v>841130.93</v>
      </c>
      <c r="AL29" s="77">
        <v>803763.09</v>
      </c>
      <c r="AM29" s="77">
        <v>807290.53</v>
      </c>
      <c r="AN29" s="77">
        <v>831988.14</v>
      </c>
      <c r="AO29" s="77">
        <v>800646.57</v>
      </c>
      <c r="AP29" s="77">
        <v>824052.13</v>
      </c>
      <c r="AQ29" s="80">
        <v>830749.37</v>
      </c>
      <c r="AR29" s="80">
        <v>832823.3</v>
      </c>
      <c r="AS29" s="80">
        <v>824595.89</v>
      </c>
      <c r="AT29" s="132">
        <v>838070.72</v>
      </c>
      <c r="AU29" s="132">
        <v>807702.43</v>
      </c>
      <c r="AW29" s="152"/>
      <c r="AX29" s="152"/>
      <c r="AY29" s="152"/>
    </row>
    <row r="30" spans="1:51">
      <c r="A30" s="1" t="s">
        <v>98</v>
      </c>
      <c r="B30" s="5" t="s">
        <v>92</v>
      </c>
      <c r="C30" s="5" t="s">
        <v>92</v>
      </c>
      <c r="D30" s="5" t="s">
        <v>93</v>
      </c>
      <c r="E30" s="3" t="s">
        <v>49</v>
      </c>
      <c r="F30" s="3" t="s">
        <v>50</v>
      </c>
      <c r="G30" s="5" t="s">
        <v>195</v>
      </c>
      <c r="H30" s="6">
        <v>83075437</v>
      </c>
      <c r="I30" s="2" t="s">
        <v>95</v>
      </c>
      <c r="J30" s="2" t="s">
        <v>53</v>
      </c>
      <c r="K30" s="7"/>
      <c r="L30" s="7" t="s">
        <v>54</v>
      </c>
      <c r="M30" s="3" t="s">
        <v>73</v>
      </c>
      <c r="N30" s="3" t="s">
        <v>56</v>
      </c>
      <c r="O30" s="112"/>
      <c r="P30" s="112"/>
      <c r="Q30" s="112" t="s">
        <v>57</v>
      </c>
      <c r="R30" s="3" t="str">
        <f ca="1"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IPCA+6%</v>
      </c>
      <c r="S30" s="3" t="s">
        <v>59</v>
      </c>
      <c r="T30" s="3" t="s">
        <v>58</v>
      </c>
      <c r="U30" s="3" t="s">
        <v>58</v>
      </c>
      <c r="V30" s="130" t="s">
        <v>96</v>
      </c>
      <c r="W30" s="3" t="s">
        <v>58</v>
      </c>
      <c r="X30" s="3" t="s">
        <v>59</v>
      </c>
      <c r="Y30" s="3" t="s">
        <v>61</v>
      </c>
      <c r="Z30" s="114" t="s">
        <v>196</v>
      </c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80">
        <v>0</v>
      </c>
      <c r="AR30" s="80">
        <v>0</v>
      </c>
      <c r="AS30" s="80">
        <v>0</v>
      </c>
      <c r="AT30" s="132">
        <v>0</v>
      </c>
      <c r="AU30" s="132">
        <v>0</v>
      </c>
    </row>
    <row r="31" spans="1:51">
      <c r="A31" s="1" t="s">
        <v>47</v>
      </c>
      <c r="B31" s="5" t="s">
        <v>197</v>
      </c>
      <c r="C31" s="5" t="s">
        <v>190</v>
      </c>
      <c r="D31" s="5" t="s">
        <v>197</v>
      </c>
      <c r="E31" s="3" t="s">
        <v>49</v>
      </c>
      <c r="F31" s="3" t="s">
        <v>50</v>
      </c>
      <c r="G31" s="5" t="s">
        <v>198</v>
      </c>
      <c r="H31" s="6">
        <v>3133112</v>
      </c>
      <c r="I31" s="2" t="s">
        <v>72</v>
      </c>
      <c r="J31" s="2" t="s">
        <v>53</v>
      </c>
      <c r="K31" s="7">
        <v>45644</v>
      </c>
      <c r="L31" s="7" t="s">
        <v>54</v>
      </c>
      <c r="M31" s="3" t="s">
        <v>55</v>
      </c>
      <c r="N31" s="3" t="s">
        <v>56</v>
      </c>
      <c r="O31" s="112">
        <v>46522</v>
      </c>
      <c r="P31" s="112">
        <v>46528</v>
      </c>
      <c r="Q31" s="112" t="s">
        <v>57</v>
      </c>
      <c r="R31" s="3" t="str">
        <f ca="1"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IPCA+5%</v>
      </c>
      <c r="S31" s="3" t="s">
        <v>59</v>
      </c>
      <c r="T31" s="3" t="s">
        <v>59</v>
      </c>
      <c r="U31" s="3" t="s">
        <v>58</v>
      </c>
      <c r="V31" s="130" t="s">
        <v>199</v>
      </c>
      <c r="W31" s="3" t="s">
        <v>58</v>
      </c>
      <c r="X31" s="3" t="s">
        <v>59</v>
      </c>
      <c r="Y31" s="3" t="s">
        <v>61</v>
      </c>
      <c r="Z31" s="114" t="s">
        <v>200</v>
      </c>
      <c r="AA31" s="78">
        <v>1118603.27</v>
      </c>
      <c r="AB31" s="78">
        <v>1136137.33</v>
      </c>
      <c r="AC31" s="78">
        <v>1149432.05</v>
      </c>
      <c r="AD31" s="78">
        <v>1226341.68</v>
      </c>
      <c r="AE31" s="78">
        <v>1245521.28</v>
      </c>
      <c r="AF31" s="78">
        <v>1263737.3600000001</v>
      </c>
      <c r="AG31" s="78">
        <v>1283797.6599999999</v>
      </c>
      <c r="AH31" s="78">
        <v>1344571.74</v>
      </c>
      <c r="AI31" s="78">
        <v>1378881.4</v>
      </c>
      <c r="AJ31" s="78">
        <v>1418711.79</v>
      </c>
      <c r="AK31" s="78">
        <v>1448074.52</v>
      </c>
      <c r="AL31" s="78">
        <v>1499095.69</v>
      </c>
      <c r="AM31" s="78">
        <v>1562310.38</v>
      </c>
      <c r="AN31" s="111">
        <v>1597947.67</v>
      </c>
      <c r="AO31" s="78">
        <v>1926562.22</v>
      </c>
      <c r="AP31" s="78">
        <v>1952356.39</v>
      </c>
      <c r="AQ31" s="78">
        <v>1986392.6858847528</v>
      </c>
      <c r="AR31" s="79">
        <v>1963216.08</v>
      </c>
      <c r="AS31" s="79">
        <v>1988633</v>
      </c>
      <c r="AT31" s="122">
        <v>2031043.1780000001</v>
      </c>
      <c r="AU31" s="122">
        <v>2060067.88</v>
      </c>
    </row>
    <row r="32" spans="1:51">
      <c r="A32" s="1" t="s">
        <v>47</v>
      </c>
      <c r="B32" s="5" t="s">
        <v>201</v>
      </c>
      <c r="C32" s="158" t="s">
        <v>202</v>
      </c>
      <c r="D32" s="5" t="s">
        <v>201</v>
      </c>
      <c r="E32" s="3" t="s">
        <v>49</v>
      </c>
      <c r="F32" s="3" t="s">
        <v>50</v>
      </c>
      <c r="G32" s="5" t="s">
        <v>203</v>
      </c>
      <c r="H32" s="6">
        <v>3208501</v>
      </c>
      <c r="I32" s="2" t="s">
        <v>204</v>
      </c>
      <c r="J32" s="2" t="s">
        <v>53</v>
      </c>
      <c r="K32" s="7">
        <v>45588</v>
      </c>
      <c r="L32" s="7" t="s">
        <v>136</v>
      </c>
      <c r="M32" s="3" t="s">
        <v>114</v>
      </c>
      <c r="N32" s="3" t="s">
        <v>56</v>
      </c>
      <c r="O32" s="112">
        <v>46711</v>
      </c>
      <c r="P32" s="112">
        <v>46565</v>
      </c>
      <c r="Q32" s="112" t="s">
        <v>57</v>
      </c>
      <c r="R32" s="3" t="str">
        <f ca="1"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IPCA+5%</v>
      </c>
      <c r="S32" s="3" t="s">
        <v>59</v>
      </c>
      <c r="T32" s="3" t="s">
        <v>58</v>
      </c>
      <c r="U32" s="3" t="s">
        <v>58</v>
      </c>
      <c r="V32" s="130"/>
      <c r="W32" s="3" t="s">
        <v>58</v>
      </c>
      <c r="X32" s="3" t="s">
        <v>58</v>
      </c>
      <c r="Y32" s="3" t="s">
        <v>61</v>
      </c>
      <c r="Z32" s="114" t="s">
        <v>205</v>
      </c>
      <c r="AA32" s="78">
        <v>3240798.7</v>
      </c>
      <c r="AB32" s="78">
        <v>3241700.58</v>
      </c>
      <c r="AC32" s="78">
        <v>3224425.48</v>
      </c>
      <c r="AD32" s="78">
        <v>3188019.02</v>
      </c>
      <c r="AE32" s="78">
        <v>3262819.81</v>
      </c>
      <c r="AF32" s="78">
        <v>3309729.24</v>
      </c>
      <c r="AG32" s="78">
        <v>3311179.75</v>
      </c>
      <c r="AH32" s="78">
        <v>3351984.65</v>
      </c>
      <c r="AI32" s="78">
        <v>3348717.78</v>
      </c>
      <c r="AJ32" s="78">
        <v>3396619.91</v>
      </c>
      <c r="AK32" s="78">
        <v>3411034.1</v>
      </c>
      <c r="AL32" s="78">
        <v>3452437.08</v>
      </c>
      <c r="AM32" s="78">
        <v>3496941.75</v>
      </c>
      <c r="AN32" s="111">
        <v>3509421.95</v>
      </c>
      <c r="AO32" s="78">
        <v>3449423.6</v>
      </c>
      <c r="AP32" s="78">
        <v>3506336.43</v>
      </c>
      <c r="AQ32" s="78">
        <v>3490783.4142735</v>
      </c>
      <c r="AR32" s="79">
        <v>2965547.6</v>
      </c>
      <c r="AS32" s="79">
        <v>2508510</v>
      </c>
      <c r="AT32" s="122">
        <v>2506792.3289999999</v>
      </c>
      <c r="AU32" s="122">
        <v>2507262.7799999998</v>
      </c>
    </row>
    <row r="33" spans="1:51" ht="15">
      <c r="A33" s="1" t="s">
        <v>47</v>
      </c>
      <c r="B33" s="5" t="s">
        <v>206</v>
      </c>
      <c r="C33" s="5" t="s">
        <v>206</v>
      </c>
      <c r="D33" s="5" t="s">
        <v>207</v>
      </c>
      <c r="E33" s="3" t="s">
        <v>49</v>
      </c>
      <c r="F33" s="3" t="s">
        <v>50</v>
      </c>
      <c r="G33" s="5" t="s">
        <v>208</v>
      </c>
      <c r="H33" s="6">
        <v>3246094</v>
      </c>
      <c r="I33" s="2" t="s">
        <v>120</v>
      </c>
      <c r="J33" s="2" t="s">
        <v>53</v>
      </c>
      <c r="K33" s="7">
        <v>45709</v>
      </c>
      <c r="L33" s="7" t="s">
        <v>54</v>
      </c>
      <c r="M33" s="3" t="s">
        <v>114</v>
      </c>
      <c r="N33" s="3" t="s">
        <v>66</v>
      </c>
      <c r="O33" s="112">
        <v>46556</v>
      </c>
      <c r="P33" s="112">
        <v>47141</v>
      </c>
      <c r="Q33" s="112" t="s">
        <v>57</v>
      </c>
      <c r="R33" s="3" t="str">
        <f ca="1"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IPCA+5%</v>
      </c>
      <c r="S33" s="3" t="s">
        <v>58</v>
      </c>
      <c r="T33" s="3" t="s">
        <v>58</v>
      </c>
      <c r="U33" s="3" t="s">
        <v>58</v>
      </c>
      <c r="V33" s="130"/>
      <c r="W33" s="3" t="s">
        <v>58</v>
      </c>
      <c r="X33" s="3" t="s">
        <v>58</v>
      </c>
      <c r="Y33" s="3" t="s">
        <v>107</v>
      </c>
      <c r="Z33" s="114" t="s">
        <v>209</v>
      </c>
      <c r="AA33" s="78">
        <v>783044.98</v>
      </c>
      <c r="AB33" s="78">
        <v>808862.46</v>
      </c>
      <c r="AC33" s="78">
        <v>816716.01</v>
      </c>
      <c r="AD33" s="78">
        <v>830399.74</v>
      </c>
      <c r="AE33" s="78">
        <v>903136.85</v>
      </c>
      <c r="AF33" s="78">
        <v>914233.09</v>
      </c>
      <c r="AG33" s="78">
        <v>930981.93</v>
      </c>
      <c r="AH33" s="78">
        <v>956421.09</v>
      </c>
      <c r="AI33" s="78">
        <v>967089.61</v>
      </c>
      <c r="AJ33" s="78">
        <v>989736.82</v>
      </c>
      <c r="AK33" s="78">
        <v>1014779.88</v>
      </c>
      <c r="AL33" s="78">
        <v>1044223.99</v>
      </c>
      <c r="AM33" s="78">
        <v>1071102.3600000001</v>
      </c>
      <c r="AN33" s="111">
        <v>1083749.26</v>
      </c>
      <c r="AO33" s="78">
        <v>1088663.76</v>
      </c>
      <c r="AP33" s="78">
        <v>1104854.46</v>
      </c>
      <c r="AQ33" s="78">
        <v>1115960.69263579</v>
      </c>
      <c r="AR33" s="79">
        <v>1119156.32</v>
      </c>
      <c r="AS33" s="79">
        <v>1130466</v>
      </c>
      <c r="AT33" s="122">
        <v>1159478.8330000001</v>
      </c>
      <c r="AU33" s="122">
        <v>1162696.8799999999</v>
      </c>
      <c r="AW33" s="152"/>
      <c r="AX33" s="152"/>
      <c r="AY33" s="152"/>
    </row>
    <row r="34" spans="1:51">
      <c r="A34" s="1" t="s">
        <v>98</v>
      </c>
      <c r="B34" s="5" t="s">
        <v>210</v>
      </c>
      <c r="C34" s="5" t="s">
        <v>210</v>
      </c>
      <c r="D34" s="5" t="s">
        <v>211</v>
      </c>
      <c r="E34" s="3" t="s">
        <v>49</v>
      </c>
      <c r="F34" s="3" t="s">
        <v>212</v>
      </c>
      <c r="G34" s="5" t="s">
        <v>213</v>
      </c>
      <c r="H34" s="6" t="s">
        <v>214</v>
      </c>
      <c r="I34" s="2" t="s">
        <v>72</v>
      </c>
      <c r="J34" s="2" t="s">
        <v>53</v>
      </c>
      <c r="K34" s="7"/>
      <c r="L34" s="7" t="s">
        <v>54</v>
      </c>
      <c r="M34" s="3" t="s">
        <v>215</v>
      </c>
      <c r="N34" s="3" t="s">
        <v>56</v>
      </c>
      <c r="O34" s="112"/>
      <c r="P34" s="112"/>
      <c r="Q34" s="112" t="s">
        <v>57</v>
      </c>
      <c r="R34" s="3" t="str">
        <f ca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59</v>
      </c>
      <c r="T34" s="3" t="s">
        <v>59</v>
      </c>
      <c r="U34" s="3" t="s">
        <v>59</v>
      </c>
      <c r="V34" s="130" t="s">
        <v>216</v>
      </c>
      <c r="W34" s="3" t="s">
        <v>58</v>
      </c>
      <c r="X34" s="3" t="s">
        <v>59</v>
      </c>
      <c r="Y34" s="3" t="s">
        <v>130</v>
      </c>
      <c r="Z34" s="114" t="s">
        <v>217</v>
      </c>
      <c r="AA34" s="77">
        <v>0</v>
      </c>
      <c r="AB34" s="77">
        <v>67026.210000000006</v>
      </c>
      <c r="AC34" s="77">
        <v>100844.67</v>
      </c>
      <c r="AD34" s="77">
        <v>133437.76999999999</v>
      </c>
      <c r="AE34" s="77">
        <v>166620.04999999999</v>
      </c>
      <c r="AF34" s="77">
        <v>210531.43</v>
      </c>
      <c r="AG34" s="77">
        <v>246503.72</v>
      </c>
      <c r="AH34" s="77">
        <v>282933.57</v>
      </c>
      <c r="AI34" s="77">
        <v>329896.39</v>
      </c>
      <c r="AJ34" s="77">
        <v>611561.63</v>
      </c>
      <c r="AK34" s="77">
        <v>655510.67000000004</v>
      </c>
      <c r="AL34" s="77">
        <v>679727.43</v>
      </c>
      <c r="AM34" s="77">
        <v>715112.31</v>
      </c>
      <c r="AN34" s="77">
        <v>780721.74</v>
      </c>
      <c r="AO34" s="77">
        <v>777132.94</v>
      </c>
      <c r="AP34" s="77">
        <v>824273.49</v>
      </c>
      <c r="AQ34" s="80">
        <v>863537.41</v>
      </c>
      <c r="AR34" s="80">
        <v>911706.93</v>
      </c>
      <c r="AS34" s="80">
        <v>921665.47</v>
      </c>
      <c r="AT34" s="132">
        <v>964941.33</v>
      </c>
      <c r="AU34" s="132">
        <v>945407.83</v>
      </c>
    </row>
    <row r="35" spans="1:51">
      <c r="A35" s="1" t="s">
        <v>47</v>
      </c>
      <c r="B35" s="5" t="s">
        <v>218</v>
      </c>
      <c r="C35" s="5" t="s">
        <v>219</v>
      </c>
      <c r="D35" s="5" t="s">
        <v>218</v>
      </c>
      <c r="E35" s="3" t="s">
        <v>49</v>
      </c>
      <c r="F35" s="3" t="s">
        <v>212</v>
      </c>
      <c r="G35" s="5" t="s">
        <v>220</v>
      </c>
      <c r="H35" s="6">
        <v>3371553</v>
      </c>
      <c r="I35" s="2" t="s">
        <v>72</v>
      </c>
      <c r="J35" s="2" t="s">
        <v>53</v>
      </c>
      <c r="K35" s="7">
        <v>45812</v>
      </c>
      <c r="L35" s="7" t="s">
        <v>136</v>
      </c>
      <c r="M35" s="3" t="s">
        <v>215</v>
      </c>
      <c r="N35" s="3" t="s">
        <v>56</v>
      </c>
      <c r="O35" s="112">
        <v>46551</v>
      </c>
      <c r="P35" s="112">
        <v>46875</v>
      </c>
      <c r="Q35" s="112" t="s">
        <v>221</v>
      </c>
      <c r="R35" s="3" t="str">
        <f ca="1"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IPCA+4%</v>
      </c>
      <c r="S35" s="3" t="s">
        <v>59</v>
      </c>
      <c r="T35" s="3" t="s">
        <v>58</v>
      </c>
      <c r="U35" s="3" t="s">
        <v>58</v>
      </c>
      <c r="V35" s="130" t="s">
        <v>222</v>
      </c>
      <c r="W35" s="3" t="s">
        <v>58</v>
      </c>
      <c r="X35" s="3" t="s">
        <v>58</v>
      </c>
      <c r="Y35" s="3" t="s">
        <v>61</v>
      </c>
      <c r="Z35" s="114" t="s">
        <v>223</v>
      </c>
      <c r="AA35" s="78">
        <v>1252379.1499999999</v>
      </c>
      <c r="AB35" s="78">
        <v>1365242.27</v>
      </c>
      <c r="AC35" s="78">
        <v>1524889.97</v>
      </c>
      <c r="AD35" s="78">
        <v>1804649.87</v>
      </c>
      <c r="AE35" s="78">
        <v>1842628.05</v>
      </c>
      <c r="AF35" s="78">
        <v>1962879.33</v>
      </c>
      <c r="AG35" s="78">
        <v>1907840.69</v>
      </c>
      <c r="AH35" s="78">
        <v>2180412.9</v>
      </c>
      <c r="AI35" s="78">
        <v>2283791.92</v>
      </c>
      <c r="AJ35" s="78">
        <v>2335865.21</v>
      </c>
      <c r="AK35" s="78">
        <v>2474273.92</v>
      </c>
      <c r="AL35" s="78">
        <v>2505769.54</v>
      </c>
      <c r="AM35" s="78">
        <v>4777319.74</v>
      </c>
      <c r="AN35" s="111">
        <v>6991573.0800000001</v>
      </c>
      <c r="AO35" s="78">
        <v>6843841.9800000004</v>
      </c>
      <c r="AP35" s="78">
        <v>6917503.8499999996</v>
      </c>
      <c r="AQ35" s="78">
        <v>6803520.8099999996</v>
      </c>
      <c r="AR35" s="79">
        <v>4995401.3600000003</v>
      </c>
      <c r="AS35" s="79">
        <v>5124169</v>
      </c>
      <c r="AT35" s="122">
        <v>5976380.9500000002</v>
      </c>
      <c r="AU35" s="122">
        <v>2651873.5499999998</v>
      </c>
    </row>
    <row r="36" spans="1:51">
      <c r="A36" s="1" t="s">
        <v>47</v>
      </c>
      <c r="B36" s="5" t="s">
        <v>224</v>
      </c>
      <c r="C36" s="5" t="s">
        <v>219</v>
      </c>
      <c r="D36" s="5" t="s">
        <v>224</v>
      </c>
      <c r="E36" s="3" t="s">
        <v>49</v>
      </c>
      <c r="F36" s="3" t="s">
        <v>212</v>
      </c>
      <c r="G36" s="5" t="s">
        <v>225</v>
      </c>
      <c r="H36" s="6">
        <v>3588879</v>
      </c>
      <c r="I36" s="2" t="s">
        <v>72</v>
      </c>
      <c r="J36" s="2" t="s">
        <v>53</v>
      </c>
      <c r="K36" s="7">
        <v>46003</v>
      </c>
      <c r="L36" s="7" t="s">
        <v>54</v>
      </c>
      <c r="M36" s="3" t="s">
        <v>55</v>
      </c>
      <c r="N36" s="3" t="s">
        <v>56</v>
      </c>
      <c r="O36" s="112">
        <v>46727</v>
      </c>
      <c r="P36" s="112">
        <v>46727</v>
      </c>
      <c r="Q36" s="112" t="s">
        <v>226</v>
      </c>
      <c r="R36" s="3" t="str">
        <f ca="1"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58</v>
      </c>
      <c r="T36" s="3" t="s">
        <v>58</v>
      </c>
      <c r="U36" s="3" t="s">
        <v>59</v>
      </c>
      <c r="V36" s="130"/>
      <c r="W36" s="3" t="s">
        <v>58</v>
      </c>
      <c r="X36" s="3" t="s">
        <v>58</v>
      </c>
      <c r="Y36" s="3" t="s">
        <v>61</v>
      </c>
      <c r="Z36" s="114" t="s">
        <v>227</v>
      </c>
      <c r="AA36" s="78">
        <v>7867.81</v>
      </c>
      <c r="AB36" s="78">
        <v>7795.96</v>
      </c>
      <c r="AC36" s="78">
        <v>8086.82</v>
      </c>
      <c r="AD36" s="78">
        <v>8270.4500000000007</v>
      </c>
      <c r="AE36" s="78">
        <v>7412.81</v>
      </c>
      <c r="AF36" s="78">
        <v>12387.84</v>
      </c>
      <c r="AG36" s="78">
        <v>11340.78</v>
      </c>
      <c r="AH36" s="78">
        <v>12175.47</v>
      </c>
      <c r="AI36" s="78">
        <v>12508.58</v>
      </c>
      <c r="AJ36" s="78">
        <v>12473.61</v>
      </c>
      <c r="AK36" s="78">
        <v>12736.14</v>
      </c>
      <c r="AL36" s="78">
        <v>12575.69</v>
      </c>
      <c r="AM36" s="78">
        <v>13951.34</v>
      </c>
      <c r="AN36" s="111">
        <v>14848.66</v>
      </c>
      <c r="AO36" s="78">
        <v>613429.65</v>
      </c>
      <c r="AP36" s="78">
        <v>820044.73</v>
      </c>
      <c r="AQ36" s="78">
        <v>814920.59175200004</v>
      </c>
      <c r="AR36" s="79">
        <v>1307385.48</v>
      </c>
      <c r="AS36" s="79">
        <v>1312239</v>
      </c>
      <c r="AT36" s="122">
        <v>1309404.3570000001</v>
      </c>
      <c r="AU36" s="122">
        <v>1306157.21</v>
      </c>
    </row>
    <row r="37" spans="1:51">
      <c r="A37" s="1" t="s">
        <v>132</v>
      </c>
      <c r="B37" s="5" t="s">
        <v>92</v>
      </c>
      <c r="C37" s="5" t="s">
        <v>92</v>
      </c>
      <c r="D37" s="5" t="s">
        <v>228</v>
      </c>
      <c r="E37" s="3" t="s">
        <v>49</v>
      </c>
      <c r="F37" s="3" t="s">
        <v>50</v>
      </c>
      <c r="G37" s="5" t="s">
        <v>229</v>
      </c>
      <c r="H37" s="6">
        <v>3630513</v>
      </c>
      <c r="I37" s="2" t="s">
        <v>95</v>
      </c>
      <c r="J37" s="2" t="s">
        <v>53</v>
      </c>
      <c r="K37" s="7"/>
      <c r="L37" s="7" t="s">
        <v>54</v>
      </c>
      <c r="M37" s="3" t="s">
        <v>73</v>
      </c>
      <c r="N37" s="3" t="s">
        <v>56</v>
      </c>
      <c r="O37" s="112">
        <v>46858</v>
      </c>
      <c r="P37" s="112">
        <v>47098</v>
      </c>
      <c r="Q37" s="112" t="s">
        <v>57</v>
      </c>
      <c r="R37" s="3" t="str">
        <f ca="1"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IPCA+6%</v>
      </c>
      <c r="S37" s="3" t="s">
        <v>59</v>
      </c>
      <c r="T37" s="3" t="s">
        <v>58</v>
      </c>
      <c r="U37" s="3" t="s">
        <v>58</v>
      </c>
      <c r="V37" s="130" t="s">
        <v>96</v>
      </c>
      <c r="W37" s="3" t="s">
        <v>58</v>
      </c>
      <c r="X37" s="3" t="s">
        <v>59</v>
      </c>
      <c r="Y37" s="3" t="s">
        <v>61</v>
      </c>
      <c r="Z37" s="114" t="s">
        <v>230</v>
      </c>
      <c r="AA37" s="78">
        <v>878446.54</v>
      </c>
      <c r="AB37" s="78">
        <v>940545.61</v>
      </c>
      <c r="AC37" s="78">
        <v>954756.57</v>
      </c>
      <c r="AD37" s="78">
        <v>976844.32</v>
      </c>
      <c r="AE37" s="78">
        <v>988431.48</v>
      </c>
      <c r="AF37" s="78">
        <v>1066746.31</v>
      </c>
      <c r="AG37" s="78">
        <v>1099155.22</v>
      </c>
      <c r="AH37" s="78">
        <v>1118378.19</v>
      </c>
      <c r="AI37" s="78">
        <v>1140502.75</v>
      </c>
      <c r="AJ37" s="78">
        <v>1153113.67</v>
      </c>
      <c r="AK37" s="78" t="s">
        <v>231</v>
      </c>
      <c r="AL37" s="78">
        <v>1261269.67</v>
      </c>
      <c r="AM37" s="78">
        <v>1232273.3200000003</v>
      </c>
      <c r="AN37" s="111">
        <v>1251767.1200000001</v>
      </c>
      <c r="AO37" s="78">
        <v>1245558.58</v>
      </c>
      <c r="AP37" s="78">
        <v>1686853.94</v>
      </c>
      <c r="AQ37" s="78">
        <v>1681139.04</v>
      </c>
      <c r="AR37" s="78">
        <v>1656321.8000000003</v>
      </c>
      <c r="AS37" s="78">
        <v>1659678.7299999997</v>
      </c>
      <c r="AT37" s="122">
        <v>1713286.07</v>
      </c>
      <c r="AU37" s="122">
        <v>1728074.58</v>
      </c>
    </row>
    <row r="38" spans="1:51">
      <c r="A38" s="1" t="s">
        <v>98</v>
      </c>
      <c r="B38" s="5" t="s">
        <v>232</v>
      </c>
      <c r="C38" s="5" t="s">
        <v>232</v>
      </c>
      <c r="D38" s="5" t="s">
        <v>233</v>
      </c>
      <c r="E38" s="3" t="s">
        <v>49</v>
      </c>
      <c r="F38" s="3" t="s">
        <v>50</v>
      </c>
      <c r="G38" s="5" t="s">
        <v>234</v>
      </c>
      <c r="H38" s="6">
        <v>51121087</v>
      </c>
      <c r="I38" s="2" t="s">
        <v>95</v>
      </c>
      <c r="J38" s="2" t="s">
        <v>53</v>
      </c>
      <c r="K38" s="7"/>
      <c r="L38" s="7" t="s">
        <v>54</v>
      </c>
      <c r="M38" s="3" t="s">
        <v>114</v>
      </c>
      <c r="N38" s="3" t="s">
        <v>56</v>
      </c>
      <c r="O38" s="112"/>
      <c r="P38" s="112"/>
      <c r="Q38" s="112" t="s">
        <v>57</v>
      </c>
      <c r="R38" s="3" t="str">
        <f ca="1"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IPCA+5%</v>
      </c>
      <c r="S38" s="3" t="s">
        <v>59</v>
      </c>
      <c r="T38" s="3"/>
      <c r="U38" s="3"/>
      <c r="V38" s="130"/>
      <c r="W38" s="3"/>
      <c r="X38" s="3"/>
      <c r="Y38" s="3"/>
      <c r="Z38" s="114" t="s">
        <v>235</v>
      </c>
      <c r="AA38" s="77">
        <v>119621.46</v>
      </c>
      <c r="AB38" s="77">
        <v>119983.61</v>
      </c>
      <c r="AC38" s="77">
        <v>116200.76</v>
      </c>
      <c r="AD38" s="77">
        <v>113751.85</v>
      </c>
      <c r="AE38" s="77">
        <v>117548.54</v>
      </c>
      <c r="AF38" s="77">
        <v>121893.67</v>
      </c>
      <c r="AG38" s="77">
        <v>123183.64</v>
      </c>
      <c r="AH38" s="77">
        <v>127623.71</v>
      </c>
      <c r="AI38" s="77">
        <v>130889.16</v>
      </c>
      <c r="AJ38" s="77">
        <v>131736.65</v>
      </c>
      <c r="AK38" s="77">
        <v>132755.04</v>
      </c>
      <c r="AL38" s="77">
        <v>131869.19</v>
      </c>
      <c r="AM38" s="77">
        <v>135832.70000000001</v>
      </c>
      <c r="AN38" s="77">
        <v>136911.45000000001</v>
      </c>
      <c r="AO38" s="77">
        <v>130689.63</v>
      </c>
      <c r="AP38" s="77">
        <v>139757.76000000001</v>
      </c>
      <c r="AQ38" s="80">
        <v>143086.76999999999</v>
      </c>
      <c r="AR38" s="80">
        <v>143523.04</v>
      </c>
      <c r="AS38" s="80">
        <v>144088.53</v>
      </c>
      <c r="AT38" s="132">
        <v>145946.56</v>
      </c>
      <c r="AU38" s="132">
        <v>142806.89000000001</v>
      </c>
    </row>
    <row r="39" spans="1:51">
      <c r="A39" s="1" t="s">
        <v>47</v>
      </c>
      <c r="B39" s="5" t="s">
        <v>236</v>
      </c>
      <c r="C39" s="5" t="s">
        <v>236</v>
      </c>
      <c r="D39" s="5" t="s">
        <v>236</v>
      </c>
      <c r="E39" s="3" t="s">
        <v>49</v>
      </c>
      <c r="F39" s="3" t="s">
        <v>50</v>
      </c>
      <c r="G39" s="5" t="s">
        <v>237</v>
      </c>
      <c r="H39" s="6">
        <v>3686769</v>
      </c>
      <c r="I39" s="2" t="s">
        <v>72</v>
      </c>
      <c r="J39" s="2" t="s">
        <v>53</v>
      </c>
      <c r="K39" s="7">
        <v>46084</v>
      </c>
      <c r="L39" s="7" t="s">
        <v>54</v>
      </c>
      <c r="M39" s="3" t="s">
        <v>238</v>
      </c>
      <c r="N39" s="3" t="s">
        <v>56</v>
      </c>
      <c r="O39" s="112">
        <v>46815</v>
      </c>
      <c r="P39" s="112">
        <v>46564</v>
      </c>
      <c r="Q39" s="112" t="s">
        <v>67</v>
      </c>
      <c r="R39" s="3" t="str">
        <f ca="1"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IPCA+4%</v>
      </c>
      <c r="S39" s="3" t="s">
        <v>58</v>
      </c>
      <c r="T39" s="3" t="s">
        <v>58</v>
      </c>
      <c r="U39" s="3" t="s">
        <v>58</v>
      </c>
      <c r="V39" s="130"/>
      <c r="W39" s="3" t="s">
        <v>58</v>
      </c>
      <c r="X39" s="3" t="s">
        <v>58</v>
      </c>
      <c r="Y39" s="3" t="s">
        <v>107</v>
      </c>
      <c r="Z39" s="114" t="s">
        <v>239</v>
      </c>
      <c r="AA39" s="78">
        <v>16.89</v>
      </c>
      <c r="AB39" s="78">
        <v>16.89</v>
      </c>
      <c r="AC39" s="78">
        <v>16.89</v>
      </c>
      <c r="AD39" s="78">
        <v>16.89</v>
      </c>
      <c r="AE39" s="78">
        <v>16.89</v>
      </c>
      <c r="AF39" s="78">
        <v>16.89</v>
      </c>
      <c r="AG39" s="78">
        <v>16.89</v>
      </c>
      <c r="AH39" s="78">
        <v>16.89</v>
      </c>
      <c r="AI39" s="78">
        <v>16.89</v>
      </c>
      <c r="AJ39" s="78">
        <v>16.89</v>
      </c>
      <c r="AK39" s="78">
        <v>16.89</v>
      </c>
      <c r="AL39" s="78">
        <v>16.89</v>
      </c>
      <c r="AM39" s="78">
        <v>16.89</v>
      </c>
      <c r="AN39" s="111">
        <v>16.89</v>
      </c>
      <c r="AO39" s="78">
        <v>500016.89</v>
      </c>
      <c r="AP39" s="78">
        <v>502148.1</v>
      </c>
      <c r="AQ39" s="78">
        <v>502148.68754299998</v>
      </c>
      <c r="AR39" s="79">
        <v>506034.41</v>
      </c>
      <c r="AS39" s="79">
        <v>522803.5</v>
      </c>
      <c r="AT39" s="122">
        <v>524654.59230000002</v>
      </c>
      <c r="AU39" s="122">
        <v>526293.94999999995</v>
      </c>
    </row>
    <row r="40" spans="1:51">
      <c r="A40" s="1" t="s">
        <v>47</v>
      </c>
      <c r="B40" s="5" t="s">
        <v>240</v>
      </c>
      <c r="C40" s="5" t="s">
        <v>241</v>
      </c>
      <c r="D40" s="5" t="s">
        <v>240</v>
      </c>
      <c r="E40" s="3" t="s">
        <v>49</v>
      </c>
      <c r="F40" s="3" t="s">
        <v>50</v>
      </c>
      <c r="G40" s="5" t="s">
        <v>242</v>
      </c>
      <c r="H40" s="6">
        <v>3721574</v>
      </c>
      <c r="I40" s="2" t="s">
        <v>72</v>
      </c>
      <c r="J40" s="2" t="s">
        <v>53</v>
      </c>
      <c r="K40" s="7">
        <v>45601</v>
      </c>
      <c r="L40" s="7" t="s">
        <v>54</v>
      </c>
      <c r="M40" s="3" t="s">
        <v>114</v>
      </c>
      <c r="N40" s="3" t="s">
        <v>56</v>
      </c>
      <c r="O40" s="112">
        <v>46692</v>
      </c>
      <c r="P40" s="112">
        <v>46916</v>
      </c>
      <c r="Q40" s="112" t="s">
        <v>57</v>
      </c>
      <c r="R40" s="3" t="str">
        <f ca="1"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58</v>
      </c>
      <c r="T40" s="3" t="s">
        <v>59</v>
      </c>
      <c r="U40" s="3" t="s">
        <v>58</v>
      </c>
      <c r="V40" s="130" t="s">
        <v>243</v>
      </c>
      <c r="W40" s="3" t="s">
        <v>59</v>
      </c>
      <c r="X40" s="3" t="s">
        <v>59</v>
      </c>
      <c r="Y40" s="3" t="s">
        <v>107</v>
      </c>
      <c r="Z40" s="114" t="s">
        <v>244</v>
      </c>
      <c r="AA40" s="78">
        <v>737870.19</v>
      </c>
      <c r="AB40" s="78">
        <v>745621.41</v>
      </c>
      <c r="AC40" s="78">
        <v>757897.53</v>
      </c>
      <c r="AD40" s="78">
        <v>777794.81</v>
      </c>
      <c r="AE40" s="78">
        <v>897757.59</v>
      </c>
      <c r="AF40" s="78">
        <v>914478.1</v>
      </c>
      <c r="AG40" s="78">
        <v>929531.95</v>
      </c>
      <c r="AH40" s="78">
        <v>741588.82</v>
      </c>
      <c r="AI40" s="78">
        <v>760987.98</v>
      </c>
      <c r="AJ40" s="78">
        <v>935298.07</v>
      </c>
      <c r="AK40" s="78">
        <v>988859.97</v>
      </c>
      <c r="AL40" s="78">
        <v>1015455.02</v>
      </c>
      <c r="AM40" s="78">
        <v>1047184.55</v>
      </c>
      <c r="AN40" s="111">
        <v>1009002.6</v>
      </c>
      <c r="AO40" s="78">
        <v>1015674.71</v>
      </c>
      <c r="AP40" s="78">
        <v>1039592.15</v>
      </c>
      <c r="AQ40" s="78">
        <v>1146849.2465498</v>
      </c>
      <c r="AR40" s="79">
        <v>1174791.98</v>
      </c>
      <c r="AS40" s="79">
        <v>1201453</v>
      </c>
      <c r="AT40" s="122">
        <v>1296721.287</v>
      </c>
      <c r="AU40" s="122">
        <v>1368313.94</v>
      </c>
    </row>
    <row r="41" spans="1:51">
      <c r="A41" s="1" t="s">
        <v>47</v>
      </c>
      <c r="B41" s="5" t="s">
        <v>133</v>
      </c>
      <c r="C41" s="5" t="s">
        <v>133</v>
      </c>
      <c r="D41" s="5" t="s">
        <v>134</v>
      </c>
      <c r="E41" s="3" t="s">
        <v>49</v>
      </c>
      <c r="F41" s="3" t="s">
        <v>50</v>
      </c>
      <c r="G41" s="5" t="s">
        <v>245</v>
      </c>
      <c r="H41" s="6">
        <v>3997766</v>
      </c>
      <c r="I41" s="2" t="s">
        <v>95</v>
      </c>
      <c r="J41" s="2" t="s">
        <v>87</v>
      </c>
      <c r="K41" s="7">
        <v>45614</v>
      </c>
      <c r="L41" s="7" t="s">
        <v>54</v>
      </c>
      <c r="M41" s="3" t="s">
        <v>73</v>
      </c>
      <c r="N41" s="3" t="s">
        <v>56</v>
      </c>
      <c r="O41" s="112">
        <v>46549</v>
      </c>
      <c r="P41" s="112">
        <v>46460</v>
      </c>
      <c r="Q41" s="112" t="s">
        <v>57</v>
      </c>
      <c r="R41" s="3" t="str">
        <f ca="1"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IPCA+6%</v>
      </c>
      <c r="S41" s="3" t="s">
        <v>59</v>
      </c>
      <c r="T41" s="3" t="s">
        <v>59</v>
      </c>
      <c r="U41" s="3" t="s">
        <v>58</v>
      </c>
      <c r="V41" s="130" t="s">
        <v>137</v>
      </c>
      <c r="W41" s="3" t="s">
        <v>58</v>
      </c>
      <c r="X41" s="3" t="s">
        <v>59</v>
      </c>
      <c r="Y41" s="3" t="s">
        <v>116</v>
      </c>
      <c r="Z41" s="114" t="s">
        <v>246</v>
      </c>
      <c r="AA41" s="78">
        <v>521910.37</v>
      </c>
      <c r="AB41" s="78">
        <v>497063.72</v>
      </c>
      <c r="AC41" s="78">
        <v>522565.35</v>
      </c>
      <c r="AD41" s="78">
        <v>559302.18999999994</v>
      </c>
      <c r="AE41" s="78">
        <v>595359.5</v>
      </c>
      <c r="AF41" s="78">
        <v>655378.02</v>
      </c>
      <c r="AG41" s="78">
        <v>622289.24</v>
      </c>
      <c r="AH41" s="78">
        <v>644684.75</v>
      </c>
      <c r="AI41" s="78">
        <v>653651.07999999996</v>
      </c>
      <c r="AJ41" s="78">
        <v>664177.43000000005</v>
      </c>
      <c r="AK41" s="78">
        <v>703186.23</v>
      </c>
      <c r="AL41" s="78">
        <v>823126.93</v>
      </c>
      <c r="AM41" s="78">
        <v>884098.5</v>
      </c>
      <c r="AN41" s="111">
        <v>894637.73</v>
      </c>
      <c r="AO41" s="78">
        <v>870403.8</v>
      </c>
      <c r="AP41" s="78">
        <v>885349.47</v>
      </c>
      <c r="AQ41" s="78">
        <v>828044.34</v>
      </c>
      <c r="AR41" s="79">
        <v>827770.79</v>
      </c>
      <c r="AS41" s="79">
        <v>831479.4</v>
      </c>
      <c r="AT41" s="122">
        <v>908210.18</v>
      </c>
      <c r="AU41" s="122">
        <v>948065.17</v>
      </c>
    </row>
    <row r="42" spans="1:51">
      <c r="A42" s="1" t="s">
        <v>47</v>
      </c>
      <c r="B42" s="5" t="s">
        <v>247</v>
      </c>
      <c r="C42" s="5" t="s">
        <v>247</v>
      </c>
      <c r="D42" s="158" t="s">
        <v>248</v>
      </c>
      <c r="E42" s="3" t="s">
        <v>49</v>
      </c>
      <c r="F42" s="3" t="s">
        <v>126</v>
      </c>
      <c r="G42" s="5" t="s">
        <v>249</v>
      </c>
      <c r="H42" s="6">
        <v>4163084</v>
      </c>
      <c r="I42" s="2" t="s">
        <v>65</v>
      </c>
      <c r="J42" s="2" t="s">
        <v>53</v>
      </c>
      <c r="K42" s="7">
        <v>46051</v>
      </c>
      <c r="L42" s="7" t="s">
        <v>54</v>
      </c>
      <c r="M42" s="3" t="s">
        <v>174</v>
      </c>
      <c r="N42" s="3" t="s">
        <v>56</v>
      </c>
      <c r="O42" s="112">
        <v>46572</v>
      </c>
      <c r="P42" s="112">
        <v>47046</v>
      </c>
      <c r="Q42" s="112" t="s">
        <v>250</v>
      </c>
      <c r="R42" s="3" t="str">
        <f ca="1"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59</v>
      </c>
      <c r="T42" s="3" t="s">
        <v>59</v>
      </c>
      <c r="U42" s="3" t="s">
        <v>58</v>
      </c>
      <c r="V42" s="130" t="s">
        <v>251</v>
      </c>
      <c r="W42" s="3" t="s">
        <v>58</v>
      </c>
      <c r="X42" s="3" t="s">
        <v>58</v>
      </c>
      <c r="Y42" s="3" t="s">
        <v>107</v>
      </c>
      <c r="Z42" s="114" t="s">
        <v>252</v>
      </c>
      <c r="AA42" s="78">
        <v>9492300.2799999993</v>
      </c>
      <c r="AB42" s="78">
        <v>4316836.0599999996</v>
      </c>
      <c r="AC42" s="78">
        <v>24729566.640000001</v>
      </c>
      <c r="AD42" s="78">
        <v>0</v>
      </c>
      <c r="AE42" s="78">
        <v>5708341.7000000002</v>
      </c>
      <c r="AF42" s="78">
        <v>0</v>
      </c>
      <c r="AG42" s="78">
        <v>1000000</v>
      </c>
      <c r="AH42" s="78">
        <v>0</v>
      </c>
      <c r="AI42" s="78">
        <v>9606051.5199999996</v>
      </c>
      <c r="AJ42" s="78">
        <v>4580751.1399999997</v>
      </c>
      <c r="AK42" s="78">
        <v>4000000</v>
      </c>
      <c r="AL42" s="78">
        <v>1906069.36</v>
      </c>
      <c r="AM42" s="78">
        <v>3500000</v>
      </c>
      <c r="AN42" s="111">
        <v>3006808.31</v>
      </c>
      <c r="AO42" s="78">
        <v>3102926.1</v>
      </c>
      <c r="AP42" s="78">
        <v>16002838.73</v>
      </c>
      <c r="AQ42" s="78">
        <v>5886490.6504319999</v>
      </c>
      <c r="AR42" s="79">
        <v>2736.63</v>
      </c>
      <c r="AS42" s="79">
        <v>1000</v>
      </c>
      <c r="AT42" s="122">
        <v>22872631.399999999</v>
      </c>
      <c r="AU42" s="122">
        <v>8261890.04</v>
      </c>
    </row>
    <row r="43" spans="1:51" ht="15">
      <c r="A43" s="1" t="s">
        <v>132</v>
      </c>
      <c r="B43" s="5" t="s">
        <v>253</v>
      </c>
      <c r="C43" s="5" t="s">
        <v>254</v>
      </c>
      <c r="D43" s="5" t="s">
        <v>253</v>
      </c>
      <c r="E43" s="3" t="s">
        <v>49</v>
      </c>
      <c r="F43" s="3" t="s">
        <v>50</v>
      </c>
      <c r="G43" s="5" t="s">
        <v>255</v>
      </c>
      <c r="H43" s="6">
        <v>4164584</v>
      </c>
      <c r="I43" s="2" t="s">
        <v>157</v>
      </c>
      <c r="J43" s="2" t="s">
        <v>87</v>
      </c>
      <c r="K43" s="7"/>
      <c r="L43" s="7" t="s">
        <v>54</v>
      </c>
      <c r="M43" s="3" t="s">
        <v>114</v>
      </c>
      <c r="N43" s="3" t="s">
        <v>56</v>
      </c>
      <c r="O43" s="112">
        <v>46950</v>
      </c>
      <c r="P43" s="112">
        <v>47221</v>
      </c>
      <c r="Q43" s="112" t="s">
        <v>221</v>
      </c>
      <c r="R43" s="3" t="str">
        <f ca="1"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IPCA+5%</v>
      </c>
      <c r="S43" s="3" t="s">
        <v>59</v>
      </c>
      <c r="T43" s="3" t="s">
        <v>58</v>
      </c>
      <c r="U43" s="3" t="s">
        <v>58</v>
      </c>
      <c r="V43" s="130" t="s">
        <v>256</v>
      </c>
      <c r="W43" s="3" t="s">
        <v>58</v>
      </c>
      <c r="X43" s="3" t="s">
        <v>58</v>
      </c>
      <c r="Y43" s="3" t="s">
        <v>107</v>
      </c>
      <c r="Z43" s="114" t="s">
        <v>257</v>
      </c>
      <c r="AA43" s="78">
        <v>75499.03</v>
      </c>
      <c r="AB43" s="78">
        <v>76246.259999999995</v>
      </c>
      <c r="AC43" s="78">
        <v>76979.95</v>
      </c>
      <c r="AD43" s="78">
        <v>77801.06</v>
      </c>
      <c r="AE43" s="78">
        <v>78001.63</v>
      </c>
      <c r="AF43" s="78">
        <v>78863.3</v>
      </c>
      <c r="AG43" s="78">
        <v>79880.23</v>
      </c>
      <c r="AH43" s="78">
        <v>80810.880000000005</v>
      </c>
      <c r="AI43" s="78">
        <v>81668.639999999999</v>
      </c>
      <c r="AJ43" s="78">
        <v>82717.960000000006</v>
      </c>
      <c r="AK43" s="78">
        <v>82740.22</v>
      </c>
      <c r="AL43" s="78">
        <v>83752.490000000005</v>
      </c>
      <c r="AM43" s="78">
        <v>84694.399999999994</v>
      </c>
      <c r="AN43" s="111">
        <v>85546.53</v>
      </c>
      <c r="AO43" s="78">
        <v>86619.57</v>
      </c>
      <c r="AP43" s="78">
        <v>87568.97</v>
      </c>
      <c r="AQ43" s="78">
        <v>87672.73000000001</v>
      </c>
      <c r="AR43" s="78">
        <v>88696.209999999992</v>
      </c>
      <c r="AS43" s="78">
        <v>89806.680000000008</v>
      </c>
      <c r="AT43" s="122">
        <v>90809.97</v>
      </c>
      <c r="AU43" s="122">
        <v>91755.96</v>
      </c>
      <c r="AW43" s="152"/>
      <c r="AX43" s="152"/>
      <c r="AY43" s="152"/>
    </row>
    <row r="44" spans="1:51">
      <c r="A44" s="1" t="s">
        <v>132</v>
      </c>
      <c r="B44" s="5" t="s">
        <v>189</v>
      </c>
      <c r="C44" s="5" t="s">
        <v>190</v>
      </c>
      <c r="D44" s="5" t="s">
        <v>189</v>
      </c>
      <c r="E44" s="3" t="s">
        <v>49</v>
      </c>
      <c r="F44" s="3" t="s">
        <v>50</v>
      </c>
      <c r="G44" s="5" t="s">
        <v>258</v>
      </c>
      <c r="H44" s="6">
        <v>4252546</v>
      </c>
      <c r="I44" s="2" t="s">
        <v>72</v>
      </c>
      <c r="J44" s="2" t="s">
        <v>53</v>
      </c>
      <c r="K44" s="7"/>
      <c r="L44" s="7" t="s">
        <v>136</v>
      </c>
      <c r="M44" s="3" t="s">
        <v>55</v>
      </c>
      <c r="N44" s="3" t="s">
        <v>56</v>
      </c>
      <c r="O44" s="112">
        <v>46365</v>
      </c>
      <c r="P44" s="112">
        <v>46879</v>
      </c>
      <c r="Q44" s="112" t="s">
        <v>57</v>
      </c>
      <c r="R44" s="3" t="str">
        <f ca="1"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IPCA+5%</v>
      </c>
      <c r="S44" s="3" t="s">
        <v>59</v>
      </c>
      <c r="T44" s="3" t="s">
        <v>58</v>
      </c>
      <c r="U44" s="3" t="s">
        <v>58</v>
      </c>
      <c r="V44" s="130" t="s">
        <v>259</v>
      </c>
      <c r="W44" s="3" t="s">
        <v>58</v>
      </c>
      <c r="X44" s="3" t="s">
        <v>59</v>
      </c>
      <c r="Y44" s="3" t="s">
        <v>61</v>
      </c>
      <c r="Z44" s="114" t="s">
        <v>260</v>
      </c>
      <c r="AA44" s="78">
        <v>2239392.6800000002</v>
      </c>
      <c r="AB44" s="78">
        <v>2541494.65</v>
      </c>
      <c r="AC44" s="78">
        <v>2592711.9700000002</v>
      </c>
      <c r="AD44" s="78">
        <v>2650890.7400000002</v>
      </c>
      <c r="AE44" s="78">
        <v>2164253.66</v>
      </c>
      <c r="AF44" s="78">
        <v>2176611.29</v>
      </c>
      <c r="AG44" s="78">
        <v>2152075.52</v>
      </c>
      <c r="AH44" s="78">
        <v>2223808.67</v>
      </c>
      <c r="AI44" s="78">
        <v>2224827.36</v>
      </c>
      <c r="AJ44" s="78">
        <v>2280508.1800000002</v>
      </c>
      <c r="AK44" s="78">
        <v>2262536.15</v>
      </c>
      <c r="AL44" s="78">
        <v>2337905.86</v>
      </c>
      <c r="AM44" s="78">
        <v>2348938.7600000002</v>
      </c>
      <c r="AN44" s="111">
        <v>2523835.8199999998</v>
      </c>
      <c r="AO44" s="78">
        <v>2519858.5</v>
      </c>
      <c r="AP44" s="78">
        <v>2543913.1399999997</v>
      </c>
      <c r="AQ44" s="78">
        <v>2549244.5100000002</v>
      </c>
      <c r="AR44" s="78">
        <v>2560785.5500000003</v>
      </c>
      <c r="AS44" s="78">
        <v>2564888.2000000002</v>
      </c>
      <c r="AT44" s="122">
        <v>2514964.2400000002</v>
      </c>
      <c r="AU44" s="122">
        <v>2593693.61</v>
      </c>
    </row>
    <row r="45" spans="1:51">
      <c r="A45" s="1" t="s">
        <v>98</v>
      </c>
      <c r="B45" s="5" t="s">
        <v>109</v>
      </c>
      <c r="C45" s="5" t="s">
        <v>109</v>
      </c>
      <c r="D45" s="5" t="s">
        <v>109</v>
      </c>
      <c r="E45" s="3" t="s">
        <v>49</v>
      </c>
      <c r="F45" s="3" t="s">
        <v>50</v>
      </c>
      <c r="G45" s="5" t="s">
        <v>110</v>
      </c>
      <c r="H45" s="155" t="s">
        <v>261</v>
      </c>
      <c r="I45" s="2" t="s">
        <v>86</v>
      </c>
      <c r="J45" s="2" t="s">
        <v>87</v>
      </c>
      <c r="K45" s="7"/>
      <c r="L45" s="7" t="s">
        <v>54</v>
      </c>
      <c r="M45" s="3"/>
      <c r="N45" s="3" t="s">
        <v>66</v>
      </c>
      <c r="O45" s="112"/>
      <c r="P45" s="112"/>
      <c r="Q45" s="112" t="s">
        <v>67</v>
      </c>
      <c r="R45" s="3" t="str">
        <f ca="1"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/>
      </c>
      <c r="S45" s="3" t="s">
        <v>58</v>
      </c>
      <c r="T45" s="3"/>
      <c r="U45" s="3"/>
      <c r="V45" s="130"/>
      <c r="W45" s="3"/>
      <c r="X45" s="3"/>
      <c r="Y45" s="3"/>
      <c r="Z45" s="114" t="s">
        <v>111</v>
      </c>
      <c r="AA45" s="79">
        <v>0</v>
      </c>
      <c r="AB45" s="79">
        <v>0</v>
      </c>
      <c r="AC45" s="79">
        <v>0</v>
      </c>
      <c r="AD45" s="79">
        <v>0</v>
      </c>
      <c r="AE45" s="79">
        <v>0</v>
      </c>
      <c r="AF45" s="79">
        <v>0</v>
      </c>
      <c r="AG45" s="79">
        <v>0</v>
      </c>
      <c r="AH45" s="79">
        <v>0</v>
      </c>
      <c r="AI45" s="79">
        <v>0</v>
      </c>
      <c r="AJ45" s="79">
        <v>0</v>
      </c>
      <c r="AK45" s="79">
        <v>0</v>
      </c>
      <c r="AL45" s="79">
        <v>0</v>
      </c>
      <c r="AM45" s="79">
        <v>0</v>
      </c>
      <c r="AN45" s="79">
        <v>54.41</v>
      </c>
      <c r="AO45" s="79">
        <v>0</v>
      </c>
      <c r="AP45" s="79">
        <v>0</v>
      </c>
      <c r="AQ45" s="79">
        <v>0</v>
      </c>
      <c r="AR45" s="79">
        <v>0</v>
      </c>
      <c r="AS45" s="79">
        <v>0</v>
      </c>
      <c r="AT45" s="79">
        <v>0</v>
      </c>
      <c r="AU45" s="79">
        <v>103408.99</v>
      </c>
    </row>
    <row r="46" spans="1:51">
      <c r="A46" s="1" t="s">
        <v>132</v>
      </c>
      <c r="B46" s="5" t="s">
        <v>262</v>
      </c>
      <c r="C46" s="5" t="s">
        <v>263</v>
      </c>
      <c r="D46" s="5" t="s">
        <v>262</v>
      </c>
      <c r="E46" s="3" t="s">
        <v>49</v>
      </c>
      <c r="F46" s="3" t="s">
        <v>50</v>
      </c>
      <c r="G46" s="5" t="s">
        <v>264</v>
      </c>
      <c r="H46" s="6">
        <v>4466342</v>
      </c>
      <c r="I46" s="2" t="s">
        <v>86</v>
      </c>
      <c r="J46" s="2" t="s">
        <v>87</v>
      </c>
      <c r="K46" s="7"/>
      <c r="L46" s="7" t="s">
        <v>136</v>
      </c>
      <c r="M46" s="3" t="s">
        <v>265</v>
      </c>
      <c r="N46" s="3" t="s">
        <v>66</v>
      </c>
      <c r="O46" s="112">
        <v>46281</v>
      </c>
      <c r="P46" s="112">
        <v>47009</v>
      </c>
      <c r="Q46" s="112" t="s">
        <v>128</v>
      </c>
      <c r="R46" s="3" t="str">
        <f ca="1"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IPCA+5%</v>
      </c>
      <c r="S46" s="3" t="s">
        <v>58</v>
      </c>
      <c r="T46" s="3" t="s">
        <v>58</v>
      </c>
      <c r="U46" s="3" t="s">
        <v>59</v>
      </c>
      <c r="V46" s="130" t="s">
        <v>266</v>
      </c>
      <c r="W46" s="3" t="s">
        <v>58</v>
      </c>
      <c r="X46" s="3" t="s">
        <v>58</v>
      </c>
      <c r="Y46" s="3"/>
      <c r="Z46" s="114" t="s">
        <v>267</v>
      </c>
      <c r="AA46" s="78">
        <v>5115402.3</v>
      </c>
      <c r="AB46" s="78">
        <v>5085449.8</v>
      </c>
      <c r="AC46" s="78">
        <v>5150290.9400000004</v>
      </c>
      <c r="AD46" s="78" t="s">
        <v>268</v>
      </c>
      <c r="AE46" s="78">
        <v>4929699.9400000004</v>
      </c>
      <c r="AF46" s="78">
        <v>4702841.3600000003</v>
      </c>
      <c r="AG46" s="78">
        <v>4558610.6900000004</v>
      </c>
      <c r="AH46" s="78">
        <v>4482193.54</v>
      </c>
      <c r="AI46" s="78">
        <v>4306039.22</v>
      </c>
      <c r="AJ46" s="78">
        <v>4277891.4800000004</v>
      </c>
      <c r="AK46" s="78">
        <v>3430063.02</v>
      </c>
      <c r="AL46" s="78">
        <v>3351041.86</v>
      </c>
      <c r="AM46" s="78">
        <v>3256041.9800000004</v>
      </c>
      <c r="AN46" s="111">
        <v>2944572.87</v>
      </c>
      <c r="AO46" s="78">
        <v>2171882.83</v>
      </c>
      <c r="AP46" s="78">
        <v>2131982.7600000002</v>
      </c>
      <c r="AQ46" s="78">
        <v>2106425.41</v>
      </c>
      <c r="AR46" s="78">
        <v>2122025.6399999997</v>
      </c>
      <c r="AS46" s="78">
        <v>2131780.87</v>
      </c>
      <c r="AT46" s="122">
        <v>2152592.27</v>
      </c>
      <c r="AU46" s="122">
        <v>1769490.78</v>
      </c>
    </row>
    <row r="47" spans="1:51" ht="15">
      <c r="A47" s="1" t="s">
        <v>132</v>
      </c>
      <c r="B47" s="5" t="s">
        <v>269</v>
      </c>
      <c r="C47" s="5" t="s">
        <v>263</v>
      </c>
      <c r="D47" s="5" t="s">
        <v>269</v>
      </c>
      <c r="E47" s="3" t="s">
        <v>102</v>
      </c>
      <c r="F47" s="3" t="s">
        <v>50</v>
      </c>
      <c r="G47" s="5" t="s">
        <v>270</v>
      </c>
      <c r="H47" s="6">
        <v>4474935</v>
      </c>
      <c r="I47" s="2" t="s">
        <v>86</v>
      </c>
      <c r="J47" s="2" t="s">
        <v>87</v>
      </c>
      <c r="K47" s="7"/>
      <c r="L47" s="7" t="s">
        <v>136</v>
      </c>
      <c r="M47" s="3" t="s">
        <v>174</v>
      </c>
      <c r="N47" s="3" t="s">
        <v>56</v>
      </c>
      <c r="O47" s="136">
        <v>46169</v>
      </c>
      <c r="P47" s="112">
        <v>46474</v>
      </c>
      <c r="Q47" s="112" t="s">
        <v>221</v>
      </c>
      <c r="R47" s="3" t="str">
        <f ca="1"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58</v>
      </c>
      <c r="T47" s="3"/>
      <c r="U47" s="3"/>
      <c r="V47" s="130"/>
      <c r="W47" s="3"/>
      <c r="X47" s="3"/>
      <c r="Y47" s="3"/>
      <c r="Z47" s="114" t="s">
        <v>271</v>
      </c>
      <c r="AA47" s="78">
        <v>12376.84</v>
      </c>
      <c r="AB47" s="78">
        <v>12528.47</v>
      </c>
      <c r="AC47" s="78">
        <v>12671.09</v>
      </c>
      <c r="AD47" s="78">
        <v>12790.38</v>
      </c>
      <c r="AE47" s="78">
        <v>12963.16</v>
      </c>
      <c r="AF47" s="78">
        <v>13127.85</v>
      </c>
      <c r="AG47" s="78">
        <v>13310.25</v>
      </c>
      <c r="AH47" s="78">
        <v>13471.89</v>
      </c>
      <c r="AI47" s="78">
        <v>13668.17</v>
      </c>
      <c r="AJ47" s="78">
        <v>13829.25</v>
      </c>
      <c r="AK47" s="78">
        <v>13973.36</v>
      </c>
      <c r="AL47" s="78">
        <v>14133.35</v>
      </c>
      <c r="AM47" s="78">
        <v>14277.929999999998</v>
      </c>
      <c r="AN47" s="111">
        <v>14412.91</v>
      </c>
      <c r="AO47" s="78">
        <v>14535.18</v>
      </c>
      <c r="AP47" s="78">
        <v>14660.93</v>
      </c>
      <c r="AQ47" s="78">
        <v>14855.46</v>
      </c>
      <c r="AR47" s="78">
        <v>15034.130000000001</v>
      </c>
      <c r="AS47" s="78">
        <v>15240.26</v>
      </c>
      <c r="AT47" s="122">
        <v>15382.67</v>
      </c>
      <c r="AU47" s="122">
        <v>15502.91</v>
      </c>
      <c r="AW47" s="152"/>
      <c r="AX47" s="152"/>
      <c r="AY47" s="152"/>
    </row>
    <row r="48" spans="1:51">
      <c r="A48" s="1" t="s">
        <v>132</v>
      </c>
      <c r="B48" s="5" t="s">
        <v>272</v>
      </c>
      <c r="C48" s="5" t="s">
        <v>263</v>
      </c>
      <c r="D48" s="5" t="s">
        <v>272</v>
      </c>
      <c r="E48" s="3" t="s">
        <v>102</v>
      </c>
      <c r="F48" s="3" t="s">
        <v>50</v>
      </c>
      <c r="G48" s="5" t="s">
        <v>273</v>
      </c>
      <c r="H48" s="6">
        <v>4475136</v>
      </c>
      <c r="I48" s="2" t="s">
        <v>86</v>
      </c>
      <c r="J48" s="2" t="s">
        <v>87</v>
      </c>
      <c r="K48" s="7"/>
      <c r="L48" s="7" t="s">
        <v>136</v>
      </c>
      <c r="M48" s="3" t="s">
        <v>174</v>
      </c>
      <c r="N48" s="3" t="s">
        <v>56</v>
      </c>
      <c r="O48" s="136">
        <v>46169</v>
      </c>
      <c r="P48" s="112">
        <v>46474</v>
      </c>
      <c r="Q48" s="112" t="s">
        <v>221</v>
      </c>
      <c r="R48" s="3" t="str">
        <f ca="1"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IPCA+4%</v>
      </c>
      <c r="S48" s="3" t="s">
        <v>58</v>
      </c>
      <c r="T48" s="3"/>
      <c r="U48" s="3"/>
      <c r="V48" s="130"/>
      <c r="W48" s="3"/>
      <c r="X48" s="3"/>
      <c r="Y48" s="3"/>
      <c r="Z48" s="114" t="s">
        <v>271</v>
      </c>
      <c r="AA48" s="78">
        <v>12376.84</v>
      </c>
      <c r="AB48" s="78">
        <v>12528.47</v>
      </c>
      <c r="AC48" s="78">
        <v>12671.09</v>
      </c>
      <c r="AD48" s="78">
        <v>12790.38</v>
      </c>
      <c r="AE48" s="78">
        <v>12963.16</v>
      </c>
      <c r="AF48" s="78">
        <v>13127.85</v>
      </c>
      <c r="AG48" s="78">
        <v>13310.25</v>
      </c>
      <c r="AH48" s="78">
        <v>13471.89</v>
      </c>
      <c r="AI48" s="78">
        <v>13668.18</v>
      </c>
      <c r="AJ48" s="78">
        <v>13829.26</v>
      </c>
      <c r="AK48" s="78">
        <v>13973.37</v>
      </c>
      <c r="AL48" s="78">
        <v>14133.36</v>
      </c>
      <c r="AM48" s="78">
        <v>14277.939999999999</v>
      </c>
      <c r="AN48" s="111">
        <v>14412.92</v>
      </c>
      <c r="AO48" s="78">
        <v>14535.189999999999</v>
      </c>
      <c r="AP48" s="78">
        <v>14660.94</v>
      </c>
      <c r="AQ48" s="78">
        <v>14855.47</v>
      </c>
      <c r="AR48" s="78">
        <v>15034.140000000001</v>
      </c>
      <c r="AS48" s="78">
        <v>15240.27</v>
      </c>
      <c r="AT48" s="122">
        <v>15382.68</v>
      </c>
      <c r="AU48" s="122">
        <v>15502.92</v>
      </c>
    </row>
    <row r="49" spans="1:51">
      <c r="A49" s="1" t="s">
        <v>98</v>
      </c>
      <c r="B49" s="5" t="s">
        <v>274</v>
      </c>
      <c r="C49" s="5" t="s">
        <v>274</v>
      </c>
      <c r="D49" s="5" t="s">
        <v>275</v>
      </c>
      <c r="E49" s="3" t="s">
        <v>49</v>
      </c>
      <c r="F49" s="3" t="s">
        <v>50</v>
      </c>
      <c r="G49" s="5" t="s">
        <v>276</v>
      </c>
      <c r="H49" s="6">
        <v>23638180</v>
      </c>
      <c r="I49" s="2" t="s">
        <v>95</v>
      </c>
      <c r="J49" s="2" t="s">
        <v>53</v>
      </c>
      <c r="K49" s="7"/>
      <c r="L49" s="7" t="s">
        <v>54</v>
      </c>
      <c r="M49" s="3" t="s">
        <v>238</v>
      </c>
      <c r="N49" s="3" t="s">
        <v>66</v>
      </c>
      <c r="O49" s="112"/>
      <c r="P49" s="112"/>
      <c r="Q49" s="112" t="s">
        <v>67</v>
      </c>
      <c r="R49" s="3" t="str">
        <f ca="1"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IPCA+4%</v>
      </c>
      <c r="S49" s="3" t="s">
        <v>59</v>
      </c>
      <c r="T49" s="3" t="s">
        <v>58</v>
      </c>
      <c r="U49" s="3" t="s">
        <v>58</v>
      </c>
      <c r="V49" s="130"/>
      <c r="W49" s="3" t="s">
        <v>58</v>
      </c>
      <c r="X49" s="3" t="s">
        <v>58</v>
      </c>
      <c r="Y49" s="3" t="s">
        <v>107</v>
      </c>
      <c r="Z49" s="114" t="s">
        <v>277</v>
      </c>
      <c r="AA49" s="77">
        <v>0</v>
      </c>
      <c r="AB49" s="77">
        <v>0</v>
      </c>
      <c r="AC49" s="77">
        <v>0</v>
      </c>
      <c r="AD49" s="77">
        <v>0</v>
      </c>
      <c r="AE49" s="77">
        <v>0</v>
      </c>
      <c r="AF49" s="77">
        <v>0</v>
      </c>
      <c r="AG49" s="77">
        <v>0</v>
      </c>
      <c r="AH49" s="77">
        <v>0</v>
      </c>
      <c r="AI49" s="77">
        <v>0</v>
      </c>
      <c r="AJ49" s="77">
        <v>0</v>
      </c>
      <c r="AK49" s="77">
        <v>0</v>
      </c>
      <c r="AL49" s="77">
        <v>0</v>
      </c>
      <c r="AM49" s="77">
        <v>0</v>
      </c>
      <c r="AN49" s="77" t="s">
        <v>176</v>
      </c>
      <c r="AO49" s="77">
        <v>0</v>
      </c>
      <c r="AP49" s="77">
        <v>231075.28</v>
      </c>
      <c r="AQ49" s="80">
        <v>229887.28</v>
      </c>
      <c r="AR49" s="80">
        <v>232245.67</v>
      </c>
      <c r="AS49" s="80">
        <v>228686.62</v>
      </c>
      <c r="AT49" s="132">
        <v>230161.58</v>
      </c>
      <c r="AU49" s="132">
        <v>223086.9</v>
      </c>
    </row>
    <row r="50" spans="1:51">
      <c r="A50" s="1" t="s">
        <v>47</v>
      </c>
      <c r="B50" s="5" t="s">
        <v>218</v>
      </c>
      <c r="C50" s="5" t="s">
        <v>219</v>
      </c>
      <c r="D50" s="5" t="s">
        <v>218</v>
      </c>
      <c r="E50" s="3" t="s">
        <v>49</v>
      </c>
      <c r="F50" s="3" t="s">
        <v>212</v>
      </c>
      <c r="G50" s="5" t="s">
        <v>278</v>
      </c>
      <c r="H50" s="6">
        <v>4619413</v>
      </c>
      <c r="I50" s="2" t="s">
        <v>72</v>
      </c>
      <c r="J50" s="2" t="s">
        <v>53</v>
      </c>
      <c r="K50" s="7">
        <v>45862</v>
      </c>
      <c r="L50" s="7" t="s">
        <v>54</v>
      </c>
      <c r="M50" s="3" t="s">
        <v>215</v>
      </c>
      <c r="N50" s="3" t="s">
        <v>56</v>
      </c>
      <c r="O50" s="112">
        <v>46551</v>
      </c>
      <c r="P50" s="112">
        <v>46875</v>
      </c>
      <c r="Q50" s="112" t="s">
        <v>226</v>
      </c>
      <c r="R50" s="3" t="str">
        <f ca="1"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IPCA+4%</v>
      </c>
      <c r="S50" s="3" t="s">
        <v>59</v>
      </c>
      <c r="T50" s="3" t="s">
        <v>58</v>
      </c>
      <c r="U50" s="3" t="s">
        <v>58</v>
      </c>
      <c r="V50" s="130" t="s">
        <v>222</v>
      </c>
      <c r="W50" s="3" t="s">
        <v>58</v>
      </c>
      <c r="X50" s="3" t="s">
        <v>58</v>
      </c>
      <c r="Y50" s="3" t="s">
        <v>61</v>
      </c>
      <c r="Z50" s="114" t="s">
        <v>223</v>
      </c>
      <c r="AA50" s="78">
        <v>0</v>
      </c>
      <c r="AB50" s="78">
        <v>0</v>
      </c>
      <c r="AC50" s="78">
        <v>0</v>
      </c>
      <c r="AD50" s="78">
        <v>0</v>
      </c>
      <c r="AE50" s="78">
        <v>0</v>
      </c>
      <c r="AF50" s="78">
        <v>0</v>
      </c>
      <c r="AG50" s="78">
        <v>0</v>
      </c>
      <c r="AH50" s="78">
        <v>0.23</v>
      </c>
      <c r="AI50" s="78">
        <v>0.23</v>
      </c>
      <c r="AJ50" s="78">
        <v>1306573.08</v>
      </c>
      <c r="AK50" s="78">
        <v>3031106.38</v>
      </c>
      <c r="AL50" s="78">
        <v>5062170.18</v>
      </c>
      <c r="AM50" s="78">
        <v>7126278.3300000001</v>
      </c>
      <c r="AN50" s="111">
        <v>4589702.42</v>
      </c>
      <c r="AO50" s="78">
        <v>4620244.96</v>
      </c>
      <c r="AP50" s="78">
        <v>3453306.82</v>
      </c>
      <c r="AQ50" s="78">
        <v>3185016.9794799299</v>
      </c>
      <c r="AR50" s="79">
        <v>5684634.71</v>
      </c>
      <c r="AS50" s="79">
        <v>5694165</v>
      </c>
      <c r="AT50" s="122">
        <v>5831076.4119999995</v>
      </c>
      <c r="AU50" s="122">
        <v>802210.69</v>
      </c>
    </row>
    <row r="51" spans="1:51">
      <c r="A51" s="1" t="s">
        <v>132</v>
      </c>
      <c r="B51" s="5" t="s">
        <v>92</v>
      </c>
      <c r="C51" s="5" t="s">
        <v>92</v>
      </c>
      <c r="D51" s="5" t="s">
        <v>144</v>
      </c>
      <c r="E51" s="3" t="s">
        <v>49</v>
      </c>
      <c r="F51" s="3" t="s">
        <v>50</v>
      </c>
      <c r="G51" s="5" t="s">
        <v>279</v>
      </c>
      <c r="H51" s="6">
        <v>4718691</v>
      </c>
      <c r="I51" s="2" t="s">
        <v>95</v>
      </c>
      <c r="J51" s="2" t="s">
        <v>53</v>
      </c>
      <c r="K51" s="7"/>
      <c r="L51" s="7" t="s">
        <v>54</v>
      </c>
      <c r="M51" s="3" t="s">
        <v>73</v>
      </c>
      <c r="N51" s="3" t="s">
        <v>56</v>
      </c>
      <c r="O51" s="112">
        <v>46858</v>
      </c>
      <c r="P51" s="112">
        <v>47098</v>
      </c>
      <c r="Q51" s="112" t="s">
        <v>57</v>
      </c>
      <c r="R51" s="3" t="str">
        <f ca="1"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IPCA+6%</v>
      </c>
      <c r="S51" s="3" t="s">
        <v>59</v>
      </c>
      <c r="T51" s="3" t="s">
        <v>58</v>
      </c>
      <c r="U51" s="3" t="s">
        <v>58</v>
      </c>
      <c r="V51" s="130" t="s">
        <v>146</v>
      </c>
      <c r="W51" s="3" t="s">
        <v>58</v>
      </c>
      <c r="X51" s="3" t="s">
        <v>59</v>
      </c>
      <c r="Y51" s="3" t="s">
        <v>107</v>
      </c>
      <c r="Z51" s="114" t="s">
        <v>230</v>
      </c>
      <c r="AA51" s="78">
        <v>103849.48</v>
      </c>
      <c r="AB51" s="78">
        <v>102792.52</v>
      </c>
      <c r="AC51" s="78">
        <v>71766.960000000006</v>
      </c>
      <c r="AD51" s="78">
        <v>21452.74</v>
      </c>
      <c r="AE51" s="78">
        <v>23283.94</v>
      </c>
      <c r="AF51" s="78">
        <v>22053.72</v>
      </c>
      <c r="AG51" s="78">
        <v>23721.38</v>
      </c>
      <c r="AH51" s="78">
        <v>22650.57</v>
      </c>
      <c r="AI51" s="78">
        <v>22443.37</v>
      </c>
      <c r="AJ51" s="78">
        <v>21425.69</v>
      </c>
      <c r="AK51" s="78">
        <v>18290.330000000002</v>
      </c>
      <c r="AL51" s="78">
        <v>18139.98</v>
      </c>
      <c r="AM51" s="78">
        <v>17366.989999999998</v>
      </c>
      <c r="AN51" s="111">
        <v>14798.1</v>
      </c>
      <c r="AO51" s="78">
        <v>14341.48</v>
      </c>
      <c r="AP51" s="78">
        <v>15342.21</v>
      </c>
      <c r="AQ51" s="78">
        <v>16643.940000000002</v>
      </c>
      <c r="AR51" s="78">
        <v>15646.38</v>
      </c>
      <c r="AS51" s="78">
        <v>15348.94</v>
      </c>
      <c r="AT51" s="122">
        <v>17065.27</v>
      </c>
      <c r="AU51" s="122">
        <v>17980.849999999999</v>
      </c>
    </row>
    <row r="52" spans="1:51">
      <c r="A52" s="1" t="s">
        <v>47</v>
      </c>
      <c r="B52" s="5" t="s">
        <v>190</v>
      </c>
      <c r="C52" s="5" t="s">
        <v>190</v>
      </c>
      <c r="D52" s="5" t="s">
        <v>280</v>
      </c>
      <c r="E52" s="3" t="s">
        <v>49</v>
      </c>
      <c r="F52" s="3" t="s">
        <v>50</v>
      </c>
      <c r="G52" s="5" t="s">
        <v>281</v>
      </c>
      <c r="H52" s="6">
        <v>4760422</v>
      </c>
      <c r="I52" s="2" t="s">
        <v>72</v>
      </c>
      <c r="J52" s="2" t="s">
        <v>53</v>
      </c>
      <c r="K52" s="7">
        <v>45884</v>
      </c>
      <c r="L52" s="7" t="s">
        <v>54</v>
      </c>
      <c r="M52" s="3" t="s">
        <v>265</v>
      </c>
      <c r="N52" s="3" t="s">
        <v>282</v>
      </c>
      <c r="O52" s="112">
        <v>46775</v>
      </c>
      <c r="P52" s="112">
        <v>46993</v>
      </c>
      <c r="Q52" s="112" t="s">
        <v>128</v>
      </c>
      <c r="R52" s="3" t="str">
        <f ca="1"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58</v>
      </c>
      <c r="T52" s="3" t="s">
        <v>58</v>
      </c>
      <c r="U52" s="3" t="s">
        <v>58</v>
      </c>
      <c r="V52" s="130" t="s">
        <v>283</v>
      </c>
      <c r="W52" s="3" t="s">
        <v>58</v>
      </c>
      <c r="X52" s="3" t="s">
        <v>59</v>
      </c>
      <c r="Y52" s="3" t="s">
        <v>107</v>
      </c>
      <c r="Z52" s="114" t="s">
        <v>284</v>
      </c>
      <c r="AA52" s="78">
        <v>88608.71</v>
      </c>
      <c r="AB52" s="78">
        <v>89165.6</v>
      </c>
      <c r="AC52" s="78">
        <v>90214.26</v>
      </c>
      <c r="AD52" s="78">
        <v>91167.29</v>
      </c>
      <c r="AE52" s="78">
        <v>92135.15</v>
      </c>
      <c r="AF52" s="78">
        <v>93107.82</v>
      </c>
      <c r="AG52" s="78">
        <v>94277.68</v>
      </c>
      <c r="AH52" s="78">
        <v>95378.66</v>
      </c>
      <c r="AI52" s="78">
        <v>118813.15</v>
      </c>
      <c r="AJ52" s="78">
        <v>134922.93</v>
      </c>
      <c r="AK52" s="78">
        <v>139332.85</v>
      </c>
      <c r="AL52" s="78">
        <v>142691.85</v>
      </c>
      <c r="AM52" s="78">
        <v>146632.70000000001</v>
      </c>
      <c r="AN52" s="111">
        <v>151386.99</v>
      </c>
      <c r="AO52" s="78">
        <v>159691.03</v>
      </c>
      <c r="AP52" s="78">
        <v>166423.34</v>
      </c>
      <c r="AQ52" s="78">
        <v>168211.390422</v>
      </c>
      <c r="AR52" s="79">
        <v>168071.37</v>
      </c>
      <c r="AS52" s="79">
        <v>176616.8</v>
      </c>
      <c r="AT52" s="122">
        <v>182542.6562</v>
      </c>
      <c r="AU52" s="122">
        <v>184411.65</v>
      </c>
    </row>
    <row r="53" spans="1:51" ht="15">
      <c r="A53" s="1" t="s">
        <v>285</v>
      </c>
      <c r="B53" s="5" t="s">
        <v>286</v>
      </c>
      <c r="C53" s="5" t="s">
        <v>286</v>
      </c>
      <c r="D53" s="5" t="s">
        <v>287</v>
      </c>
      <c r="E53" s="3" t="s">
        <v>49</v>
      </c>
      <c r="F53" s="3" t="s">
        <v>50</v>
      </c>
      <c r="G53" s="5" t="s">
        <v>288</v>
      </c>
      <c r="H53" s="6"/>
      <c r="I53" s="2"/>
      <c r="J53" s="2"/>
      <c r="K53" s="7"/>
      <c r="L53" s="7"/>
      <c r="M53" s="3"/>
      <c r="N53" s="3"/>
      <c r="O53" s="112"/>
      <c r="P53" s="112"/>
      <c r="Q53" s="112"/>
      <c r="R53" s="3"/>
      <c r="S53" s="3"/>
      <c r="T53" s="3"/>
      <c r="U53" s="3"/>
      <c r="V53" s="130"/>
      <c r="W53" s="3"/>
      <c r="X53" s="3"/>
      <c r="Y53" s="3"/>
      <c r="Z53" s="114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>
        <v>228890.67</v>
      </c>
      <c r="AM53" s="77">
        <v>228890.67</v>
      </c>
      <c r="AN53" s="77">
        <v>228890.67</v>
      </c>
      <c r="AO53" s="77">
        <v>228890.67</v>
      </c>
      <c r="AP53" s="77">
        <v>228890.67</v>
      </c>
      <c r="AQ53" s="77">
        <v>228890.67</v>
      </c>
      <c r="AR53" s="77">
        <v>228890.67</v>
      </c>
      <c r="AS53" s="77">
        <v>228890.67</v>
      </c>
      <c r="AT53" s="77">
        <v>228890.67</v>
      </c>
      <c r="AU53" s="77">
        <v>228890.67</v>
      </c>
      <c r="AW53" s="152"/>
      <c r="AX53" s="152"/>
      <c r="AY53" s="152"/>
    </row>
    <row r="54" spans="1:51">
      <c r="A54" s="1" t="s">
        <v>98</v>
      </c>
      <c r="B54" s="5" t="s">
        <v>286</v>
      </c>
      <c r="C54" s="5" t="s">
        <v>286</v>
      </c>
      <c r="D54" s="5" t="s">
        <v>287</v>
      </c>
      <c r="E54" s="3" t="s">
        <v>102</v>
      </c>
      <c r="F54" s="3" t="s">
        <v>50</v>
      </c>
      <c r="G54" s="5" t="s">
        <v>289</v>
      </c>
      <c r="H54" s="6">
        <v>61663347</v>
      </c>
      <c r="I54" s="2" t="s">
        <v>120</v>
      </c>
      <c r="J54" s="2" t="s">
        <v>53</v>
      </c>
      <c r="K54" s="7"/>
      <c r="L54" s="7" t="s">
        <v>54</v>
      </c>
      <c r="M54" s="3" t="s">
        <v>55</v>
      </c>
      <c r="N54" s="3" t="s">
        <v>66</v>
      </c>
      <c r="O54" s="112"/>
      <c r="P54" s="112"/>
      <c r="Q54" s="112" t="s">
        <v>57</v>
      </c>
      <c r="R54" s="3" t="str">
        <f ca="1"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IPCA+5%</v>
      </c>
      <c r="S54" s="3" t="s">
        <v>59</v>
      </c>
      <c r="T54" s="3" t="s">
        <v>59</v>
      </c>
      <c r="U54" s="3" t="s">
        <v>59</v>
      </c>
      <c r="V54" s="130" t="s">
        <v>290</v>
      </c>
      <c r="W54" s="3" t="s">
        <v>59</v>
      </c>
      <c r="X54" s="3" t="s">
        <v>58</v>
      </c>
      <c r="Y54" s="3" t="s">
        <v>61</v>
      </c>
      <c r="Z54" s="4"/>
      <c r="AA54" s="77">
        <v>897483.54</v>
      </c>
      <c r="AB54" s="77">
        <v>919728.16</v>
      </c>
      <c r="AC54" s="77">
        <v>908972.24</v>
      </c>
      <c r="AD54" s="77">
        <v>891420.21</v>
      </c>
      <c r="AE54" s="77">
        <v>900078.77</v>
      </c>
      <c r="AF54" s="77">
        <v>924836.21</v>
      </c>
      <c r="AG54" s="77">
        <v>929044.08</v>
      </c>
      <c r="AH54" s="77">
        <v>962034.43</v>
      </c>
      <c r="AI54" s="77">
        <v>985328.36</v>
      </c>
      <c r="AJ54" s="77">
        <v>986364.77</v>
      </c>
      <c r="AK54" s="77">
        <v>1007175.55</v>
      </c>
      <c r="AL54" s="77">
        <v>997454.76</v>
      </c>
      <c r="AM54" s="77">
        <v>1017838.81</v>
      </c>
      <c r="AN54" s="77">
        <v>1037471.08</v>
      </c>
      <c r="AO54" s="77">
        <v>996943.52</v>
      </c>
      <c r="AP54" s="77">
        <v>1024731.8</v>
      </c>
      <c r="AQ54" s="80">
        <v>1023027.96</v>
      </c>
      <c r="AR54" s="80">
        <v>1027649.14</v>
      </c>
      <c r="AS54" s="80">
        <v>1026159.04</v>
      </c>
      <c r="AT54" s="132">
        <v>1026368.44</v>
      </c>
      <c r="AU54" s="132">
        <v>994936.84</v>
      </c>
    </row>
    <row r="55" spans="1:51">
      <c r="A55" s="1" t="s">
        <v>47</v>
      </c>
      <c r="B55" s="5" t="s">
        <v>291</v>
      </c>
      <c r="C55" s="5" t="s">
        <v>291</v>
      </c>
      <c r="D55" s="5" t="s">
        <v>291</v>
      </c>
      <c r="E55" s="3" t="s">
        <v>49</v>
      </c>
      <c r="F55" s="3" t="s">
        <v>50</v>
      </c>
      <c r="G55" s="5" t="s">
        <v>292</v>
      </c>
      <c r="H55" s="6">
        <v>4771941</v>
      </c>
      <c r="I55" s="2" t="s">
        <v>120</v>
      </c>
      <c r="J55" s="2" t="s">
        <v>53</v>
      </c>
      <c r="K55" s="7">
        <v>45938</v>
      </c>
      <c r="L55" s="7" t="s">
        <v>54</v>
      </c>
      <c r="M55" s="3" t="s">
        <v>55</v>
      </c>
      <c r="N55" s="3" t="s">
        <v>56</v>
      </c>
      <c r="O55" s="112">
        <v>46928</v>
      </c>
      <c r="P55" s="112">
        <v>46952</v>
      </c>
      <c r="Q55" s="112" t="s">
        <v>67</v>
      </c>
      <c r="R55" s="3" t="str">
        <f ca="1"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59</v>
      </c>
      <c r="T55" s="3" t="s">
        <v>58</v>
      </c>
      <c r="U55" s="3" t="s">
        <v>58</v>
      </c>
      <c r="V55" s="130"/>
      <c r="W55" s="3" t="s">
        <v>58</v>
      </c>
      <c r="X55" s="3" t="s">
        <v>59</v>
      </c>
      <c r="Y55" s="3"/>
      <c r="Z55" s="114" t="s">
        <v>293</v>
      </c>
      <c r="AA55" s="78">
        <v>810027.24</v>
      </c>
      <c r="AB55" s="78">
        <v>805705.64</v>
      </c>
      <c r="AC55" s="78">
        <v>808996.27</v>
      </c>
      <c r="AD55" s="78">
        <v>827861.33</v>
      </c>
      <c r="AE55" s="78">
        <v>843248.86</v>
      </c>
      <c r="AF55" s="78">
        <v>843989.04</v>
      </c>
      <c r="AG55" s="78">
        <v>857606.48</v>
      </c>
      <c r="AH55" s="78">
        <v>866824.33</v>
      </c>
      <c r="AI55" s="78">
        <v>909501.37</v>
      </c>
      <c r="AJ55" s="78">
        <v>927382.59</v>
      </c>
      <c r="AK55" s="78">
        <v>933603.27</v>
      </c>
      <c r="AL55" s="78">
        <v>1014594.02</v>
      </c>
      <c r="AM55" s="78">
        <v>1025499.14</v>
      </c>
      <c r="AN55" s="111">
        <v>1019193.45</v>
      </c>
      <c r="AO55" s="78">
        <v>1009535.7</v>
      </c>
      <c r="AP55" s="78">
        <v>1023886.51</v>
      </c>
      <c r="AQ55" s="78">
        <v>1025083.26</v>
      </c>
      <c r="AR55" s="79">
        <v>1025529.86</v>
      </c>
      <c r="AS55" s="79">
        <v>1021716</v>
      </c>
      <c r="AT55" s="122">
        <v>1033457.3</v>
      </c>
      <c r="AU55" s="122">
        <v>1044875.18</v>
      </c>
    </row>
    <row r="56" spans="1:51" ht="15">
      <c r="A56" s="1" t="s">
        <v>294</v>
      </c>
      <c r="B56" s="5" t="s">
        <v>295</v>
      </c>
      <c r="C56" s="5" t="s">
        <v>296</v>
      </c>
      <c r="D56" s="5" t="s">
        <v>295</v>
      </c>
      <c r="E56" s="3" t="s">
        <v>49</v>
      </c>
      <c r="F56" s="3" t="s">
        <v>50</v>
      </c>
      <c r="G56" s="5" t="s">
        <v>297</v>
      </c>
      <c r="H56" s="6" t="s">
        <v>298</v>
      </c>
      <c r="I56" s="2" t="s">
        <v>120</v>
      </c>
      <c r="J56" s="2" t="s">
        <v>53</v>
      </c>
      <c r="K56" s="7">
        <v>45659</v>
      </c>
      <c r="L56" s="7" t="s">
        <v>54</v>
      </c>
      <c r="M56" s="3" t="s">
        <v>55</v>
      </c>
      <c r="N56" s="3" t="s">
        <v>56</v>
      </c>
      <c r="O56" s="112">
        <v>46708</v>
      </c>
      <c r="P56" s="112">
        <v>46534</v>
      </c>
      <c r="Q56" s="112" t="s">
        <v>57</v>
      </c>
      <c r="R56" s="3" t="str">
        <f ca="1"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IPCA+5%</v>
      </c>
      <c r="S56" s="3" t="s">
        <v>58</v>
      </c>
      <c r="T56" s="3" t="s">
        <v>59</v>
      </c>
      <c r="U56" s="3" t="s">
        <v>59</v>
      </c>
      <c r="V56" s="130" t="s">
        <v>299</v>
      </c>
      <c r="W56" s="3" t="s">
        <v>58</v>
      </c>
      <c r="X56" s="3" t="s">
        <v>58</v>
      </c>
      <c r="Y56" s="3" t="s">
        <v>61</v>
      </c>
      <c r="Z56" s="114" t="s">
        <v>300</v>
      </c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111"/>
      <c r="AO56" s="78"/>
      <c r="AP56" s="78"/>
      <c r="AQ56" s="78"/>
      <c r="AR56" s="79"/>
      <c r="AS56" s="79"/>
      <c r="AT56" s="122"/>
      <c r="AU56" s="122">
        <v>58084.82</v>
      </c>
      <c r="AW56" s="152"/>
      <c r="AX56" s="152"/>
      <c r="AY56" s="152"/>
    </row>
    <row r="57" spans="1:51" ht="15">
      <c r="A57" s="1" t="s">
        <v>81</v>
      </c>
      <c r="B57" s="5" t="s">
        <v>295</v>
      </c>
      <c r="C57" s="5" t="s">
        <v>296</v>
      </c>
      <c r="D57" s="5" t="s">
        <v>295</v>
      </c>
      <c r="E57" s="3" t="s">
        <v>49</v>
      </c>
      <c r="F57" s="3" t="s">
        <v>50</v>
      </c>
      <c r="G57" s="5" t="s">
        <v>301</v>
      </c>
      <c r="H57" s="6" t="s">
        <v>302</v>
      </c>
      <c r="I57" s="2" t="s">
        <v>120</v>
      </c>
      <c r="J57" s="2" t="s">
        <v>53</v>
      </c>
      <c r="K57" s="7"/>
      <c r="L57" s="7" t="s">
        <v>54</v>
      </c>
      <c r="M57" s="3" t="s">
        <v>55</v>
      </c>
      <c r="N57" s="3" t="s">
        <v>56</v>
      </c>
      <c r="O57" s="112"/>
      <c r="P57" s="112"/>
      <c r="Q57" s="112" t="s">
        <v>57</v>
      </c>
      <c r="R57" s="3" t="str">
        <f ca="1"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IPCA+5%</v>
      </c>
      <c r="S57" s="3" t="s">
        <v>58</v>
      </c>
      <c r="T57" s="3" t="s">
        <v>59</v>
      </c>
      <c r="U57" s="3" t="s">
        <v>59</v>
      </c>
      <c r="V57" s="130" t="s">
        <v>299</v>
      </c>
      <c r="W57" s="3" t="s">
        <v>58</v>
      </c>
      <c r="X57" s="3" t="s">
        <v>58</v>
      </c>
      <c r="Y57" s="3" t="s">
        <v>61</v>
      </c>
      <c r="Z57" s="114" t="s">
        <v>300</v>
      </c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111"/>
      <c r="AO57" s="78"/>
      <c r="AP57" s="78"/>
      <c r="AQ57" s="78"/>
      <c r="AR57" s="79"/>
      <c r="AS57" s="79"/>
      <c r="AT57" s="122"/>
      <c r="AU57" s="122">
        <v>0</v>
      </c>
      <c r="AW57" s="152"/>
      <c r="AX57" s="152"/>
      <c r="AY57" s="152"/>
    </row>
    <row r="58" spans="1:51">
      <c r="A58" s="1" t="s">
        <v>47</v>
      </c>
      <c r="B58" s="5" t="s">
        <v>247</v>
      </c>
      <c r="C58" s="5" t="s">
        <v>247</v>
      </c>
      <c r="D58" s="5" t="s">
        <v>303</v>
      </c>
      <c r="E58" s="3" t="s">
        <v>49</v>
      </c>
      <c r="F58" s="3" t="s">
        <v>126</v>
      </c>
      <c r="G58" s="5" t="s">
        <v>304</v>
      </c>
      <c r="H58" s="6">
        <v>5166121</v>
      </c>
      <c r="I58" s="2" t="s">
        <v>65</v>
      </c>
      <c r="J58" s="2" t="s">
        <v>53</v>
      </c>
      <c r="K58" s="7">
        <v>46051</v>
      </c>
      <c r="L58" s="7" t="s">
        <v>54</v>
      </c>
      <c r="M58" s="3" t="s">
        <v>174</v>
      </c>
      <c r="N58" s="3" t="s">
        <v>66</v>
      </c>
      <c r="O58" s="112">
        <v>47043</v>
      </c>
      <c r="P58" s="112">
        <v>47104</v>
      </c>
      <c r="Q58" s="112" t="s">
        <v>250</v>
      </c>
      <c r="R58" s="3" t="str">
        <f ca="1"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IPCA+4%</v>
      </c>
      <c r="S58" s="3" t="s">
        <v>59</v>
      </c>
      <c r="T58" s="3" t="s">
        <v>59</v>
      </c>
      <c r="U58" s="3" t="s">
        <v>58</v>
      </c>
      <c r="V58" s="130" t="s">
        <v>251</v>
      </c>
      <c r="W58" s="3" t="s">
        <v>58</v>
      </c>
      <c r="X58" s="3" t="s">
        <v>58</v>
      </c>
      <c r="Y58" s="3" t="s">
        <v>107</v>
      </c>
      <c r="Z58" s="114" t="s">
        <v>305</v>
      </c>
      <c r="AA58" s="78">
        <v>1099204.07</v>
      </c>
      <c r="AB58" s="78">
        <v>6460453.4000000004</v>
      </c>
      <c r="AC58" s="78">
        <v>11037679.58</v>
      </c>
      <c r="AD58" s="78">
        <v>603262.06999999995</v>
      </c>
      <c r="AE58" s="78">
        <v>1500000</v>
      </c>
      <c r="AF58" s="78">
        <v>400490.81</v>
      </c>
      <c r="AG58" s="78">
        <v>0</v>
      </c>
      <c r="AH58" s="78">
        <v>2306715.96</v>
      </c>
      <c r="AI58" s="78">
        <v>3939262.16</v>
      </c>
      <c r="AJ58" s="78">
        <v>4063398.84</v>
      </c>
      <c r="AK58" s="78">
        <v>5562273.4900000002</v>
      </c>
      <c r="AL58" s="78">
        <v>10847606.140000001</v>
      </c>
      <c r="AM58" s="78">
        <v>7000000</v>
      </c>
      <c r="AN58" s="111">
        <v>9718990.9700000007</v>
      </c>
      <c r="AO58" s="78">
        <v>1348548.5</v>
      </c>
      <c r="AP58" s="78">
        <v>907954.18</v>
      </c>
      <c r="AQ58" s="78">
        <v>4005845.6448764298</v>
      </c>
      <c r="AR58" s="79">
        <v>901.15</v>
      </c>
      <c r="AS58" s="79">
        <v>1500886</v>
      </c>
      <c r="AT58" s="122">
        <v>8874422.4680000003</v>
      </c>
      <c r="AU58" s="122">
        <v>13022474.24</v>
      </c>
    </row>
    <row r="59" spans="1:51">
      <c r="A59" s="115" t="s">
        <v>132</v>
      </c>
      <c r="B59" s="5" t="s">
        <v>240</v>
      </c>
      <c r="C59" s="116" t="s">
        <v>241</v>
      </c>
      <c r="D59" s="116" t="s">
        <v>306</v>
      </c>
      <c r="E59" s="117" t="s">
        <v>49</v>
      </c>
      <c r="F59" s="117" t="s">
        <v>50</v>
      </c>
      <c r="G59" s="116" t="s">
        <v>307</v>
      </c>
      <c r="H59" s="118">
        <v>5370995</v>
      </c>
      <c r="I59" s="119" t="s">
        <v>72</v>
      </c>
      <c r="J59" s="119" t="s">
        <v>53</v>
      </c>
      <c r="K59" s="112"/>
      <c r="L59" s="112" t="s">
        <v>54</v>
      </c>
      <c r="M59" s="117" t="s">
        <v>114</v>
      </c>
      <c r="N59" s="117" t="s">
        <v>282</v>
      </c>
      <c r="O59" s="112">
        <v>46390</v>
      </c>
      <c r="P59" s="112">
        <v>46844</v>
      </c>
      <c r="Q59" s="112" t="s">
        <v>221</v>
      </c>
      <c r="R59" s="3" t="str">
        <f ca="1"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IPCA+5%</v>
      </c>
      <c r="S59" s="117" t="s">
        <v>58</v>
      </c>
      <c r="T59" s="117"/>
      <c r="U59" s="117"/>
      <c r="V59" s="131"/>
      <c r="W59" s="117"/>
      <c r="X59" s="117"/>
      <c r="Y59" s="117"/>
      <c r="Z59" s="120" t="s">
        <v>308</v>
      </c>
      <c r="AA59" s="121">
        <v>1505.95</v>
      </c>
      <c r="AB59" s="121">
        <v>1520.91</v>
      </c>
      <c r="AC59" s="121">
        <v>1535.62</v>
      </c>
      <c r="AD59" s="121">
        <v>1552.11</v>
      </c>
      <c r="AE59" s="121">
        <v>15923.05</v>
      </c>
      <c r="AF59" s="121">
        <v>16095.12</v>
      </c>
      <c r="AG59" s="121">
        <v>16291.21</v>
      </c>
      <c r="AH59" s="121">
        <v>16472.34</v>
      </c>
      <c r="AI59" s="121">
        <v>16642.68</v>
      </c>
      <c r="AJ59" s="121">
        <v>16863.72</v>
      </c>
      <c r="AK59" s="121">
        <v>16908.599999999999</v>
      </c>
      <c r="AL59" s="121">
        <v>18106.21</v>
      </c>
      <c r="AM59" s="121">
        <v>18295.93</v>
      </c>
      <c r="AN59" s="122">
        <v>18485.490000000002</v>
      </c>
      <c r="AO59" s="121">
        <v>18888.949999999997</v>
      </c>
      <c r="AP59" s="121">
        <v>19270.990000000002</v>
      </c>
      <c r="AQ59" s="121">
        <v>19320.840000000004</v>
      </c>
      <c r="AR59" s="122">
        <v>19431.05</v>
      </c>
      <c r="AS59" s="122">
        <v>19653.300000000003</v>
      </c>
      <c r="AT59" s="122">
        <v>19853.27</v>
      </c>
      <c r="AU59" s="122">
        <v>20022.189999999999</v>
      </c>
    </row>
    <row r="60" spans="1:51" ht="15">
      <c r="A60" s="1" t="s">
        <v>47</v>
      </c>
      <c r="B60" s="5" t="s">
        <v>82</v>
      </c>
      <c r="C60" s="5" t="s">
        <v>82</v>
      </c>
      <c r="D60" s="5" t="s">
        <v>89</v>
      </c>
      <c r="E60" s="3" t="s">
        <v>49</v>
      </c>
      <c r="F60" s="3" t="s">
        <v>50</v>
      </c>
      <c r="G60" s="5" t="s">
        <v>90</v>
      </c>
      <c r="H60" s="6">
        <v>5541778</v>
      </c>
      <c r="I60" s="2" t="s">
        <v>86</v>
      </c>
      <c r="J60" s="82" t="s">
        <v>87</v>
      </c>
      <c r="K60" s="7">
        <v>46253</v>
      </c>
      <c r="L60" s="7" t="s">
        <v>54</v>
      </c>
      <c r="M60" s="3"/>
      <c r="N60" s="3" t="s">
        <v>66</v>
      </c>
      <c r="O60" s="112">
        <v>46336</v>
      </c>
      <c r="P60" s="112">
        <v>46990</v>
      </c>
      <c r="Q60" s="112" t="s">
        <v>67</v>
      </c>
      <c r="R60" s="3"/>
      <c r="S60" s="3"/>
      <c r="T60" s="3"/>
      <c r="U60" s="3"/>
      <c r="V60" s="130"/>
      <c r="W60" s="3"/>
      <c r="X60" s="3"/>
      <c r="Y60" s="3"/>
      <c r="Z60" s="114" t="s">
        <v>91</v>
      </c>
      <c r="AA60" s="78">
        <v>0</v>
      </c>
      <c r="AB60" s="78">
        <v>0</v>
      </c>
      <c r="AC60" s="78">
        <v>0</v>
      </c>
      <c r="AD60" s="78">
        <v>0</v>
      </c>
      <c r="AE60" s="78">
        <v>0</v>
      </c>
      <c r="AF60" s="78">
        <v>0</v>
      </c>
      <c r="AG60" s="78">
        <v>0</v>
      </c>
      <c r="AH60" s="78">
        <v>0</v>
      </c>
      <c r="AI60" s="78">
        <v>0</v>
      </c>
      <c r="AJ60" s="78">
        <v>0</v>
      </c>
      <c r="AK60" s="78">
        <v>0</v>
      </c>
      <c r="AL60" s="78">
        <v>0</v>
      </c>
      <c r="AM60" s="78">
        <v>0</v>
      </c>
      <c r="AN60" s="78">
        <v>0</v>
      </c>
      <c r="AO60" s="78">
        <v>0</v>
      </c>
      <c r="AP60" s="78">
        <v>0</v>
      </c>
      <c r="AQ60" s="78">
        <v>0</v>
      </c>
      <c r="AR60" s="78">
        <v>0</v>
      </c>
      <c r="AS60" s="78">
        <v>0</v>
      </c>
      <c r="AT60" s="78">
        <v>82048.28</v>
      </c>
      <c r="AU60" s="161">
        <v>8694063.1400000006</v>
      </c>
      <c r="AW60" s="152"/>
      <c r="AX60" s="152"/>
      <c r="AY60" s="152"/>
    </row>
    <row r="61" spans="1:51">
      <c r="A61" s="1" t="s">
        <v>132</v>
      </c>
      <c r="B61" s="5" t="s">
        <v>309</v>
      </c>
      <c r="C61" s="5" t="s">
        <v>309</v>
      </c>
      <c r="D61" s="5" t="s">
        <v>310</v>
      </c>
      <c r="E61" s="3" t="s">
        <v>102</v>
      </c>
      <c r="F61" s="3" t="s">
        <v>50</v>
      </c>
      <c r="G61" s="116" t="s">
        <v>311</v>
      </c>
      <c r="H61" s="6">
        <v>5949720</v>
      </c>
      <c r="I61" s="2" t="s">
        <v>86</v>
      </c>
      <c r="J61" s="2" t="s">
        <v>53</v>
      </c>
      <c r="K61" s="7"/>
      <c r="L61" s="7" t="s">
        <v>54</v>
      </c>
      <c r="M61" s="3" t="s">
        <v>105</v>
      </c>
      <c r="N61" s="3" t="s">
        <v>56</v>
      </c>
      <c r="O61" s="136">
        <v>46157</v>
      </c>
      <c r="P61" s="112">
        <v>47418</v>
      </c>
      <c r="Q61" s="112" t="s">
        <v>221</v>
      </c>
      <c r="R61" s="3" t="str">
        <f ca="1"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58</v>
      </c>
      <c r="T61" s="3"/>
      <c r="U61" s="3"/>
      <c r="V61" s="130"/>
      <c r="W61" s="3"/>
      <c r="X61" s="3"/>
      <c r="Y61" s="3"/>
      <c r="Z61" s="114" t="s">
        <v>312</v>
      </c>
      <c r="AA61" s="78">
        <v>0</v>
      </c>
      <c r="AB61" s="78">
        <v>0</v>
      </c>
      <c r="AC61" s="78">
        <v>0</v>
      </c>
      <c r="AD61" s="78">
        <v>0</v>
      </c>
      <c r="AE61" s="78">
        <v>0</v>
      </c>
      <c r="AF61" s="78">
        <v>0</v>
      </c>
      <c r="AG61" s="78">
        <v>0</v>
      </c>
      <c r="AH61" s="78">
        <v>0</v>
      </c>
      <c r="AI61" s="78">
        <v>0</v>
      </c>
      <c r="AJ61" s="78">
        <v>0</v>
      </c>
      <c r="AK61" s="78">
        <v>0</v>
      </c>
      <c r="AL61" s="78">
        <v>0</v>
      </c>
      <c r="AM61" s="78">
        <v>0</v>
      </c>
      <c r="AN61" s="111" t="s">
        <v>313</v>
      </c>
      <c r="AO61" s="78">
        <v>0</v>
      </c>
      <c r="AP61" s="78">
        <v>0</v>
      </c>
      <c r="AQ61" s="78" t="s">
        <v>314</v>
      </c>
      <c r="AR61" s="111">
        <v>0</v>
      </c>
      <c r="AS61" s="111">
        <v>0</v>
      </c>
      <c r="AT61" s="122">
        <v>0</v>
      </c>
      <c r="AU61" s="122">
        <v>0</v>
      </c>
    </row>
    <row r="62" spans="1:51">
      <c r="A62" s="1" t="s">
        <v>98</v>
      </c>
      <c r="B62" s="5" t="s">
        <v>160</v>
      </c>
      <c r="C62" s="5" t="s">
        <v>160</v>
      </c>
      <c r="D62" s="5" t="s">
        <v>160</v>
      </c>
      <c r="E62" s="3" t="s">
        <v>102</v>
      </c>
      <c r="F62" s="3" t="s">
        <v>50</v>
      </c>
      <c r="G62" s="5" t="s">
        <v>315</v>
      </c>
      <c r="H62" s="6">
        <v>79451840</v>
      </c>
      <c r="I62" s="2" t="s">
        <v>72</v>
      </c>
      <c r="J62" s="2" t="s">
        <v>53</v>
      </c>
      <c r="K62" s="7"/>
      <c r="L62" s="7" t="s">
        <v>54</v>
      </c>
      <c r="M62" s="3" t="s">
        <v>73</v>
      </c>
      <c r="N62" s="3" t="s">
        <v>56</v>
      </c>
      <c r="O62" s="112"/>
      <c r="P62" s="112"/>
      <c r="Q62" s="112" t="s">
        <v>57</v>
      </c>
      <c r="R62" s="3" t="str">
        <f ca="1"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IPCA+6%</v>
      </c>
      <c r="S62" s="3" t="s">
        <v>59</v>
      </c>
      <c r="T62" s="3" t="s">
        <v>59</v>
      </c>
      <c r="U62" s="3" t="s">
        <v>58</v>
      </c>
      <c r="V62" s="130" t="s">
        <v>162</v>
      </c>
      <c r="W62" s="3" t="s">
        <v>58</v>
      </c>
      <c r="X62" s="3" t="s">
        <v>59</v>
      </c>
      <c r="Y62" s="3" t="s">
        <v>130</v>
      </c>
      <c r="Z62" s="114" t="s">
        <v>316</v>
      </c>
      <c r="AA62" s="77">
        <v>195880.28</v>
      </c>
      <c r="AB62" s="77">
        <v>197458.74</v>
      </c>
      <c r="AC62" s="77">
        <v>189299.32</v>
      </c>
      <c r="AD62" s="77">
        <v>185812.84</v>
      </c>
      <c r="AE62" s="77">
        <v>194617.58</v>
      </c>
      <c r="AF62" s="77">
        <v>200649.41</v>
      </c>
      <c r="AG62" s="77">
        <v>202523.36</v>
      </c>
      <c r="AH62" s="77">
        <v>210248.28</v>
      </c>
      <c r="AI62" s="77">
        <v>215923.68</v>
      </c>
      <c r="AJ62" s="77">
        <v>216598.79</v>
      </c>
      <c r="AK62" s="77">
        <v>220146.95</v>
      </c>
      <c r="AL62" s="77">
        <v>216659.09</v>
      </c>
      <c r="AM62" s="77">
        <v>223437.5</v>
      </c>
      <c r="AN62" s="77">
        <v>224236.86</v>
      </c>
      <c r="AO62" s="77">
        <v>214801.85</v>
      </c>
      <c r="AP62" s="77">
        <v>227095.82</v>
      </c>
      <c r="AQ62" s="80">
        <v>228619.97</v>
      </c>
      <c r="AR62" s="80">
        <v>229746.14</v>
      </c>
      <c r="AS62" s="80">
        <v>231131.71</v>
      </c>
      <c r="AT62" s="132">
        <v>232251.47</v>
      </c>
      <c r="AU62" s="132">
        <v>226490.57</v>
      </c>
    </row>
    <row r="63" spans="1:51">
      <c r="A63" s="1" t="s">
        <v>47</v>
      </c>
      <c r="B63" s="5" t="s">
        <v>295</v>
      </c>
      <c r="C63" s="5" t="s">
        <v>296</v>
      </c>
      <c r="D63" s="5" t="s">
        <v>295</v>
      </c>
      <c r="E63" s="3" t="s">
        <v>49</v>
      </c>
      <c r="F63" s="3" t="s">
        <v>50</v>
      </c>
      <c r="G63" s="5" t="s">
        <v>317</v>
      </c>
      <c r="H63" s="6">
        <v>6696173</v>
      </c>
      <c r="I63" s="2" t="s">
        <v>120</v>
      </c>
      <c r="J63" s="2" t="s">
        <v>53</v>
      </c>
      <c r="K63" s="7">
        <v>45659</v>
      </c>
      <c r="L63" s="7" t="s">
        <v>54</v>
      </c>
      <c r="M63" s="3" t="s">
        <v>55</v>
      </c>
      <c r="N63" s="3" t="s">
        <v>56</v>
      </c>
      <c r="O63" s="112">
        <v>46708</v>
      </c>
      <c r="P63" s="112">
        <v>46534</v>
      </c>
      <c r="Q63" s="112" t="s">
        <v>57</v>
      </c>
      <c r="R63" s="3" t="str">
        <f ca="1"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IPCA+5%</v>
      </c>
      <c r="S63" s="3" t="s">
        <v>58</v>
      </c>
      <c r="T63" s="3" t="s">
        <v>59</v>
      </c>
      <c r="U63" s="3" t="s">
        <v>59</v>
      </c>
      <c r="V63" s="130" t="s">
        <v>299</v>
      </c>
      <c r="W63" s="3" t="s">
        <v>58</v>
      </c>
      <c r="X63" s="3" t="s">
        <v>58</v>
      </c>
      <c r="Y63" s="3" t="s">
        <v>61</v>
      </c>
      <c r="Z63" s="114" t="s">
        <v>300</v>
      </c>
      <c r="AA63" s="78">
        <v>1998006.74</v>
      </c>
      <c r="AB63" s="78">
        <v>2009862.44</v>
      </c>
      <c r="AC63" s="78">
        <v>2083141.34</v>
      </c>
      <c r="AD63" s="78">
        <v>2234298.54</v>
      </c>
      <c r="AE63" s="78">
        <v>2263326.63</v>
      </c>
      <c r="AF63" s="78">
        <v>2333037.06</v>
      </c>
      <c r="AG63" s="78">
        <v>2332614.09</v>
      </c>
      <c r="AH63" s="78">
        <v>2367748.5499999998</v>
      </c>
      <c r="AI63" s="78">
        <v>2390376.04</v>
      </c>
      <c r="AJ63" s="78">
        <v>2454502.5699999998</v>
      </c>
      <c r="AK63" s="78">
        <v>2491364.69</v>
      </c>
      <c r="AL63" s="78">
        <v>2530541.63</v>
      </c>
      <c r="AM63" s="78">
        <v>2576606.56</v>
      </c>
      <c r="AN63" s="111">
        <v>2694446.9</v>
      </c>
      <c r="AO63" s="78">
        <v>2936016.51</v>
      </c>
      <c r="AP63" s="78">
        <v>3020783.5</v>
      </c>
      <c r="AQ63" s="78">
        <v>3054097.2905880399</v>
      </c>
      <c r="AR63" s="79">
        <v>3030789.66</v>
      </c>
      <c r="AS63" s="79">
        <v>3047919</v>
      </c>
      <c r="AT63" s="122">
        <v>3074212.6490000002</v>
      </c>
      <c r="AU63" s="122">
        <v>3094654.95</v>
      </c>
    </row>
    <row r="64" spans="1:51">
      <c r="A64" s="1" t="s">
        <v>47</v>
      </c>
      <c r="B64" s="5" t="s">
        <v>318</v>
      </c>
      <c r="C64" s="5" t="s">
        <v>318</v>
      </c>
      <c r="D64" s="5" t="s">
        <v>318</v>
      </c>
      <c r="E64" s="3" t="s">
        <v>49</v>
      </c>
      <c r="F64" s="3" t="s">
        <v>50</v>
      </c>
      <c r="G64" s="5" t="s">
        <v>319</v>
      </c>
      <c r="H64" s="6">
        <v>6860829</v>
      </c>
      <c r="I64" s="2" t="s">
        <v>95</v>
      </c>
      <c r="J64" s="2" t="s">
        <v>53</v>
      </c>
      <c r="K64" s="7">
        <v>46045</v>
      </c>
      <c r="L64" s="7" t="s">
        <v>54</v>
      </c>
      <c r="M64" s="3" t="s">
        <v>114</v>
      </c>
      <c r="N64" s="3" t="s">
        <v>66</v>
      </c>
      <c r="O64" s="112">
        <v>46703</v>
      </c>
      <c r="P64" s="112">
        <v>46496</v>
      </c>
      <c r="Q64" s="112" t="s">
        <v>67</v>
      </c>
      <c r="R64" s="3" t="str">
        <f ca="1"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IPCA+5%</v>
      </c>
      <c r="S64" s="3" t="s">
        <v>58</v>
      </c>
      <c r="T64" s="3" t="s">
        <v>58</v>
      </c>
      <c r="U64" s="3" t="s">
        <v>58</v>
      </c>
      <c r="V64" s="130"/>
      <c r="W64" s="3" t="s">
        <v>58</v>
      </c>
      <c r="X64" s="3" t="s">
        <v>58</v>
      </c>
      <c r="Y64" s="3"/>
      <c r="Z64" s="114" t="s">
        <v>320</v>
      </c>
      <c r="AA64" s="78">
        <v>1113999.47</v>
      </c>
      <c r="AB64" s="78">
        <v>1122201.76</v>
      </c>
      <c r="AC64" s="78">
        <v>1129381.47</v>
      </c>
      <c r="AD64" s="78">
        <v>1290944.5</v>
      </c>
      <c r="AE64" s="78">
        <v>1303954.07</v>
      </c>
      <c r="AF64" s="78">
        <v>1367296.42</v>
      </c>
      <c r="AG64" s="78">
        <v>1383405.73</v>
      </c>
      <c r="AH64" s="78">
        <v>1399229.08</v>
      </c>
      <c r="AI64" s="78">
        <v>1413384.27</v>
      </c>
      <c r="AJ64" s="78">
        <v>1557502.3</v>
      </c>
      <c r="AK64" s="78">
        <v>1573060.38</v>
      </c>
      <c r="AL64" s="78">
        <v>1596331.56</v>
      </c>
      <c r="AM64" s="78">
        <v>1615219.47</v>
      </c>
      <c r="AN64" s="111">
        <v>1625812.62</v>
      </c>
      <c r="AO64" s="78">
        <v>1726490.83</v>
      </c>
      <c r="AP64" s="78">
        <v>1744387.58</v>
      </c>
      <c r="AQ64" s="78">
        <v>1751233.9480941</v>
      </c>
      <c r="AR64" s="79">
        <v>1759814.64</v>
      </c>
      <c r="AS64" s="79">
        <v>1627514</v>
      </c>
      <c r="AT64" s="122">
        <v>1492576.892</v>
      </c>
      <c r="AU64" s="122">
        <v>1236818.22</v>
      </c>
    </row>
    <row r="65" spans="1:51">
      <c r="A65" s="1" t="s">
        <v>98</v>
      </c>
      <c r="B65" s="5" t="s">
        <v>321</v>
      </c>
      <c r="C65" s="160" t="s">
        <v>70</v>
      </c>
      <c r="D65" s="5" t="s">
        <v>322</v>
      </c>
      <c r="E65" s="3" t="s">
        <v>49</v>
      </c>
      <c r="F65" s="3" t="s">
        <v>50</v>
      </c>
      <c r="G65" s="81" t="s">
        <v>323</v>
      </c>
      <c r="H65" s="6">
        <v>87523267</v>
      </c>
      <c r="I65" s="2" t="s">
        <v>72</v>
      </c>
      <c r="J65" s="2" t="s">
        <v>53</v>
      </c>
      <c r="K65" s="7"/>
      <c r="L65" s="7" t="s">
        <v>54</v>
      </c>
      <c r="M65" s="3" t="s">
        <v>215</v>
      </c>
      <c r="N65" s="3" t="s">
        <v>66</v>
      </c>
      <c r="O65" s="112"/>
      <c r="P65" s="112"/>
      <c r="Q65" s="112" t="s">
        <v>57</v>
      </c>
      <c r="R65" s="3" t="str">
        <f ca="1"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59</v>
      </c>
      <c r="T65" s="3" t="s">
        <v>58</v>
      </c>
      <c r="U65" s="3" t="s">
        <v>58</v>
      </c>
      <c r="V65" s="130" t="s">
        <v>324</v>
      </c>
      <c r="W65" s="3" t="s">
        <v>59</v>
      </c>
      <c r="X65" s="3" t="s">
        <v>58</v>
      </c>
      <c r="Y65" s="3" t="s">
        <v>107</v>
      </c>
      <c r="Z65" s="114" t="s">
        <v>325</v>
      </c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80">
        <v>4.2699999999999996</v>
      </c>
      <c r="AR65" s="80">
        <v>4.2699999999999996</v>
      </c>
      <c r="AS65" s="80">
        <v>4.2699999999999996</v>
      </c>
      <c r="AT65" s="132">
        <v>4.2699999999999996</v>
      </c>
      <c r="AU65" s="132">
        <v>4.2699999999999996</v>
      </c>
    </row>
    <row r="66" spans="1:51">
      <c r="A66" s="1" t="s">
        <v>98</v>
      </c>
      <c r="B66" s="5" t="s">
        <v>321</v>
      </c>
      <c r="C66" s="158" t="s">
        <v>70</v>
      </c>
      <c r="D66" s="5" t="s">
        <v>326</v>
      </c>
      <c r="E66" s="3" t="s">
        <v>102</v>
      </c>
      <c r="F66" s="3" t="s">
        <v>50</v>
      </c>
      <c r="G66" s="5" t="s">
        <v>323</v>
      </c>
      <c r="H66" s="6">
        <v>92343302</v>
      </c>
      <c r="I66" s="2" t="s">
        <v>72</v>
      </c>
      <c r="J66" s="2" t="s">
        <v>53</v>
      </c>
      <c r="K66" s="7"/>
      <c r="L66" s="7" t="s">
        <v>54</v>
      </c>
      <c r="M66" s="3" t="s">
        <v>215</v>
      </c>
      <c r="N66" s="3" t="s">
        <v>66</v>
      </c>
      <c r="O66" s="112"/>
      <c r="P66" s="112"/>
      <c r="Q66" s="112" t="s">
        <v>57</v>
      </c>
      <c r="R66" s="3" t="str">
        <f ca="1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59</v>
      </c>
      <c r="T66" s="3" t="s">
        <v>58</v>
      </c>
      <c r="U66" s="3" t="s">
        <v>58</v>
      </c>
      <c r="V66" s="130" t="s">
        <v>324</v>
      </c>
      <c r="W66" s="3" t="s">
        <v>59</v>
      </c>
      <c r="X66" s="3" t="s">
        <v>58</v>
      </c>
      <c r="Y66" s="3" t="s">
        <v>107</v>
      </c>
      <c r="Z66" s="114" t="s">
        <v>325</v>
      </c>
      <c r="AA66" s="77">
        <v>1064848.23</v>
      </c>
      <c r="AB66" s="77">
        <v>1096126.33</v>
      </c>
      <c r="AC66" s="77">
        <v>1093869.5900000001</v>
      </c>
      <c r="AD66" s="77">
        <v>1076932.3899999999</v>
      </c>
      <c r="AE66" s="77">
        <v>1072812.32</v>
      </c>
      <c r="AF66" s="77">
        <v>1092198.51</v>
      </c>
      <c r="AG66" s="77">
        <v>1088327.76</v>
      </c>
      <c r="AH66" s="77">
        <v>1117395.97</v>
      </c>
      <c r="AI66" s="77">
        <v>1145920.02</v>
      </c>
      <c r="AJ66" s="77">
        <v>1158903.95</v>
      </c>
      <c r="AK66" s="77">
        <v>1179510.76</v>
      </c>
      <c r="AL66" s="77">
        <v>1165860.4099999999</v>
      </c>
      <c r="AM66" s="77">
        <v>1194080.8500000001</v>
      </c>
      <c r="AN66" s="77">
        <v>1228093.77</v>
      </c>
      <c r="AO66" s="77">
        <v>1180617.33</v>
      </c>
      <c r="AP66" s="77">
        <v>1197451.17</v>
      </c>
      <c r="AQ66" s="80">
        <v>1183604.8899999999</v>
      </c>
      <c r="AR66" s="80">
        <v>1192137.8400000001</v>
      </c>
      <c r="AS66" s="80">
        <v>1182982.06</v>
      </c>
      <c r="AT66" s="132">
        <v>1188997.72</v>
      </c>
      <c r="AU66" s="132">
        <v>1139818.8400000001</v>
      </c>
    </row>
    <row r="67" spans="1:51">
      <c r="A67" s="1" t="s">
        <v>47</v>
      </c>
      <c r="B67" s="5" t="s">
        <v>327</v>
      </c>
      <c r="C67" s="5" t="s">
        <v>327</v>
      </c>
      <c r="D67" s="5" t="s">
        <v>327</v>
      </c>
      <c r="E67" s="3" t="s">
        <v>102</v>
      </c>
      <c r="F67" s="3" t="s">
        <v>126</v>
      </c>
      <c r="G67" s="5" t="s">
        <v>328</v>
      </c>
      <c r="H67" s="6">
        <v>7153570</v>
      </c>
      <c r="I67" s="2" t="s">
        <v>72</v>
      </c>
      <c r="J67" s="82" t="s">
        <v>53</v>
      </c>
      <c r="K67" s="7">
        <v>46169</v>
      </c>
      <c r="L67" s="7"/>
      <c r="M67" s="3" t="s">
        <v>174</v>
      </c>
      <c r="N67" s="3" t="s">
        <v>56</v>
      </c>
      <c r="O67" s="112">
        <v>47250</v>
      </c>
      <c r="P67" s="112">
        <v>46695</v>
      </c>
      <c r="Q67" s="112" t="s">
        <v>329</v>
      </c>
      <c r="R67" s="3" t="str">
        <f ca="1"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58</v>
      </c>
      <c r="T67" s="3"/>
      <c r="U67" s="3"/>
      <c r="V67" s="130"/>
      <c r="W67" s="3"/>
      <c r="X67" s="3"/>
      <c r="Y67" s="3"/>
      <c r="Z67" s="114" t="s">
        <v>330</v>
      </c>
      <c r="AA67" s="79">
        <v>0</v>
      </c>
      <c r="AB67" s="79">
        <v>0</v>
      </c>
      <c r="AC67" s="79">
        <v>0</v>
      </c>
      <c r="AD67" s="79">
        <v>0</v>
      </c>
      <c r="AE67" s="79">
        <v>0</v>
      </c>
      <c r="AF67" s="79">
        <v>0</v>
      </c>
      <c r="AG67" s="79">
        <v>0</v>
      </c>
      <c r="AH67" s="79">
        <v>0</v>
      </c>
      <c r="AI67" s="79">
        <v>0</v>
      </c>
      <c r="AJ67" s="79">
        <v>0</v>
      </c>
      <c r="AK67" s="79">
        <v>0</v>
      </c>
      <c r="AL67" s="79">
        <v>0</v>
      </c>
      <c r="AM67" s="79">
        <v>0</v>
      </c>
      <c r="AN67" s="79">
        <v>2360</v>
      </c>
      <c r="AO67" s="79">
        <v>0</v>
      </c>
      <c r="AP67" s="79">
        <v>0</v>
      </c>
      <c r="AQ67" s="79">
        <v>0</v>
      </c>
      <c r="AR67" s="79">
        <v>465.95</v>
      </c>
      <c r="AS67" s="79">
        <v>465.95</v>
      </c>
      <c r="AT67" s="122">
        <v>465.95</v>
      </c>
      <c r="AU67" s="122">
        <v>465.95</v>
      </c>
    </row>
    <row r="68" spans="1:51" ht="15">
      <c r="A68" s="1" t="s">
        <v>47</v>
      </c>
      <c r="B68" s="5" t="s">
        <v>321</v>
      </c>
      <c r="C68" s="5" t="s">
        <v>70</v>
      </c>
      <c r="D68" s="5" t="s">
        <v>321</v>
      </c>
      <c r="E68" s="3" t="s">
        <v>49</v>
      </c>
      <c r="F68" s="3" t="s">
        <v>50</v>
      </c>
      <c r="G68" s="5" t="s">
        <v>331</v>
      </c>
      <c r="H68" s="6">
        <v>7758450</v>
      </c>
      <c r="I68" s="2" t="s">
        <v>72</v>
      </c>
      <c r="J68" s="2" t="s">
        <v>53</v>
      </c>
      <c r="K68" s="7">
        <v>45656</v>
      </c>
      <c r="L68" s="7" t="s">
        <v>54</v>
      </c>
      <c r="M68" s="3" t="s">
        <v>215</v>
      </c>
      <c r="N68" s="3" t="s">
        <v>66</v>
      </c>
      <c r="O68" s="112">
        <v>46624</v>
      </c>
      <c r="P68" s="112">
        <v>46358</v>
      </c>
      <c r="Q68" s="112" t="s">
        <v>57</v>
      </c>
      <c r="R68" s="3" t="str">
        <f ca="1"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59</v>
      </c>
      <c r="T68" s="3" t="s">
        <v>58</v>
      </c>
      <c r="U68" s="3" t="s">
        <v>58</v>
      </c>
      <c r="V68" s="130" t="s">
        <v>324</v>
      </c>
      <c r="W68" s="3" t="s">
        <v>59</v>
      </c>
      <c r="X68" s="3" t="s">
        <v>58</v>
      </c>
      <c r="Y68" s="3" t="s">
        <v>107</v>
      </c>
      <c r="Z68" s="114" t="s">
        <v>332</v>
      </c>
      <c r="AA68" s="78">
        <v>3037862.46</v>
      </c>
      <c r="AB68" s="78">
        <v>3082808.99</v>
      </c>
      <c r="AC68" s="78">
        <v>3130494.56</v>
      </c>
      <c r="AD68" s="78">
        <v>3107192.27</v>
      </c>
      <c r="AE68" s="78">
        <v>3146425.57</v>
      </c>
      <c r="AF68" s="78">
        <v>3167756.1</v>
      </c>
      <c r="AG68" s="78">
        <v>3187051.2</v>
      </c>
      <c r="AH68" s="78">
        <v>3229190.43</v>
      </c>
      <c r="AI68" s="78">
        <v>3255300.75</v>
      </c>
      <c r="AJ68" s="78">
        <v>3267491.52</v>
      </c>
      <c r="AK68" s="78">
        <v>3309579.18</v>
      </c>
      <c r="AL68" s="78">
        <v>3311157.74</v>
      </c>
      <c r="AM68" s="78">
        <v>2995111.69</v>
      </c>
      <c r="AN68" s="111">
        <v>3050437.52</v>
      </c>
      <c r="AO68" s="78">
        <v>2823091.28</v>
      </c>
      <c r="AP68" s="78">
        <v>2866487.47</v>
      </c>
      <c r="AQ68" s="78">
        <v>2900751.7209999999</v>
      </c>
      <c r="AR68" s="79">
        <v>2902979.01</v>
      </c>
      <c r="AS68" s="79">
        <v>2964869</v>
      </c>
      <c r="AT68" s="122">
        <v>2989497.6409999998</v>
      </c>
      <c r="AU68" s="122">
        <v>2959516.66</v>
      </c>
      <c r="AW68" s="152"/>
      <c r="AX68" s="152"/>
      <c r="AY68" s="152"/>
    </row>
    <row r="69" spans="1:51" ht="15">
      <c r="A69" s="1" t="s">
        <v>98</v>
      </c>
      <c r="B69" s="5" t="s">
        <v>218</v>
      </c>
      <c r="C69" s="5" t="s">
        <v>219</v>
      </c>
      <c r="D69" s="5" t="s">
        <v>333</v>
      </c>
      <c r="E69" s="3" t="s">
        <v>102</v>
      </c>
      <c r="F69" s="3" t="s">
        <v>212</v>
      </c>
      <c r="G69" s="5" t="s">
        <v>334</v>
      </c>
      <c r="H69" s="6">
        <v>17789609</v>
      </c>
      <c r="I69" s="2" t="s">
        <v>72</v>
      </c>
      <c r="J69" s="2" t="s">
        <v>53</v>
      </c>
      <c r="K69" s="7"/>
      <c r="L69" s="7" t="s">
        <v>54</v>
      </c>
      <c r="M69" s="3" t="s">
        <v>215</v>
      </c>
      <c r="N69" s="3" t="s">
        <v>56</v>
      </c>
      <c r="O69" s="112"/>
      <c r="P69" s="112"/>
      <c r="Q69" s="112" t="s">
        <v>226</v>
      </c>
      <c r="R69" s="3" t="str">
        <f ca="1"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59</v>
      </c>
      <c r="T69" s="3" t="s">
        <v>58</v>
      </c>
      <c r="U69" s="3" t="s">
        <v>58</v>
      </c>
      <c r="V69" s="130" t="s">
        <v>222</v>
      </c>
      <c r="W69" s="3" t="s">
        <v>58</v>
      </c>
      <c r="X69" s="3" t="s">
        <v>58</v>
      </c>
      <c r="Y69" s="3" t="s">
        <v>61</v>
      </c>
      <c r="Z69" s="114" t="s">
        <v>223</v>
      </c>
      <c r="AA69" s="77">
        <v>0</v>
      </c>
      <c r="AB69" s="77">
        <v>0</v>
      </c>
      <c r="AC69" s="77">
        <v>0</v>
      </c>
      <c r="AD69" s="77">
        <v>0</v>
      </c>
      <c r="AE69" s="77">
        <v>0</v>
      </c>
      <c r="AF69" s="77">
        <v>101684.66</v>
      </c>
      <c r="AG69" s="77">
        <v>101941.91</v>
      </c>
      <c r="AH69" s="77">
        <v>556088.76</v>
      </c>
      <c r="AI69" s="77">
        <v>515969.46</v>
      </c>
      <c r="AJ69" s="77">
        <v>522448.75</v>
      </c>
      <c r="AK69" s="77">
        <v>523788.7</v>
      </c>
      <c r="AL69" s="77">
        <v>1612688.92</v>
      </c>
      <c r="AM69" s="77">
        <v>1616080.27</v>
      </c>
      <c r="AN69" s="77">
        <v>1641094.17</v>
      </c>
      <c r="AO69" s="77">
        <v>1615420.94</v>
      </c>
      <c r="AP69" s="77">
        <v>1612979.77</v>
      </c>
      <c r="AQ69" s="80">
        <v>1618144.39</v>
      </c>
      <c r="AR69" s="80">
        <v>1633864.14</v>
      </c>
      <c r="AS69" s="80">
        <v>1587560.9</v>
      </c>
      <c r="AT69" s="132">
        <v>1598773.79</v>
      </c>
      <c r="AU69" s="132">
        <v>1530639.11</v>
      </c>
      <c r="AW69" s="152"/>
      <c r="AX69" s="152"/>
      <c r="AY69" s="152"/>
    </row>
    <row r="70" spans="1:51" ht="15">
      <c r="A70" s="1" t="s">
        <v>98</v>
      </c>
      <c r="B70" s="5" t="s">
        <v>218</v>
      </c>
      <c r="C70" s="5" t="s">
        <v>219</v>
      </c>
      <c r="D70" s="5" t="s">
        <v>335</v>
      </c>
      <c r="E70" s="3" t="s">
        <v>102</v>
      </c>
      <c r="F70" s="3" t="s">
        <v>212</v>
      </c>
      <c r="G70" s="5" t="s">
        <v>334</v>
      </c>
      <c r="H70" s="6" t="s">
        <v>336</v>
      </c>
      <c r="I70" s="2" t="s">
        <v>72</v>
      </c>
      <c r="J70" s="2" t="s">
        <v>53</v>
      </c>
      <c r="K70" s="7"/>
      <c r="L70" s="7" t="s">
        <v>54</v>
      </c>
      <c r="M70" s="3" t="s">
        <v>215</v>
      </c>
      <c r="N70" s="3" t="s">
        <v>56</v>
      </c>
      <c r="O70" s="112"/>
      <c r="P70" s="112"/>
      <c r="Q70" s="112" t="s">
        <v>226</v>
      </c>
      <c r="R70" s="3" t="str">
        <f ca="1"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59</v>
      </c>
      <c r="T70" s="3" t="s">
        <v>58</v>
      </c>
      <c r="U70" s="3" t="s">
        <v>58</v>
      </c>
      <c r="V70" s="130" t="s">
        <v>222</v>
      </c>
      <c r="W70" s="3" t="s">
        <v>58</v>
      </c>
      <c r="X70" s="3" t="s">
        <v>58</v>
      </c>
      <c r="Y70" s="3" t="s">
        <v>61</v>
      </c>
      <c r="Z70" s="114" t="s">
        <v>223</v>
      </c>
      <c r="AA70" s="77">
        <v>0</v>
      </c>
      <c r="AB70" s="77">
        <v>0</v>
      </c>
      <c r="AC70" s="77">
        <v>0</v>
      </c>
      <c r="AD70" s="77">
        <v>0</v>
      </c>
      <c r="AE70" s="77">
        <v>0</v>
      </c>
      <c r="AF70" s="77">
        <v>0</v>
      </c>
      <c r="AG70" s="77">
        <v>0</v>
      </c>
      <c r="AH70" s="77">
        <v>0</v>
      </c>
      <c r="AI70" s="77">
        <v>0</v>
      </c>
      <c r="AJ70" s="77">
        <v>0</v>
      </c>
      <c r="AK70" s="77">
        <v>0</v>
      </c>
      <c r="AL70" s="77">
        <v>0</v>
      </c>
      <c r="AM70" s="77">
        <v>0</v>
      </c>
      <c r="AN70" s="77">
        <v>0</v>
      </c>
      <c r="AO70" s="77">
        <v>0</v>
      </c>
      <c r="AP70" s="77">
        <v>0</v>
      </c>
      <c r="AQ70" s="77">
        <v>0</v>
      </c>
      <c r="AR70" s="77">
        <v>0</v>
      </c>
      <c r="AS70" s="77">
        <v>0</v>
      </c>
      <c r="AT70" s="77">
        <v>0</v>
      </c>
      <c r="AU70" s="77">
        <v>0</v>
      </c>
      <c r="AW70" s="152"/>
      <c r="AX70" s="152"/>
      <c r="AY70" s="152"/>
    </row>
    <row r="71" spans="1:51">
      <c r="A71" s="1" t="s">
        <v>47</v>
      </c>
      <c r="B71" s="5" t="s">
        <v>337</v>
      </c>
      <c r="C71" s="5" t="s">
        <v>210</v>
      </c>
      <c r="D71" s="5" t="s">
        <v>337</v>
      </c>
      <c r="E71" s="3" t="s">
        <v>49</v>
      </c>
      <c r="F71" s="3" t="s">
        <v>212</v>
      </c>
      <c r="G71" s="5" t="s">
        <v>338</v>
      </c>
      <c r="H71" s="6">
        <v>7777265</v>
      </c>
      <c r="I71" s="2" t="s">
        <v>72</v>
      </c>
      <c r="J71" s="2" t="s">
        <v>53</v>
      </c>
      <c r="K71" s="7">
        <v>45659</v>
      </c>
      <c r="L71" s="7" t="s">
        <v>54</v>
      </c>
      <c r="M71" s="3" t="s">
        <v>55</v>
      </c>
      <c r="N71" s="3" t="s">
        <v>56</v>
      </c>
      <c r="O71" s="112">
        <v>47398</v>
      </c>
      <c r="P71" s="112">
        <v>46776</v>
      </c>
      <c r="Q71" s="112" t="s">
        <v>57</v>
      </c>
      <c r="R71" s="3" t="str">
        <f ca="1"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IPCA+5%</v>
      </c>
      <c r="S71" s="3" t="s">
        <v>58</v>
      </c>
      <c r="T71" s="3" t="s">
        <v>58</v>
      </c>
      <c r="U71" s="3" t="s">
        <v>58</v>
      </c>
      <c r="V71" s="130" t="s">
        <v>339</v>
      </c>
      <c r="W71" s="3" t="s">
        <v>58</v>
      </c>
      <c r="X71" s="3" t="s">
        <v>59</v>
      </c>
      <c r="Y71" s="3" t="s">
        <v>61</v>
      </c>
      <c r="Z71" s="114" t="s">
        <v>340</v>
      </c>
      <c r="AA71" s="78">
        <v>74783.87</v>
      </c>
      <c r="AB71" s="78">
        <v>73731.509999999995</v>
      </c>
      <c r="AC71" s="78">
        <v>81549.81</v>
      </c>
      <c r="AD71" s="78">
        <v>87611.22</v>
      </c>
      <c r="AE71" s="78">
        <v>99224.26</v>
      </c>
      <c r="AF71" s="78">
        <v>91968.5</v>
      </c>
      <c r="AG71" s="78">
        <v>89210.86</v>
      </c>
      <c r="AH71" s="78">
        <v>101385.15</v>
      </c>
      <c r="AI71" s="78">
        <v>106835.96</v>
      </c>
      <c r="AJ71" s="78">
        <v>146657.87</v>
      </c>
      <c r="AK71" s="78">
        <v>154914.57999999999</v>
      </c>
      <c r="AL71" s="78">
        <v>164746.91</v>
      </c>
      <c r="AM71" s="78">
        <v>183479.76</v>
      </c>
      <c r="AN71" s="111">
        <v>185286.1</v>
      </c>
      <c r="AO71" s="78">
        <v>150856.13</v>
      </c>
      <c r="AP71" s="78">
        <v>170506.05</v>
      </c>
      <c r="AQ71" s="78">
        <v>183713.81709890001</v>
      </c>
      <c r="AR71" s="79">
        <v>183730.65</v>
      </c>
      <c r="AS71" s="79">
        <v>277218.09999999998</v>
      </c>
      <c r="AT71" s="122">
        <v>288693.67</v>
      </c>
      <c r="AU71" s="122">
        <v>356861.02</v>
      </c>
    </row>
    <row r="72" spans="1:51">
      <c r="A72" s="1" t="s">
        <v>47</v>
      </c>
      <c r="B72" s="5" t="s">
        <v>247</v>
      </c>
      <c r="C72" s="5" t="s">
        <v>247</v>
      </c>
      <c r="D72" s="5" t="s">
        <v>341</v>
      </c>
      <c r="E72" s="3" t="s">
        <v>49</v>
      </c>
      <c r="F72" s="3" t="s">
        <v>126</v>
      </c>
      <c r="G72" s="5" t="s">
        <v>342</v>
      </c>
      <c r="H72" s="6">
        <v>7983962</v>
      </c>
      <c r="I72" s="2" t="s">
        <v>65</v>
      </c>
      <c r="J72" s="2" t="s">
        <v>53</v>
      </c>
      <c r="K72" s="7">
        <v>46051</v>
      </c>
      <c r="L72" s="7" t="s">
        <v>54</v>
      </c>
      <c r="M72" s="3" t="s">
        <v>174</v>
      </c>
      <c r="N72" s="3" t="s">
        <v>66</v>
      </c>
      <c r="O72" s="112">
        <v>46873</v>
      </c>
      <c r="P72" s="112">
        <v>46458</v>
      </c>
      <c r="Q72" s="112" t="s">
        <v>250</v>
      </c>
      <c r="R72" s="3" t="str">
        <f ca="1"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IPCA+4%</v>
      </c>
      <c r="S72" s="3" t="s">
        <v>59</v>
      </c>
      <c r="T72" s="3" t="s">
        <v>59</v>
      </c>
      <c r="U72" s="3" t="s">
        <v>58</v>
      </c>
      <c r="V72" s="130" t="s">
        <v>251</v>
      </c>
      <c r="W72" s="3" t="s">
        <v>58</v>
      </c>
      <c r="X72" s="3" t="s">
        <v>58</v>
      </c>
      <c r="Y72" s="3" t="s">
        <v>107</v>
      </c>
      <c r="Z72" s="114" t="s">
        <v>343</v>
      </c>
      <c r="AA72" s="78">
        <v>19342113.16</v>
      </c>
      <c r="AB72" s="78">
        <v>24969936.530000001</v>
      </c>
      <c r="AC72" s="78">
        <v>27207788.190000001</v>
      </c>
      <c r="AD72" s="78">
        <v>12609936.189999999</v>
      </c>
      <c r="AE72" s="78">
        <v>6919180.1900000004</v>
      </c>
      <c r="AF72" s="78">
        <v>9364048.8599999994</v>
      </c>
      <c r="AG72" s="78">
        <v>9844325.8200000003</v>
      </c>
      <c r="AH72" s="78">
        <v>1200000</v>
      </c>
      <c r="AI72" s="78">
        <v>0</v>
      </c>
      <c r="AJ72" s="78">
        <v>0</v>
      </c>
      <c r="AK72" s="78">
        <v>2414781.2599999998</v>
      </c>
      <c r="AL72" s="78">
        <v>9530300.6600000001</v>
      </c>
      <c r="AM72" s="78">
        <v>7800000</v>
      </c>
      <c r="AN72" s="111">
        <v>6385009.0700000003</v>
      </c>
      <c r="AO72" s="78">
        <v>5523153.2599999998</v>
      </c>
      <c r="AP72" s="78">
        <v>8563067.0299999993</v>
      </c>
      <c r="AQ72" s="78">
        <v>15874810.50362788</v>
      </c>
      <c r="AR72" s="79">
        <v>5866852.3799999999</v>
      </c>
      <c r="AS72" s="79">
        <v>2814513</v>
      </c>
      <c r="AT72" s="122">
        <v>5253848.6500000004</v>
      </c>
      <c r="AU72" s="122">
        <v>9477814.6199999992</v>
      </c>
    </row>
    <row r="73" spans="1:51">
      <c r="A73" s="1" t="s">
        <v>132</v>
      </c>
      <c r="B73" s="5" t="s">
        <v>253</v>
      </c>
      <c r="C73" s="5" t="s">
        <v>254</v>
      </c>
      <c r="D73" s="5" t="s">
        <v>344</v>
      </c>
      <c r="E73" s="3" t="s">
        <v>49</v>
      </c>
      <c r="F73" s="3" t="s">
        <v>50</v>
      </c>
      <c r="G73" s="116" t="s">
        <v>345</v>
      </c>
      <c r="H73" s="6">
        <v>9248969</v>
      </c>
      <c r="I73" s="2" t="s">
        <v>157</v>
      </c>
      <c r="J73" s="2" t="s">
        <v>87</v>
      </c>
      <c r="K73" s="7"/>
      <c r="L73" s="7" t="s">
        <v>54</v>
      </c>
      <c r="M73" s="3" t="s">
        <v>174</v>
      </c>
      <c r="N73" s="3" t="s">
        <v>56</v>
      </c>
      <c r="O73" s="136">
        <v>46157</v>
      </c>
      <c r="P73" s="112">
        <v>46624</v>
      </c>
      <c r="Q73" s="112" t="s">
        <v>221</v>
      </c>
      <c r="R73" s="3" t="str">
        <f ca="1"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IPCA+4%</v>
      </c>
      <c r="S73" s="3" t="s">
        <v>58</v>
      </c>
      <c r="T73" s="3"/>
      <c r="U73" s="3"/>
      <c r="V73" s="130"/>
      <c r="W73" s="3"/>
      <c r="X73" s="3"/>
      <c r="Y73" s="3"/>
      <c r="Z73" s="114" t="s">
        <v>257</v>
      </c>
      <c r="AA73" s="78">
        <v>0</v>
      </c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78">
        <v>0</v>
      </c>
      <c r="AH73" s="78">
        <v>0</v>
      </c>
      <c r="AI73" s="78">
        <v>0</v>
      </c>
      <c r="AJ73" s="78">
        <v>0</v>
      </c>
      <c r="AK73" s="78">
        <v>0</v>
      </c>
      <c r="AL73" s="78">
        <v>0</v>
      </c>
      <c r="AM73" s="78">
        <v>0</v>
      </c>
      <c r="AN73" s="111" t="s">
        <v>313</v>
      </c>
      <c r="AO73" s="78">
        <v>100000</v>
      </c>
      <c r="AP73" s="78">
        <v>28349.99</v>
      </c>
      <c r="AQ73" s="78">
        <v>0</v>
      </c>
      <c r="AR73" s="78">
        <v>0</v>
      </c>
      <c r="AS73" s="78">
        <v>0</v>
      </c>
      <c r="AT73" s="122">
        <v>0</v>
      </c>
      <c r="AU73" s="122">
        <v>0</v>
      </c>
    </row>
    <row r="74" spans="1:51" ht="15">
      <c r="A74" s="1" t="s">
        <v>47</v>
      </c>
      <c r="B74" s="5" t="s">
        <v>346</v>
      </c>
      <c r="C74" s="5" t="s">
        <v>346</v>
      </c>
      <c r="D74" s="5" t="s">
        <v>346</v>
      </c>
      <c r="E74" s="3" t="s">
        <v>102</v>
      </c>
      <c r="F74" s="3" t="s">
        <v>50</v>
      </c>
      <c r="G74" s="5" t="s">
        <v>347</v>
      </c>
      <c r="H74" s="6">
        <v>9317618</v>
      </c>
      <c r="I74" s="2" t="s">
        <v>65</v>
      </c>
      <c r="J74" s="2" t="s">
        <v>53</v>
      </c>
      <c r="K74" s="7">
        <v>45926</v>
      </c>
      <c r="L74" s="7" t="s">
        <v>54</v>
      </c>
      <c r="M74" s="3" t="s">
        <v>174</v>
      </c>
      <c r="N74" s="3" t="s">
        <v>66</v>
      </c>
      <c r="O74" s="112">
        <v>47287</v>
      </c>
      <c r="P74" s="112">
        <v>47048</v>
      </c>
      <c r="Q74" s="112" t="s">
        <v>128</v>
      </c>
      <c r="R74" s="3" t="str">
        <f ca="1"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58</v>
      </c>
      <c r="T74" s="3" t="s">
        <v>59</v>
      </c>
      <c r="U74" s="3" t="s">
        <v>58</v>
      </c>
      <c r="V74" s="130" t="s">
        <v>348</v>
      </c>
      <c r="W74" s="3" t="s">
        <v>58</v>
      </c>
      <c r="X74" s="3" t="s">
        <v>58</v>
      </c>
      <c r="Y74" s="3"/>
      <c r="Z74" s="114" t="s">
        <v>349</v>
      </c>
      <c r="AA74" s="78">
        <v>6276742.7199999997</v>
      </c>
      <c r="AB74" s="78">
        <v>6339531.4900000002</v>
      </c>
      <c r="AC74" s="78">
        <v>6410077.6799999997</v>
      </c>
      <c r="AD74" s="78">
        <v>5926544.2999999998</v>
      </c>
      <c r="AE74" s="78">
        <v>5966266.1600000001</v>
      </c>
      <c r="AF74" s="78">
        <v>6032467.5300000003</v>
      </c>
      <c r="AG74" s="78">
        <v>6069227.8799999999</v>
      </c>
      <c r="AH74" s="78">
        <v>6135999.04</v>
      </c>
      <c r="AI74" s="78">
        <v>6195281.0800000001</v>
      </c>
      <c r="AJ74" s="78">
        <v>5333696.25</v>
      </c>
      <c r="AK74" s="78">
        <v>4900552.63</v>
      </c>
      <c r="AL74" s="78">
        <v>3728537.6000000001</v>
      </c>
      <c r="AM74" s="78">
        <v>3282173.83</v>
      </c>
      <c r="AN74" s="111">
        <v>3354741.27</v>
      </c>
      <c r="AO74" s="78">
        <v>3259129.83</v>
      </c>
      <c r="AP74" s="78">
        <v>2393019.75</v>
      </c>
      <c r="AQ74" s="78">
        <v>2506226.6453360599</v>
      </c>
      <c r="AR74" s="79">
        <v>2453494.44</v>
      </c>
      <c r="AS74" s="79">
        <v>2428331</v>
      </c>
      <c r="AT74" s="122">
        <v>2393529.2930000001</v>
      </c>
      <c r="AU74" s="122">
        <v>2411427.62</v>
      </c>
      <c r="AW74" s="152"/>
      <c r="AX74" s="152"/>
      <c r="AY74" s="152"/>
    </row>
    <row r="75" spans="1:51">
      <c r="A75" s="1" t="s">
        <v>294</v>
      </c>
      <c r="B75" s="5" t="s">
        <v>350</v>
      </c>
      <c r="C75" s="5" t="s">
        <v>296</v>
      </c>
      <c r="D75" s="5" t="s">
        <v>350</v>
      </c>
      <c r="E75" s="3" t="s">
        <v>49</v>
      </c>
      <c r="F75" s="3" t="s">
        <v>50</v>
      </c>
      <c r="G75" s="5" t="s">
        <v>351</v>
      </c>
      <c r="H75" s="6" t="s">
        <v>352</v>
      </c>
      <c r="I75" s="2" t="s">
        <v>120</v>
      </c>
      <c r="J75" s="2" t="s">
        <v>53</v>
      </c>
      <c r="K75" s="7"/>
      <c r="L75" s="7" t="s">
        <v>54</v>
      </c>
      <c r="M75" s="3" t="s">
        <v>55</v>
      </c>
      <c r="N75" s="3" t="s">
        <v>56</v>
      </c>
      <c r="O75" s="112"/>
      <c r="P75" s="112"/>
      <c r="Q75" s="112" t="s">
        <v>57</v>
      </c>
      <c r="R75" s="3"/>
      <c r="S75" s="3"/>
      <c r="T75" s="3"/>
      <c r="U75" s="3"/>
      <c r="V75" s="130"/>
      <c r="W75" s="3"/>
      <c r="X75" s="3"/>
      <c r="Y75" s="3"/>
      <c r="Z75" s="114" t="s">
        <v>353</v>
      </c>
      <c r="AA75" s="79">
        <v>0</v>
      </c>
      <c r="AB75" s="79">
        <v>0</v>
      </c>
      <c r="AC75" s="79">
        <v>0</v>
      </c>
      <c r="AD75" s="79">
        <v>0</v>
      </c>
      <c r="AE75" s="79">
        <v>0</v>
      </c>
      <c r="AF75" s="79">
        <v>0</v>
      </c>
      <c r="AG75" s="79">
        <v>0</v>
      </c>
      <c r="AH75" s="79">
        <v>0</v>
      </c>
      <c r="AI75" s="79">
        <v>0</v>
      </c>
      <c r="AJ75" s="79">
        <v>0</v>
      </c>
      <c r="AK75" s="79">
        <v>0</v>
      </c>
      <c r="AL75" s="79">
        <v>0</v>
      </c>
      <c r="AM75" s="79">
        <v>0</v>
      </c>
      <c r="AN75" s="79">
        <v>0</v>
      </c>
      <c r="AO75" s="79">
        <v>0</v>
      </c>
      <c r="AP75" s="79">
        <v>0</v>
      </c>
      <c r="AQ75" s="79">
        <v>0</v>
      </c>
      <c r="AR75" s="79">
        <v>0</v>
      </c>
      <c r="AS75" s="79">
        <v>0</v>
      </c>
      <c r="AT75" s="79">
        <v>0</v>
      </c>
      <c r="AU75" s="79">
        <v>0</v>
      </c>
    </row>
    <row r="76" spans="1:51">
      <c r="A76" s="1" t="s">
        <v>47</v>
      </c>
      <c r="B76" s="5" t="s">
        <v>354</v>
      </c>
      <c r="C76" s="5" t="s">
        <v>124</v>
      </c>
      <c r="D76" s="5" t="s">
        <v>354</v>
      </c>
      <c r="E76" s="3" t="s">
        <v>49</v>
      </c>
      <c r="F76" s="3" t="s">
        <v>50</v>
      </c>
      <c r="G76" s="5" t="s">
        <v>355</v>
      </c>
      <c r="H76" s="6">
        <v>11210659</v>
      </c>
      <c r="I76" s="2" t="s">
        <v>65</v>
      </c>
      <c r="J76" s="2" t="s">
        <v>53</v>
      </c>
      <c r="K76" s="7">
        <v>45895</v>
      </c>
      <c r="L76" s="7" t="s">
        <v>54</v>
      </c>
      <c r="M76" s="3" t="s">
        <v>265</v>
      </c>
      <c r="N76" s="3" t="s">
        <v>56</v>
      </c>
      <c r="O76" s="112">
        <v>47252</v>
      </c>
      <c r="P76" s="112">
        <v>47163</v>
      </c>
      <c r="Q76" s="112" t="s">
        <v>128</v>
      </c>
      <c r="R76" s="3" t="str">
        <f ca="1"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IPCA+5%</v>
      </c>
      <c r="S76" s="3" t="s">
        <v>58</v>
      </c>
      <c r="T76" s="3" t="s">
        <v>58</v>
      </c>
      <c r="U76" s="3" t="s">
        <v>58</v>
      </c>
      <c r="V76" s="130" t="s">
        <v>356</v>
      </c>
      <c r="W76" s="3" t="s">
        <v>58</v>
      </c>
      <c r="X76" s="3" t="s">
        <v>58</v>
      </c>
      <c r="Y76" s="3" t="s">
        <v>107</v>
      </c>
      <c r="Z76" s="114" t="s">
        <v>357</v>
      </c>
      <c r="AA76" s="78">
        <v>3182367.53</v>
      </c>
      <c r="AB76" s="78">
        <v>3445329.04</v>
      </c>
      <c r="AC76" s="78">
        <v>3149569.95</v>
      </c>
      <c r="AD76" s="78">
        <v>3828432.37</v>
      </c>
      <c r="AE76" s="78">
        <v>2068165.13</v>
      </c>
      <c r="AF76" s="78">
        <v>1905748.35</v>
      </c>
      <c r="AG76" s="78">
        <v>1405046.03</v>
      </c>
      <c r="AH76" s="78">
        <v>1420336.96</v>
      </c>
      <c r="AI76" s="78">
        <v>1437635.96</v>
      </c>
      <c r="AJ76" s="78">
        <v>1450641.03</v>
      </c>
      <c r="AK76" s="78">
        <v>1465166.53</v>
      </c>
      <c r="AL76" s="78">
        <v>1487180.71</v>
      </c>
      <c r="AM76" s="78">
        <v>1501498.84</v>
      </c>
      <c r="AN76" s="111">
        <v>1514097.35</v>
      </c>
      <c r="AO76" s="78">
        <v>1490457.67</v>
      </c>
      <c r="AP76" s="78">
        <v>1508309.16</v>
      </c>
      <c r="AQ76" s="78">
        <v>2646105.7683605701</v>
      </c>
      <c r="AR76" s="79">
        <v>2619583.46</v>
      </c>
      <c r="AS76" s="79">
        <v>2277297</v>
      </c>
      <c r="AT76" s="122">
        <v>2359231.4180000001</v>
      </c>
      <c r="AU76" s="122">
        <v>2387966.62</v>
      </c>
    </row>
    <row r="77" spans="1:51" ht="15">
      <c r="A77" s="1" t="s">
        <v>47</v>
      </c>
      <c r="B77" s="5" t="s">
        <v>247</v>
      </c>
      <c r="C77" s="5" t="s">
        <v>247</v>
      </c>
      <c r="D77" s="5" t="s">
        <v>358</v>
      </c>
      <c r="E77" s="3" t="s">
        <v>49</v>
      </c>
      <c r="F77" s="3" t="s">
        <v>126</v>
      </c>
      <c r="G77" s="5" t="s">
        <v>359</v>
      </c>
      <c r="H77" s="6">
        <v>11370136</v>
      </c>
      <c r="I77" s="2" t="s">
        <v>65</v>
      </c>
      <c r="J77" s="2" t="s">
        <v>53</v>
      </c>
      <c r="K77" s="7">
        <v>46051</v>
      </c>
      <c r="L77" s="7" t="s">
        <v>54</v>
      </c>
      <c r="M77" s="3" t="s">
        <v>174</v>
      </c>
      <c r="N77" s="3" t="s">
        <v>282</v>
      </c>
      <c r="O77" s="112">
        <v>47319</v>
      </c>
      <c r="P77" s="112">
        <v>47032</v>
      </c>
      <c r="Q77" s="112" t="s">
        <v>250</v>
      </c>
      <c r="R77" s="3" t="str">
        <f ca="1"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59</v>
      </c>
      <c r="T77" s="3" t="s">
        <v>59</v>
      </c>
      <c r="U77" s="3" t="s">
        <v>58</v>
      </c>
      <c r="V77" s="130" t="s">
        <v>251</v>
      </c>
      <c r="W77" s="3" t="s">
        <v>58</v>
      </c>
      <c r="X77" s="3" t="s">
        <v>58</v>
      </c>
      <c r="Y77" s="3" t="s">
        <v>107</v>
      </c>
      <c r="Z77" s="114" t="s">
        <v>343</v>
      </c>
      <c r="AA77" s="78">
        <v>0</v>
      </c>
      <c r="AB77" s="78">
        <v>0</v>
      </c>
      <c r="AC77" s="78">
        <v>0</v>
      </c>
      <c r="AD77" s="78">
        <v>0</v>
      </c>
      <c r="AE77" s="78">
        <v>0</v>
      </c>
      <c r="AF77" s="78">
        <v>1105471.27</v>
      </c>
      <c r="AG77" s="78">
        <v>0</v>
      </c>
      <c r="AH77" s="78">
        <v>0</v>
      </c>
      <c r="AI77" s="78">
        <v>0</v>
      </c>
      <c r="AJ77" s="78">
        <v>2206631.81</v>
      </c>
      <c r="AK77" s="78">
        <v>1765786.25</v>
      </c>
      <c r="AL77" s="78">
        <v>1200088.04</v>
      </c>
      <c r="AM77" s="78">
        <v>0</v>
      </c>
      <c r="AN77" s="111">
        <v>369.86</v>
      </c>
      <c r="AO77" s="78">
        <v>369.86</v>
      </c>
      <c r="AP77" s="78">
        <v>369.86</v>
      </c>
      <c r="AQ77" s="78">
        <v>369.86</v>
      </c>
      <c r="AR77" s="79">
        <v>369.86</v>
      </c>
      <c r="AS77" s="79">
        <v>921.35</v>
      </c>
      <c r="AT77" s="122">
        <v>3075650.6510000001</v>
      </c>
      <c r="AU77" s="122">
        <v>3606144.43</v>
      </c>
      <c r="AW77" s="152"/>
      <c r="AX77" s="152"/>
      <c r="AY77" s="152"/>
    </row>
    <row r="78" spans="1:51" ht="15">
      <c r="A78" s="1" t="s">
        <v>98</v>
      </c>
      <c r="B78" s="5" t="s">
        <v>360</v>
      </c>
      <c r="C78" s="5" t="s">
        <v>360</v>
      </c>
      <c r="D78" s="5" t="s">
        <v>361</v>
      </c>
      <c r="E78" s="3" t="s">
        <v>49</v>
      </c>
      <c r="F78" s="3" t="s">
        <v>50</v>
      </c>
      <c r="G78" s="5" t="s">
        <v>362</v>
      </c>
      <c r="H78" s="6">
        <v>22391056</v>
      </c>
      <c r="I78" s="2" t="s">
        <v>120</v>
      </c>
      <c r="J78" s="2" t="s">
        <v>53</v>
      </c>
      <c r="K78" s="7"/>
      <c r="L78" s="7" t="s">
        <v>54</v>
      </c>
      <c r="M78" s="3" t="s">
        <v>215</v>
      </c>
      <c r="N78" s="3" t="s">
        <v>66</v>
      </c>
      <c r="O78" s="112"/>
      <c r="P78" s="112"/>
      <c r="Q78" s="112" t="s">
        <v>128</v>
      </c>
      <c r="R78" s="3" t="str">
        <f ca="1"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IPCA+4%</v>
      </c>
      <c r="S78" s="3" t="s">
        <v>59</v>
      </c>
      <c r="T78" s="3" t="s">
        <v>59</v>
      </c>
      <c r="U78" s="3" t="s">
        <v>59</v>
      </c>
      <c r="V78" s="130" t="s">
        <v>363</v>
      </c>
      <c r="W78" s="3" t="s">
        <v>58</v>
      </c>
      <c r="X78" s="3" t="s">
        <v>58</v>
      </c>
      <c r="Y78" s="3" t="s">
        <v>130</v>
      </c>
      <c r="Z78" s="114" t="s">
        <v>364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199.72</v>
      </c>
      <c r="AG78" s="77">
        <v>0.84</v>
      </c>
      <c r="AH78" s="77">
        <v>0.84</v>
      </c>
      <c r="AI78" s="77">
        <v>0.84</v>
      </c>
      <c r="AJ78" s="77">
        <v>0.84</v>
      </c>
      <c r="AK78" s="77">
        <v>0.84</v>
      </c>
      <c r="AL78" s="77">
        <v>0.84</v>
      </c>
      <c r="AM78" s="77">
        <v>0.84</v>
      </c>
      <c r="AN78" s="77">
        <v>0.84</v>
      </c>
      <c r="AO78" s="77">
        <v>0.84</v>
      </c>
      <c r="AP78" s="77">
        <v>0.84</v>
      </c>
      <c r="AQ78" s="80">
        <v>0.84</v>
      </c>
      <c r="AR78" s="80">
        <v>0.84</v>
      </c>
      <c r="AS78" s="80">
        <v>0.84</v>
      </c>
      <c r="AT78" s="132">
        <v>0.84</v>
      </c>
      <c r="AU78" s="132">
        <v>0.84</v>
      </c>
      <c r="AW78" s="152"/>
      <c r="AX78" s="152"/>
      <c r="AY78" s="152"/>
    </row>
    <row r="79" spans="1:51">
      <c r="A79" s="1" t="s">
        <v>98</v>
      </c>
      <c r="B79" s="5" t="s">
        <v>360</v>
      </c>
      <c r="C79" s="5" t="s">
        <v>360</v>
      </c>
      <c r="D79" s="5" t="s">
        <v>365</v>
      </c>
      <c r="E79" s="3" t="s">
        <v>102</v>
      </c>
      <c r="F79" s="3" t="s">
        <v>50</v>
      </c>
      <c r="G79" s="5" t="s">
        <v>362</v>
      </c>
      <c r="H79" s="6">
        <v>65431389</v>
      </c>
      <c r="I79" s="2" t="s">
        <v>120</v>
      </c>
      <c r="J79" s="2" t="s">
        <v>53</v>
      </c>
      <c r="K79" s="7"/>
      <c r="L79" s="7" t="s">
        <v>54</v>
      </c>
      <c r="M79" s="3" t="s">
        <v>215</v>
      </c>
      <c r="N79" s="3" t="s">
        <v>66</v>
      </c>
      <c r="O79" s="112"/>
      <c r="P79" s="112"/>
      <c r="Q79" s="112" t="s">
        <v>128</v>
      </c>
      <c r="R79" s="3" t="str">
        <f ca="1"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59</v>
      </c>
      <c r="T79" s="3" t="s">
        <v>59</v>
      </c>
      <c r="U79" s="3" t="s">
        <v>59</v>
      </c>
      <c r="V79" s="130" t="s">
        <v>363</v>
      </c>
      <c r="W79" s="3" t="s">
        <v>58</v>
      </c>
      <c r="X79" s="3" t="s">
        <v>58</v>
      </c>
      <c r="Y79" s="3" t="s">
        <v>130</v>
      </c>
      <c r="Z79" s="114" t="s">
        <v>364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7">
        <v>128044.75</v>
      </c>
      <c r="AH79" s="77">
        <v>128688.7</v>
      </c>
      <c r="AI79" s="77">
        <v>126611.81</v>
      </c>
      <c r="AJ79" s="77">
        <v>126987.79</v>
      </c>
      <c r="AK79" s="77">
        <v>124093.7</v>
      </c>
      <c r="AL79" s="77">
        <v>124475.96</v>
      </c>
      <c r="AM79" s="77">
        <v>124761.51</v>
      </c>
      <c r="AN79" s="77">
        <v>125027.49</v>
      </c>
      <c r="AO79" s="77">
        <v>120193.67</v>
      </c>
      <c r="AP79" s="77">
        <v>120443.58</v>
      </c>
      <c r="AQ79" s="80">
        <v>119600.89</v>
      </c>
      <c r="AR79" s="80">
        <v>119493.43</v>
      </c>
      <c r="AS79" s="80">
        <v>120646.84</v>
      </c>
      <c r="AT79" s="132">
        <v>118452.45</v>
      </c>
      <c r="AU79" s="132">
        <v>118787.24</v>
      </c>
    </row>
    <row r="80" spans="1:51" ht="15">
      <c r="A80" s="1" t="s">
        <v>98</v>
      </c>
      <c r="B80" s="5" t="s">
        <v>360</v>
      </c>
      <c r="C80" s="5" t="s">
        <v>360</v>
      </c>
      <c r="D80" s="5" t="s">
        <v>366</v>
      </c>
      <c r="E80" s="3" t="s">
        <v>49</v>
      </c>
      <c r="F80" s="3" t="s">
        <v>50</v>
      </c>
      <c r="G80" s="81" t="s">
        <v>362</v>
      </c>
      <c r="H80" s="6">
        <v>98061659</v>
      </c>
      <c r="I80" s="2" t="s">
        <v>120</v>
      </c>
      <c r="J80" s="2" t="s">
        <v>53</v>
      </c>
      <c r="K80" s="7"/>
      <c r="L80" s="7" t="s">
        <v>54</v>
      </c>
      <c r="M80" s="3" t="s">
        <v>215</v>
      </c>
      <c r="N80" s="3" t="s">
        <v>66</v>
      </c>
      <c r="O80" s="112"/>
      <c r="P80" s="112"/>
      <c r="Q80" s="112" t="s">
        <v>128</v>
      </c>
      <c r="R80" s="3" t="str">
        <f ca="1"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59</v>
      </c>
      <c r="T80" s="3" t="s">
        <v>59</v>
      </c>
      <c r="U80" s="3" t="s">
        <v>59</v>
      </c>
      <c r="V80" s="130" t="s">
        <v>363</v>
      </c>
      <c r="W80" s="3" t="s">
        <v>58</v>
      </c>
      <c r="X80" s="3" t="s">
        <v>58</v>
      </c>
      <c r="Y80" s="3" t="s">
        <v>130</v>
      </c>
      <c r="Z80" s="114" t="s">
        <v>364</v>
      </c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80">
        <v>0</v>
      </c>
      <c r="AR80" s="80">
        <v>0</v>
      </c>
      <c r="AS80" s="80">
        <v>0</v>
      </c>
      <c r="AT80" s="132">
        <v>0</v>
      </c>
      <c r="AU80" s="132">
        <v>0</v>
      </c>
      <c r="AW80" s="152"/>
      <c r="AX80" s="152"/>
      <c r="AY80" s="152"/>
    </row>
    <row r="81" spans="1:51" ht="15">
      <c r="A81" s="1" t="s">
        <v>47</v>
      </c>
      <c r="B81" s="5" t="s">
        <v>286</v>
      </c>
      <c r="C81" s="5" t="s">
        <v>286</v>
      </c>
      <c r="D81" s="5" t="s">
        <v>286</v>
      </c>
      <c r="E81" s="3" t="s">
        <v>49</v>
      </c>
      <c r="F81" s="3" t="s">
        <v>50</v>
      </c>
      <c r="G81" s="5" t="s">
        <v>367</v>
      </c>
      <c r="H81" s="6">
        <v>11466830</v>
      </c>
      <c r="I81" s="2" t="s">
        <v>120</v>
      </c>
      <c r="J81" s="2" t="s">
        <v>53</v>
      </c>
      <c r="K81" s="7">
        <v>45569</v>
      </c>
      <c r="L81" s="7" t="s">
        <v>54</v>
      </c>
      <c r="M81" s="3" t="s">
        <v>55</v>
      </c>
      <c r="N81" s="3" t="s">
        <v>66</v>
      </c>
      <c r="O81" s="112">
        <v>46598</v>
      </c>
      <c r="P81" s="112">
        <v>47222</v>
      </c>
      <c r="Q81" s="112" t="s">
        <v>57</v>
      </c>
      <c r="R81" s="3" t="str">
        <f ca="1"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IPCA+5%</v>
      </c>
      <c r="S81" s="3" t="s">
        <v>59</v>
      </c>
      <c r="T81" s="3" t="s">
        <v>59</v>
      </c>
      <c r="U81" s="3" t="s">
        <v>59</v>
      </c>
      <c r="V81" s="130" t="s">
        <v>290</v>
      </c>
      <c r="W81" s="3" t="s">
        <v>59</v>
      </c>
      <c r="X81" s="3" t="s">
        <v>58</v>
      </c>
      <c r="Y81" s="3" t="s">
        <v>61</v>
      </c>
      <c r="Z81" s="114" t="s">
        <v>368</v>
      </c>
      <c r="AA81" s="78">
        <v>4559472.09</v>
      </c>
      <c r="AB81" s="78">
        <v>4639434.57</v>
      </c>
      <c r="AC81" s="78">
        <v>4734741.43</v>
      </c>
      <c r="AD81" s="78">
        <v>4802746.75</v>
      </c>
      <c r="AE81" s="78">
        <v>4767652.05</v>
      </c>
      <c r="AF81" s="78">
        <v>4792920.97</v>
      </c>
      <c r="AG81" s="78">
        <v>4763872.3899999997</v>
      </c>
      <c r="AH81" s="78">
        <v>4779999.37</v>
      </c>
      <c r="AI81" s="78">
        <v>4830909.16</v>
      </c>
      <c r="AJ81" s="78">
        <v>4838258.8600000003</v>
      </c>
      <c r="AK81" s="78">
        <v>4843377.29</v>
      </c>
      <c r="AL81" s="78">
        <v>4904594.22</v>
      </c>
      <c r="AM81" s="78">
        <v>4950882.37</v>
      </c>
      <c r="AN81" s="111">
        <v>4967838.82</v>
      </c>
      <c r="AO81" s="78">
        <v>4930228.5599999996</v>
      </c>
      <c r="AP81" s="78">
        <v>4935704.7699999996</v>
      </c>
      <c r="AQ81" s="78">
        <v>4890476.0270175599</v>
      </c>
      <c r="AR81" s="79">
        <v>4782553.63</v>
      </c>
      <c r="AS81" s="79">
        <v>4741292</v>
      </c>
      <c r="AT81" s="122">
        <v>4705602.415</v>
      </c>
      <c r="AU81" s="122">
        <v>4702161.96</v>
      </c>
      <c r="AW81" s="152"/>
      <c r="AX81" s="152"/>
      <c r="AY81" s="152"/>
    </row>
    <row r="82" spans="1:51">
      <c r="A82" s="1" t="s">
        <v>369</v>
      </c>
      <c r="B82" s="5" t="s">
        <v>360</v>
      </c>
      <c r="C82" s="5" t="s">
        <v>360</v>
      </c>
      <c r="D82" s="5" t="s">
        <v>370</v>
      </c>
      <c r="E82" s="3" t="s">
        <v>102</v>
      </c>
      <c r="F82" s="3" t="s">
        <v>50</v>
      </c>
      <c r="G82" s="5" t="s">
        <v>371</v>
      </c>
      <c r="H82" s="6" t="s">
        <v>372</v>
      </c>
      <c r="I82" s="2" t="s">
        <v>120</v>
      </c>
      <c r="J82" s="2" t="s">
        <v>53</v>
      </c>
      <c r="K82" s="7"/>
      <c r="L82" s="7" t="s">
        <v>54</v>
      </c>
      <c r="M82" s="3"/>
      <c r="N82" s="3" t="s">
        <v>66</v>
      </c>
      <c r="O82" s="112"/>
      <c r="P82" s="112"/>
      <c r="Q82" s="112" t="s">
        <v>128</v>
      </c>
      <c r="R82" s="3" t="str">
        <f ca="1"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/>
      </c>
      <c r="S82" s="3" t="s">
        <v>59</v>
      </c>
      <c r="T82" s="3" t="s">
        <v>59</v>
      </c>
      <c r="U82" s="3" t="s">
        <v>59</v>
      </c>
      <c r="V82" s="130" t="s">
        <v>363</v>
      </c>
      <c r="W82" s="3" t="s">
        <v>58</v>
      </c>
      <c r="X82" s="3" t="s">
        <v>58</v>
      </c>
      <c r="Y82" s="3" t="s">
        <v>130</v>
      </c>
      <c r="Z82" s="4"/>
      <c r="AA82" s="77">
        <v>0</v>
      </c>
      <c r="AB82" s="77">
        <v>0</v>
      </c>
      <c r="AC82" s="77">
        <v>0</v>
      </c>
      <c r="AD82" s="77">
        <v>0</v>
      </c>
      <c r="AE82" s="77">
        <v>0</v>
      </c>
      <c r="AF82" s="77">
        <v>0</v>
      </c>
      <c r="AG82" s="77">
        <v>0</v>
      </c>
      <c r="AH82" s="77">
        <v>0</v>
      </c>
      <c r="AI82" s="77">
        <v>0</v>
      </c>
      <c r="AJ82" s="77">
        <v>0</v>
      </c>
      <c r="AK82" s="77">
        <v>0</v>
      </c>
      <c r="AL82" s="77">
        <v>300149.43</v>
      </c>
      <c r="AM82" s="77">
        <v>394905.63</v>
      </c>
      <c r="AN82" s="77">
        <v>295552.89</v>
      </c>
      <c r="AO82" s="77">
        <v>296263.08</v>
      </c>
      <c r="AP82" s="77">
        <v>1017882.07</v>
      </c>
      <c r="AQ82" s="77">
        <v>1504913.21</v>
      </c>
      <c r="AR82" s="77">
        <v>1501298.11</v>
      </c>
      <c r="AS82" s="77">
        <v>1506604.08</v>
      </c>
      <c r="AT82" s="77">
        <v>1515545.49</v>
      </c>
      <c r="AU82" s="77">
        <v>1474057.22</v>
      </c>
    </row>
    <row r="83" spans="1:51" ht="15">
      <c r="A83" s="115" t="s">
        <v>132</v>
      </c>
      <c r="B83" s="5" t="s">
        <v>140</v>
      </c>
      <c r="C83" s="116" t="s">
        <v>140</v>
      </c>
      <c r="D83" s="116" t="s">
        <v>373</v>
      </c>
      <c r="E83" s="117" t="s">
        <v>49</v>
      </c>
      <c r="F83" s="117" t="s">
        <v>50</v>
      </c>
      <c r="G83" s="116" t="s">
        <v>374</v>
      </c>
      <c r="H83" s="118">
        <v>12255170</v>
      </c>
      <c r="I83" s="119" t="s">
        <v>104</v>
      </c>
      <c r="J83" s="119" t="s">
        <v>53</v>
      </c>
      <c r="K83" s="112"/>
      <c r="L83" s="112" t="s">
        <v>54</v>
      </c>
      <c r="M83" s="117" t="s">
        <v>105</v>
      </c>
      <c r="N83" s="117" t="s">
        <v>56</v>
      </c>
      <c r="O83" s="136">
        <v>46202</v>
      </c>
      <c r="P83" s="112">
        <v>46277</v>
      </c>
      <c r="Q83" s="112" t="s">
        <v>128</v>
      </c>
      <c r="R83" s="3" t="str">
        <f ca="1"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IPCA+4%</v>
      </c>
      <c r="S83" s="117" t="s">
        <v>59</v>
      </c>
      <c r="T83" s="117" t="s">
        <v>58</v>
      </c>
      <c r="U83" s="117" t="s">
        <v>58</v>
      </c>
      <c r="V83" s="131" t="s">
        <v>142</v>
      </c>
      <c r="W83" s="117" t="s">
        <v>58</v>
      </c>
      <c r="X83" s="117" t="s">
        <v>59</v>
      </c>
      <c r="Y83" s="117" t="s">
        <v>107</v>
      </c>
      <c r="Z83" s="123" t="s">
        <v>143</v>
      </c>
      <c r="AA83" s="154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>
        <v>2346227.7200000002</v>
      </c>
      <c r="AN83" s="122">
        <v>2386529.4300000002</v>
      </c>
      <c r="AO83" s="121">
        <v>2384489.86</v>
      </c>
      <c r="AP83" s="121">
        <v>0</v>
      </c>
      <c r="AQ83" s="121" t="s">
        <v>314</v>
      </c>
      <c r="AR83" s="122">
        <v>2623133.4700000002</v>
      </c>
      <c r="AS83" s="122">
        <v>2895410.8300000005</v>
      </c>
      <c r="AT83" s="122">
        <v>2909953.1</v>
      </c>
      <c r="AU83" s="122">
        <v>2998281.33</v>
      </c>
      <c r="AW83" s="152"/>
      <c r="AX83" s="152"/>
      <c r="AY83" s="152"/>
    </row>
    <row r="84" spans="1:51" ht="15">
      <c r="A84" s="1" t="s">
        <v>132</v>
      </c>
      <c r="B84" s="5" t="s">
        <v>218</v>
      </c>
      <c r="C84" s="5" t="s">
        <v>219</v>
      </c>
      <c r="D84" s="5" t="s">
        <v>218</v>
      </c>
      <c r="E84" s="3" t="s">
        <v>49</v>
      </c>
      <c r="F84" s="3" t="s">
        <v>212</v>
      </c>
      <c r="G84" s="116" t="s">
        <v>375</v>
      </c>
      <c r="H84" s="6">
        <v>14668131</v>
      </c>
      <c r="I84" s="2" t="s">
        <v>72</v>
      </c>
      <c r="J84" s="2" t="s">
        <v>53</v>
      </c>
      <c r="K84" s="7"/>
      <c r="L84" s="7" t="s">
        <v>54</v>
      </c>
      <c r="M84" s="3" t="s">
        <v>215</v>
      </c>
      <c r="N84" s="3" t="s">
        <v>56</v>
      </c>
      <c r="O84" s="112">
        <v>46879</v>
      </c>
      <c r="P84" s="112">
        <v>47393</v>
      </c>
      <c r="Q84" s="112" t="s">
        <v>226</v>
      </c>
      <c r="R84" s="3" t="str">
        <f ca="1"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IPCA+4%</v>
      </c>
      <c r="S84" s="3" t="s">
        <v>59</v>
      </c>
      <c r="T84" s="3" t="s">
        <v>58</v>
      </c>
      <c r="U84" s="3" t="s">
        <v>58</v>
      </c>
      <c r="V84" s="130" t="s">
        <v>222</v>
      </c>
      <c r="W84" s="3" t="s">
        <v>58</v>
      </c>
      <c r="X84" s="3" t="s">
        <v>58</v>
      </c>
      <c r="Y84" s="3" t="s">
        <v>61</v>
      </c>
      <c r="Z84" s="114" t="s">
        <v>223</v>
      </c>
      <c r="AA84" s="78">
        <v>0</v>
      </c>
      <c r="AB84" s="78">
        <v>0</v>
      </c>
      <c r="AC84" s="78">
        <v>0</v>
      </c>
      <c r="AD84" s="78">
        <v>0</v>
      </c>
      <c r="AE84" s="78">
        <v>0</v>
      </c>
      <c r="AF84" s="78">
        <v>0</v>
      </c>
      <c r="AG84" s="78">
        <v>0</v>
      </c>
      <c r="AH84" s="78">
        <v>0</v>
      </c>
      <c r="AI84" s="78">
        <v>0</v>
      </c>
      <c r="AJ84" s="78">
        <v>0</v>
      </c>
      <c r="AK84" s="78">
        <v>0</v>
      </c>
      <c r="AL84" s="78">
        <v>1.64</v>
      </c>
      <c r="AM84" s="78">
        <v>1.64</v>
      </c>
      <c r="AN84" s="111">
        <v>1.64</v>
      </c>
      <c r="AO84" s="78">
        <v>1.64</v>
      </c>
      <c r="AP84" s="78">
        <v>1.64</v>
      </c>
      <c r="AQ84" s="78">
        <v>1.64</v>
      </c>
      <c r="AR84" s="111">
        <v>0</v>
      </c>
      <c r="AS84" s="111">
        <v>0</v>
      </c>
      <c r="AT84" s="122">
        <v>0</v>
      </c>
      <c r="AU84" s="122">
        <v>0</v>
      </c>
      <c r="AW84" s="152"/>
      <c r="AX84" s="152"/>
      <c r="AY84" s="152"/>
    </row>
    <row r="85" spans="1:51" ht="15">
      <c r="A85" s="1" t="s">
        <v>81</v>
      </c>
      <c r="B85" s="5" t="s">
        <v>291</v>
      </c>
      <c r="C85" s="5" t="s">
        <v>291</v>
      </c>
      <c r="D85" s="5" t="s">
        <v>291</v>
      </c>
      <c r="E85" s="3" t="s">
        <v>49</v>
      </c>
      <c r="F85" s="3" t="s">
        <v>50</v>
      </c>
      <c r="G85" s="5" t="s">
        <v>376</v>
      </c>
      <c r="H85" s="6">
        <v>6700800</v>
      </c>
      <c r="I85" s="2" t="s">
        <v>120</v>
      </c>
      <c r="J85" s="2" t="s">
        <v>53</v>
      </c>
      <c r="K85" s="7"/>
      <c r="L85" s="7" t="s">
        <v>54</v>
      </c>
      <c r="M85" s="3" t="s">
        <v>55</v>
      </c>
      <c r="N85" s="3" t="s">
        <v>56</v>
      </c>
      <c r="O85" s="112"/>
      <c r="P85" s="112"/>
      <c r="Q85" s="112" t="s">
        <v>67</v>
      </c>
      <c r="R85" s="3" t="str">
        <f ca="1"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IPCA+5%</v>
      </c>
      <c r="S85" s="3" t="s">
        <v>59</v>
      </c>
      <c r="T85" s="3" t="s">
        <v>58</v>
      </c>
      <c r="U85" s="3" t="s">
        <v>58</v>
      </c>
      <c r="V85" s="130"/>
      <c r="W85" s="3" t="s">
        <v>58</v>
      </c>
      <c r="X85" s="3" t="s">
        <v>59</v>
      </c>
      <c r="Y85" s="3"/>
      <c r="Z85" s="4"/>
      <c r="AA85" s="79">
        <v>0</v>
      </c>
      <c r="AB85" s="79">
        <v>0</v>
      </c>
      <c r="AC85" s="79">
        <v>0</v>
      </c>
      <c r="AD85" s="79">
        <v>0</v>
      </c>
      <c r="AE85" s="79">
        <v>0</v>
      </c>
      <c r="AF85" s="79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79">
        <v>0</v>
      </c>
      <c r="AM85" s="79">
        <v>1124902.3</v>
      </c>
      <c r="AN85" s="79">
        <v>1127996.3799999999</v>
      </c>
      <c r="AO85" s="79">
        <v>1121864.3600000001</v>
      </c>
      <c r="AP85" s="79">
        <v>1133077.42</v>
      </c>
      <c r="AQ85" s="79">
        <v>1142384.6100000001</v>
      </c>
      <c r="AR85" s="79">
        <v>1139539.18</v>
      </c>
      <c r="AS85" s="79">
        <v>1149329.21</v>
      </c>
      <c r="AT85" s="122">
        <v>1160107.96</v>
      </c>
      <c r="AU85" s="122">
        <v>1166591.51</v>
      </c>
      <c r="AW85" s="152"/>
      <c r="AX85" s="152"/>
      <c r="AY85" s="152"/>
    </row>
    <row r="86" spans="1:51">
      <c r="A86" s="133" t="s">
        <v>47</v>
      </c>
      <c r="B86" s="127" t="s">
        <v>377</v>
      </c>
      <c r="C86" s="127" t="s">
        <v>377</v>
      </c>
      <c r="D86" s="127" t="s">
        <v>378</v>
      </c>
      <c r="E86" s="134" t="s">
        <v>49</v>
      </c>
      <c r="F86" s="134" t="s">
        <v>50</v>
      </c>
      <c r="G86" s="127" t="s">
        <v>379</v>
      </c>
      <c r="H86" s="126">
        <v>14918710</v>
      </c>
      <c r="I86" s="135"/>
      <c r="J86" s="135" t="s">
        <v>53</v>
      </c>
      <c r="K86" s="136"/>
      <c r="L86" s="136" t="s">
        <v>54</v>
      </c>
      <c r="M86" s="134" t="s">
        <v>238</v>
      </c>
      <c r="N86" s="134"/>
      <c r="O86" s="136"/>
      <c r="P86" s="136"/>
      <c r="Q86" s="112" t="s">
        <v>57</v>
      </c>
      <c r="R86" s="134" t="str">
        <f ca="1"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IPCA+4%</v>
      </c>
      <c r="S86" s="134" t="s">
        <v>58</v>
      </c>
      <c r="T86" s="134"/>
      <c r="U86" s="134"/>
      <c r="V86" s="137" t="s">
        <v>380</v>
      </c>
      <c r="W86" s="134"/>
      <c r="X86" s="134"/>
      <c r="Y86" s="134"/>
      <c r="Z86" s="134"/>
      <c r="AA86" s="139">
        <v>603166.97</v>
      </c>
      <c r="AB86" s="139">
        <v>608594.80000000005</v>
      </c>
      <c r="AC86" s="139">
        <v>615897.01</v>
      </c>
      <c r="AD86" s="139">
        <v>624277.85</v>
      </c>
      <c r="AE86" s="139">
        <v>630945.91</v>
      </c>
      <c r="AF86" s="139">
        <v>638414.93999999994</v>
      </c>
      <c r="AG86" s="139">
        <v>646055.01</v>
      </c>
      <c r="AH86" s="139">
        <v>654201.21</v>
      </c>
      <c r="AI86" s="139">
        <v>662794.6</v>
      </c>
      <c r="AJ86" s="139">
        <v>671359.73</v>
      </c>
      <c r="AK86" s="139">
        <v>677325.74</v>
      </c>
      <c r="AL86" s="139">
        <v>684159.38</v>
      </c>
      <c r="AM86" s="139">
        <v>692351.18</v>
      </c>
      <c r="AN86" s="140">
        <v>626993.01</v>
      </c>
      <c r="AO86" s="139">
        <v>627862.28</v>
      </c>
      <c r="AP86" s="139">
        <v>606667.87</v>
      </c>
      <c r="AQ86" s="139">
        <v>0</v>
      </c>
      <c r="AR86" s="141">
        <v>0</v>
      </c>
      <c r="AS86" s="141">
        <v>0</v>
      </c>
      <c r="AT86" s="140">
        <v>0</v>
      </c>
      <c r="AU86" s="140" t="s">
        <v>80</v>
      </c>
    </row>
    <row r="87" spans="1:51" ht="15">
      <c r="A87" s="1" t="s">
        <v>47</v>
      </c>
      <c r="B87" s="5" t="s">
        <v>210</v>
      </c>
      <c r="C87" s="5" t="s">
        <v>210</v>
      </c>
      <c r="D87" s="5" t="s">
        <v>337</v>
      </c>
      <c r="E87" s="3" t="s">
        <v>49</v>
      </c>
      <c r="F87" s="3" t="s">
        <v>212</v>
      </c>
      <c r="G87" s="5" t="s">
        <v>381</v>
      </c>
      <c r="H87" s="6">
        <v>15706583</v>
      </c>
      <c r="I87" s="2" t="s">
        <v>72</v>
      </c>
      <c r="J87" s="2" t="s">
        <v>53</v>
      </c>
      <c r="K87" s="7">
        <v>45659</v>
      </c>
      <c r="L87" s="7" t="s">
        <v>136</v>
      </c>
      <c r="M87" s="3" t="s">
        <v>215</v>
      </c>
      <c r="N87" s="3" t="s">
        <v>56</v>
      </c>
      <c r="O87" s="112">
        <v>47398</v>
      </c>
      <c r="P87" s="112">
        <v>46776</v>
      </c>
      <c r="Q87" s="112" t="s">
        <v>57</v>
      </c>
      <c r="R87" s="3" t="str">
        <f ca="1"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IPCA+4%</v>
      </c>
      <c r="S87" s="3" t="s">
        <v>59</v>
      </c>
      <c r="T87" s="3" t="s">
        <v>59</v>
      </c>
      <c r="U87" s="3" t="s">
        <v>59</v>
      </c>
      <c r="V87" s="130" t="s">
        <v>216</v>
      </c>
      <c r="W87" s="3" t="s">
        <v>58</v>
      </c>
      <c r="X87" s="3" t="s">
        <v>59</v>
      </c>
      <c r="Y87" s="3" t="s">
        <v>130</v>
      </c>
      <c r="Z87" s="114" t="s">
        <v>340</v>
      </c>
      <c r="AA87" s="78">
        <v>3113995.79</v>
      </c>
      <c r="AB87" s="78">
        <v>3248362.34</v>
      </c>
      <c r="AC87" s="78">
        <v>3234267.46</v>
      </c>
      <c r="AD87" s="78">
        <v>3832670.21</v>
      </c>
      <c r="AE87" s="78">
        <v>3820504.86</v>
      </c>
      <c r="AF87" s="78">
        <v>3840846.39</v>
      </c>
      <c r="AG87" s="78">
        <v>3802072.03</v>
      </c>
      <c r="AH87" s="78">
        <v>4492285.75</v>
      </c>
      <c r="AI87" s="78">
        <v>4487345.9400000004</v>
      </c>
      <c r="AJ87" s="78">
        <v>4689896.41</v>
      </c>
      <c r="AK87" s="78">
        <v>5087292.8499999996</v>
      </c>
      <c r="AL87" s="78">
        <v>5027973.72</v>
      </c>
      <c r="AM87" s="78">
        <v>5017441.0599999996</v>
      </c>
      <c r="AN87" s="111">
        <v>5014417.34</v>
      </c>
      <c r="AO87" s="78">
        <v>4978582.22</v>
      </c>
      <c r="AP87" s="78">
        <v>5013202.0199999996</v>
      </c>
      <c r="AQ87" s="78">
        <v>4989363.4362132</v>
      </c>
      <c r="AR87" s="79">
        <v>4980838.97</v>
      </c>
      <c r="AS87" s="79">
        <v>5660330</v>
      </c>
      <c r="AT87" s="122">
        <v>5660160.6660000002</v>
      </c>
      <c r="AU87" s="122">
        <v>7180255.3399999999</v>
      </c>
      <c r="AW87" s="152"/>
      <c r="AX87" s="152"/>
      <c r="AY87" s="152"/>
    </row>
    <row r="88" spans="1:51">
      <c r="A88" s="1" t="s">
        <v>98</v>
      </c>
      <c r="B88" s="5" t="s">
        <v>309</v>
      </c>
      <c r="C88" s="5" t="s">
        <v>309</v>
      </c>
      <c r="D88" s="5" t="s">
        <v>382</v>
      </c>
      <c r="E88" s="3" t="s">
        <v>102</v>
      </c>
      <c r="F88" s="3" t="s">
        <v>50</v>
      </c>
      <c r="G88" s="5" t="s">
        <v>383</v>
      </c>
      <c r="H88" s="6">
        <v>32892096</v>
      </c>
      <c r="I88" s="2" t="s">
        <v>72</v>
      </c>
      <c r="J88" s="2" t="s">
        <v>53</v>
      </c>
      <c r="K88" s="7"/>
      <c r="L88" s="7" t="s">
        <v>54</v>
      </c>
      <c r="M88" s="3" t="s">
        <v>105</v>
      </c>
      <c r="N88" s="3"/>
      <c r="O88" s="112"/>
      <c r="P88" s="112"/>
      <c r="Q88" s="112" t="s">
        <v>221</v>
      </c>
      <c r="R88" s="3" t="str">
        <f ca="1"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58</v>
      </c>
      <c r="T88" s="3"/>
      <c r="U88" s="3"/>
      <c r="V88" s="130"/>
      <c r="W88" s="3"/>
      <c r="X88" s="3"/>
      <c r="Y88" s="3"/>
      <c r="Z88" s="4"/>
      <c r="AA88" s="77">
        <v>0</v>
      </c>
      <c r="AB88" s="77">
        <v>0</v>
      </c>
      <c r="AC88" s="77">
        <v>0</v>
      </c>
      <c r="AD88" s="77">
        <v>0</v>
      </c>
      <c r="AE88" s="77">
        <v>0</v>
      </c>
      <c r="AF88" s="77">
        <v>0</v>
      </c>
      <c r="AG88" s="77">
        <v>0</v>
      </c>
      <c r="AH88" s="77">
        <v>0</v>
      </c>
      <c r="AI88" s="77">
        <v>0</v>
      </c>
      <c r="AJ88" s="77">
        <v>0</v>
      </c>
      <c r="AK88" s="77">
        <v>0</v>
      </c>
      <c r="AL88" s="77">
        <v>0</v>
      </c>
      <c r="AM88" s="77">
        <v>0</v>
      </c>
      <c r="AN88" s="77" t="s">
        <v>176</v>
      </c>
      <c r="AO88" s="77">
        <v>0</v>
      </c>
      <c r="AP88" s="77">
        <v>0</v>
      </c>
      <c r="AQ88" s="80">
        <v>0</v>
      </c>
      <c r="AR88" s="80">
        <v>2146.56</v>
      </c>
      <c r="AS88" s="80">
        <v>0</v>
      </c>
      <c r="AT88" s="132">
        <v>0</v>
      </c>
      <c r="AU88" s="132">
        <v>0</v>
      </c>
    </row>
    <row r="89" spans="1:51" ht="15">
      <c r="A89" s="1" t="s">
        <v>47</v>
      </c>
      <c r="B89" s="5" t="s">
        <v>384</v>
      </c>
      <c r="C89" s="5" t="s">
        <v>247</v>
      </c>
      <c r="D89" s="5" t="s">
        <v>384</v>
      </c>
      <c r="E89" s="3" t="s">
        <v>49</v>
      </c>
      <c r="F89" s="3" t="s">
        <v>50</v>
      </c>
      <c r="G89" s="5" t="s">
        <v>385</v>
      </c>
      <c r="H89" s="6">
        <v>16424007</v>
      </c>
      <c r="I89" s="2" t="s">
        <v>65</v>
      </c>
      <c r="J89" s="2" t="s">
        <v>53</v>
      </c>
      <c r="K89" s="7">
        <v>46100</v>
      </c>
      <c r="L89" s="7" t="s">
        <v>54</v>
      </c>
      <c r="M89" s="3" t="s">
        <v>174</v>
      </c>
      <c r="N89" s="3" t="s">
        <v>66</v>
      </c>
      <c r="O89" s="112">
        <v>46730</v>
      </c>
      <c r="P89" s="112">
        <v>46718</v>
      </c>
      <c r="Q89" s="112" t="s">
        <v>67</v>
      </c>
      <c r="R89" s="3" t="str">
        <f ca="1"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IPCA+4%</v>
      </c>
      <c r="S89" s="3" t="s">
        <v>58</v>
      </c>
      <c r="T89" s="3" t="s">
        <v>58</v>
      </c>
      <c r="U89" s="3" t="s">
        <v>58</v>
      </c>
      <c r="V89" s="130" t="s">
        <v>386</v>
      </c>
      <c r="W89" s="3" t="s">
        <v>58</v>
      </c>
      <c r="X89" s="3" t="s">
        <v>58</v>
      </c>
      <c r="Y89" s="3" t="s">
        <v>107</v>
      </c>
      <c r="Z89" s="114" t="s">
        <v>387</v>
      </c>
      <c r="AA89" s="78">
        <v>58758.63</v>
      </c>
      <c r="AB89" s="78">
        <v>60090.33</v>
      </c>
      <c r="AC89" s="78">
        <v>360879.85</v>
      </c>
      <c r="AD89" s="78">
        <v>361775.16</v>
      </c>
      <c r="AE89" s="78">
        <v>361947.79</v>
      </c>
      <c r="AF89" s="78">
        <v>363238.11</v>
      </c>
      <c r="AG89" s="78">
        <v>363154.81</v>
      </c>
      <c r="AH89" s="78">
        <v>365103.46</v>
      </c>
      <c r="AI89" s="78">
        <v>351758.38</v>
      </c>
      <c r="AJ89" s="78">
        <v>314851.09999999998</v>
      </c>
      <c r="AK89" s="78">
        <v>275523.12</v>
      </c>
      <c r="AL89" s="78">
        <v>277614.34000000003</v>
      </c>
      <c r="AM89" s="78">
        <v>275012.78999999998</v>
      </c>
      <c r="AN89" s="111">
        <v>276112.90999999997</v>
      </c>
      <c r="AO89" s="78">
        <v>1081401.6399999999</v>
      </c>
      <c r="AP89" s="78">
        <v>1278970.1499999999</v>
      </c>
      <c r="AQ89" s="78">
        <v>1292446.7355820001</v>
      </c>
      <c r="AR89" s="79">
        <v>1290108.6299999999</v>
      </c>
      <c r="AS89" s="79">
        <v>1299660</v>
      </c>
      <c r="AT89" s="122">
        <v>1312757.3640000001</v>
      </c>
      <c r="AU89" s="122">
        <v>1292452.3799999999</v>
      </c>
      <c r="AW89" s="152"/>
      <c r="AX89" s="152"/>
      <c r="AY89" s="152"/>
    </row>
    <row r="90" spans="1:51" ht="15">
      <c r="A90" s="1" t="s">
        <v>47</v>
      </c>
      <c r="B90" s="5" t="s">
        <v>253</v>
      </c>
      <c r="C90" s="5" t="s">
        <v>254</v>
      </c>
      <c r="D90" s="5" t="s">
        <v>253</v>
      </c>
      <c r="E90" s="3" t="s">
        <v>49</v>
      </c>
      <c r="F90" s="3" t="s">
        <v>50</v>
      </c>
      <c r="G90" s="5" t="s">
        <v>388</v>
      </c>
      <c r="H90" s="6">
        <v>16917348</v>
      </c>
      <c r="I90" s="2" t="s">
        <v>157</v>
      </c>
      <c r="J90" s="2" t="s">
        <v>87</v>
      </c>
      <c r="K90" s="7">
        <v>45597</v>
      </c>
      <c r="L90" s="7" t="s">
        <v>54</v>
      </c>
      <c r="M90" s="3" t="s">
        <v>114</v>
      </c>
      <c r="N90" s="3" t="s">
        <v>56</v>
      </c>
      <c r="O90" s="112">
        <v>47252</v>
      </c>
      <c r="P90" s="112">
        <v>46900</v>
      </c>
      <c r="Q90" s="112" t="s">
        <v>57</v>
      </c>
      <c r="R90" s="3" t="str">
        <f ca="1"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IPCA+5%</v>
      </c>
      <c r="S90" s="3" t="s">
        <v>59</v>
      </c>
      <c r="T90" s="3" t="s">
        <v>58</v>
      </c>
      <c r="U90" s="3" t="s">
        <v>58</v>
      </c>
      <c r="V90" s="130" t="s">
        <v>256</v>
      </c>
      <c r="W90" s="3" t="s">
        <v>58</v>
      </c>
      <c r="X90" s="3" t="s">
        <v>58</v>
      </c>
      <c r="Y90" s="3" t="s">
        <v>107</v>
      </c>
      <c r="Z90" s="114" t="s">
        <v>389</v>
      </c>
      <c r="AA90" s="78">
        <v>0.21</v>
      </c>
      <c r="AB90" s="78">
        <v>0.08</v>
      </c>
      <c r="AC90" s="78">
        <v>0.2</v>
      </c>
      <c r="AD90" s="78">
        <v>0.1</v>
      </c>
      <c r="AE90" s="78">
        <v>0.26</v>
      </c>
      <c r="AF90" s="78">
        <v>0.26</v>
      </c>
      <c r="AG90" s="78">
        <v>0.08</v>
      </c>
      <c r="AH90" s="78">
        <v>0.14000000000000001</v>
      </c>
      <c r="AI90" s="78">
        <v>0.17</v>
      </c>
      <c r="AJ90" s="78">
        <v>0.17</v>
      </c>
      <c r="AK90" s="78">
        <v>0.17</v>
      </c>
      <c r="AL90" s="78">
        <v>0.17</v>
      </c>
      <c r="AM90" s="78">
        <v>0.17</v>
      </c>
      <c r="AN90" s="111">
        <v>0.17</v>
      </c>
      <c r="AO90" s="78">
        <v>0.21</v>
      </c>
      <c r="AP90" s="78">
        <v>0.21</v>
      </c>
      <c r="AQ90" s="78">
        <v>0.21</v>
      </c>
      <c r="AR90" s="79">
        <v>0.21</v>
      </c>
      <c r="AS90" s="79">
        <v>0.21</v>
      </c>
      <c r="AT90" s="122">
        <v>0.21</v>
      </c>
      <c r="AU90" s="122" t="s">
        <v>80</v>
      </c>
      <c r="AW90" s="152"/>
      <c r="AX90" s="152"/>
      <c r="AY90" s="152"/>
    </row>
    <row r="91" spans="1:51" ht="15">
      <c r="A91" s="1" t="s">
        <v>47</v>
      </c>
      <c r="B91" s="5" t="s">
        <v>210</v>
      </c>
      <c r="C91" s="5" t="s">
        <v>210</v>
      </c>
      <c r="D91" s="5" t="s">
        <v>390</v>
      </c>
      <c r="E91" s="3" t="s">
        <v>49</v>
      </c>
      <c r="F91" s="3" t="s">
        <v>212</v>
      </c>
      <c r="G91" s="5" t="s">
        <v>391</v>
      </c>
      <c r="H91" s="6">
        <v>17208214</v>
      </c>
      <c r="I91" s="2" t="s">
        <v>72</v>
      </c>
      <c r="J91" s="2" t="s">
        <v>53</v>
      </c>
      <c r="K91" s="7">
        <v>45649</v>
      </c>
      <c r="L91" s="7" t="s">
        <v>54</v>
      </c>
      <c r="M91" s="3" t="s">
        <v>215</v>
      </c>
      <c r="N91" s="3" t="s">
        <v>56</v>
      </c>
      <c r="O91" s="112">
        <v>46871</v>
      </c>
      <c r="P91" s="112">
        <v>46875</v>
      </c>
      <c r="Q91" s="112" t="s">
        <v>57</v>
      </c>
      <c r="R91" s="3" t="str">
        <f ca="1"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IPCA+4%</v>
      </c>
      <c r="S91" s="3" t="s">
        <v>59</v>
      </c>
      <c r="T91" s="3" t="s">
        <v>59</v>
      </c>
      <c r="U91" s="3" t="s">
        <v>59</v>
      </c>
      <c r="V91" s="130" t="s">
        <v>216</v>
      </c>
      <c r="W91" s="3" t="s">
        <v>58</v>
      </c>
      <c r="X91" s="3" t="s">
        <v>59</v>
      </c>
      <c r="Y91" s="3" t="s">
        <v>130</v>
      </c>
      <c r="Z91" s="114" t="s">
        <v>392</v>
      </c>
      <c r="AA91" s="78">
        <v>6460275.21</v>
      </c>
      <c r="AB91" s="78">
        <v>6325610.29</v>
      </c>
      <c r="AC91" s="78">
        <v>6301303.6600000001</v>
      </c>
      <c r="AD91" s="78">
        <v>6260679.3899999997</v>
      </c>
      <c r="AE91" s="78">
        <v>6048682.46</v>
      </c>
      <c r="AF91" s="78">
        <v>5979863.8700000001</v>
      </c>
      <c r="AG91" s="78">
        <v>5862415.9500000002</v>
      </c>
      <c r="AH91" s="78">
        <v>5817956.8300000001</v>
      </c>
      <c r="AI91" s="78">
        <v>9268241.9000000004</v>
      </c>
      <c r="AJ91" s="78">
        <v>12905114.609999999</v>
      </c>
      <c r="AK91" s="78">
        <v>12808622.85</v>
      </c>
      <c r="AL91" s="78">
        <v>12790610.17</v>
      </c>
      <c r="AM91" s="78">
        <v>12763590.869999999</v>
      </c>
      <c r="AN91" s="111">
        <v>12765168.43</v>
      </c>
      <c r="AO91" s="78">
        <v>12584149.529999999</v>
      </c>
      <c r="AP91" s="78">
        <v>12656087.029999999</v>
      </c>
      <c r="AQ91" s="78">
        <v>12787494.019932119</v>
      </c>
      <c r="AR91" s="79">
        <v>12754197.08</v>
      </c>
      <c r="AS91" s="79">
        <v>13123316</v>
      </c>
      <c r="AT91" s="122">
        <v>13155359.189999999</v>
      </c>
      <c r="AU91" s="122">
        <v>16698387.210000001</v>
      </c>
      <c r="AW91" s="152"/>
      <c r="AX91" s="152"/>
      <c r="AY91" s="152"/>
    </row>
    <row r="92" spans="1:51">
      <c r="A92" s="1" t="s">
        <v>98</v>
      </c>
      <c r="B92" s="5" t="s">
        <v>201</v>
      </c>
      <c r="C92" s="5" t="s">
        <v>202</v>
      </c>
      <c r="D92" s="5" t="s">
        <v>393</v>
      </c>
      <c r="E92" s="3" t="s">
        <v>49</v>
      </c>
      <c r="F92" s="3" t="s">
        <v>50</v>
      </c>
      <c r="G92" s="81" t="s">
        <v>394</v>
      </c>
      <c r="H92" s="6">
        <v>29206363</v>
      </c>
      <c r="I92" s="2" t="s">
        <v>204</v>
      </c>
      <c r="J92" s="2" t="s">
        <v>53</v>
      </c>
      <c r="K92" s="7"/>
      <c r="L92" s="7" t="s">
        <v>54</v>
      </c>
      <c r="M92" s="3" t="s">
        <v>114</v>
      </c>
      <c r="N92" s="3" t="s">
        <v>56</v>
      </c>
      <c r="O92" s="112"/>
      <c r="P92" s="112"/>
      <c r="Q92" s="112" t="s">
        <v>57</v>
      </c>
      <c r="R92" s="3" t="str">
        <f ca="1"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IPCA+5%</v>
      </c>
      <c r="S92" s="3" t="s">
        <v>59</v>
      </c>
      <c r="T92" s="3" t="s">
        <v>58</v>
      </c>
      <c r="U92" s="3" t="s">
        <v>58</v>
      </c>
      <c r="V92" s="130"/>
      <c r="W92" s="3" t="s">
        <v>58</v>
      </c>
      <c r="X92" s="3" t="s">
        <v>58</v>
      </c>
      <c r="Y92" s="3" t="s">
        <v>61</v>
      </c>
      <c r="Z92" s="114" t="s">
        <v>395</v>
      </c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80">
        <v>6012.78</v>
      </c>
      <c r="AR92" s="80">
        <v>1470.68</v>
      </c>
      <c r="AS92" s="80">
        <v>2377.84</v>
      </c>
      <c r="AT92" s="132">
        <v>2035.63</v>
      </c>
      <c r="AU92" s="132">
        <v>2035.63</v>
      </c>
    </row>
    <row r="93" spans="1:51">
      <c r="A93" s="1" t="s">
        <v>98</v>
      </c>
      <c r="B93" s="5" t="s">
        <v>201</v>
      </c>
      <c r="C93" s="160" t="s">
        <v>202</v>
      </c>
      <c r="D93" s="5" t="s">
        <v>396</v>
      </c>
      <c r="E93" s="3" t="s">
        <v>102</v>
      </c>
      <c r="F93" s="3" t="s">
        <v>50</v>
      </c>
      <c r="G93" s="5" t="s">
        <v>394</v>
      </c>
      <c r="H93" s="6">
        <v>36200373</v>
      </c>
      <c r="I93" s="2" t="s">
        <v>204</v>
      </c>
      <c r="J93" s="2" t="s">
        <v>53</v>
      </c>
      <c r="K93" s="7"/>
      <c r="L93" s="7" t="s">
        <v>54</v>
      </c>
      <c r="M93" s="3" t="s">
        <v>114</v>
      </c>
      <c r="N93" s="3" t="s">
        <v>56</v>
      </c>
      <c r="O93" s="112"/>
      <c r="P93" s="112"/>
      <c r="Q93" s="112" t="s">
        <v>57</v>
      </c>
      <c r="R93" s="3" t="str">
        <f ca="1"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IPCA+5%</v>
      </c>
      <c r="S93" s="3" t="s">
        <v>59</v>
      </c>
      <c r="T93" s="3" t="s">
        <v>58</v>
      </c>
      <c r="U93" s="3" t="s">
        <v>58</v>
      </c>
      <c r="V93" s="156" t="s">
        <v>397</v>
      </c>
      <c r="W93" s="3" t="s">
        <v>58</v>
      </c>
      <c r="X93" s="3" t="s">
        <v>58</v>
      </c>
      <c r="Y93" s="3" t="s">
        <v>61</v>
      </c>
      <c r="Z93" s="114" t="s">
        <v>395</v>
      </c>
      <c r="AA93" s="77">
        <v>1128594.51</v>
      </c>
      <c r="AB93" s="77">
        <v>1157776.82</v>
      </c>
      <c r="AC93" s="77">
        <v>1150998.3500000001</v>
      </c>
      <c r="AD93" s="77">
        <v>1254572.24</v>
      </c>
      <c r="AE93" s="77">
        <v>1261380.8600000001</v>
      </c>
      <c r="AF93" s="77">
        <v>1297515.77</v>
      </c>
      <c r="AG93" s="77">
        <v>1392731.64</v>
      </c>
      <c r="AH93" s="77">
        <v>1435059.11</v>
      </c>
      <c r="AI93" s="77">
        <v>1516721.27</v>
      </c>
      <c r="AJ93" s="77">
        <v>1581124.19</v>
      </c>
      <c r="AK93" s="77">
        <v>1642132.32</v>
      </c>
      <c r="AL93" s="77">
        <v>1464056.86</v>
      </c>
      <c r="AM93" s="77">
        <v>1506904.01</v>
      </c>
      <c r="AN93" s="77">
        <v>1538698.12</v>
      </c>
      <c r="AO93" s="77">
        <v>1474239.87</v>
      </c>
      <c r="AP93" s="77">
        <v>1618223.84</v>
      </c>
      <c r="AQ93" s="80">
        <v>1658960.68</v>
      </c>
      <c r="AR93" s="80">
        <v>1666263.56</v>
      </c>
      <c r="AS93" s="80">
        <v>1738393.31</v>
      </c>
      <c r="AT93" s="132">
        <v>1813757.46</v>
      </c>
      <c r="AU93" s="132">
        <v>1820641.19</v>
      </c>
    </row>
    <row r="94" spans="1:51">
      <c r="A94" s="1" t="s">
        <v>47</v>
      </c>
      <c r="B94" s="5" t="s">
        <v>398</v>
      </c>
      <c r="C94" s="5" t="s">
        <v>210</v>
      </c>
      <c r="D94" s="5" t="s">
        <v>398</v>
      </c>
      <c r="E94" s="3" t="s">
        <v>49</v>
      </c>
      <c r="F94" s="3" t="s">
        <v>212</v>
      </c>
      <c r="G94" s="5" t="s">
        <v>399</v>
      </c>
      <c r="H94" s="6">
        <v>17624003</v>
      </c>
      <c r="I94" s="2" t="s">
        <v>72</v>
      </c>
      <c r="J94" s="2" t="s">
        <v>53</v>
      </c>
      <c r="K94" s="7">
        <v>45684</v>
      </c>
      <c r="L94" s="7" t="s">
        <v>54</v>
      </c>
      <c r="M94" s="3" t="s">
        <v>215</v>
      </c>
      <c r="N94" s="3" t="s">
        <v>56</v>
      </c>
      <c r="O94" s="112">
        <v>46642</v>
      </c>
      <c r="P94" s="112">
        <v>46492</v>
      </c>
      <c r="Q94" s="112" t="s">
        <v>57</v>
      </c>
      <c r="R94" s="3" t="str">
        <f ca="1"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58</v>
      </c>
      <c r="T94" s="3" t="s">
        <v>59</v>
      </c>
      <c r="U94" s="3" t="s">
        <v>59</v>
      </c>
      <c r="V94" s="130"/>
      <c r="W94" s="3" t="s">
        <v>58</v>
      </c>
      <c r="X94" s="3" t="s">
        <v>58</v>
      </c>
      <c r="Y94" s="3" t="s">
        <v>107</v>
      </c>
      <c r="Z94" s="114" t="s">
        <v>400</v>
      </c>
      <c r="AA94" s="78">
        <v>0</v>
      </c>
      <c r="AB94" s="78">
        <v>0</v>
      </c>
      <c r="AC94" s="78">
        <v>0</v>
      </c>
      <c r="AD94" s="78">
        <v>10079.540000000001</v>
      </c>
      <c r="AE94" s="78">
        <v>18306.259999999998</v>
      </c>
      <c r="AF94" s="78">
        <v>26628.82</v>
      </c>
      <c r="AG94" s="78">
        <v>36082.22</v>
      </c>
      <c r="AH94" s="78">
        <v>46671.37</v>
      </c>
      <c r="AI94" s="78">
        <v>58492.22</v>
      </c>
      <c r="AJ94" s="78">
        <v>105493.65</v>
      </c>
      <c r="AK94" s="78">
        <v>112498.46</v>
      </c>
      <c r="AL94" s="78">
        <v>114801.64</v>
      </c>
      <c r="AM94" s="78">
        <v>126880.95</v>
      </c>
      <c r="AN94" s="111">
        <v>137711.39000000001</v>
      </c>
      <c r="AO94" s="78">
        <v>148012.59</v>
      </c>
      <c r="AP94" s="78">
        <v>149230.79</v>
      </c>
      <c r="AQ94" s="78">
        <v>358171.48793800001</v>
      </c>
      <c r="AR94" s="79">
        <v>359404.07</v>
      </c>
      <c r="AS94" s="79">
        <v>373405.6</v>
      </c>
      <c r="AT94" s="122">
        <v>394467.14480000001</v>
      </c>
      <c r="AU94" s="122">
        <v>404541.34</v>
      </c>
    </row>
    <row r="95" spans="1:51">
      <c r="A95" s="1" t="s">
        <v>47</v>
      </c>
      <c r="B95" s="5" t="s">
        <v>390</v>
      </c>
      <c r="C95" s="5" t="s">
        <v>210</v>
      </c>
      <c r="D95" s="5" t="s">
        <v>390</v>
      </c>
      <c r="E95" s="3" t="s">
        <v>49</v>
      </c>
      <c r="F95" s="3" t="s">
        <v>212</v>
      </c>
      <c r="G95" s="5" t="s">
        <v>401</v>
      </c>
      <c r="H95" s="6">
        <v>17736177</v>
      </c>
      <c r="I95" s="2" t="s">
        <v>72</v>
      </c>
      <c r="J95" s="2" t="s">
        <v>53</v>
      </c>
      <c r="K95" s="7">
        <v>45701</v>
      </c>
      <c r="L95" s="7" t="s">
        <v>54</v>
      </c>
      <c r="M95" s="3" t="s">
        <v>215</v>
      </c>
      <c r="N95" s="3" t="s">
        <v>56</v>
      </c>
      <c r="O95" s="112">
        <v>46871</v>
      </c>
      <c r="P95" s="112">
        <v>46875</v>
      </c>
      <c r="Q95" s="112" t="s">
        <v>57</v>
      </c>
      <c r="R95" s="3" t="str">
        <f ca="1"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IPCA+4%</v>
      </c>
      <c r="S95" s="3" t="s">
        <v>58</v>
      </c>
      <c r="T95" s="3" t="s">
        <v>59</v>
      </c>
      <c r="U95" s="3" t="s">
        <v>59</v>
      </c>
      <c r="V95" s="130"/>
      <c r="W95" s="3" t="s">
        <v>58</v>
      </c>
      <c r="X95" s="3" t="s">
        <v>59</v>
      </c>
      <c r="Y95" s="3" t="s">
        <v>107</v>
      </c>
      <c r="Z95" s="114" t="s">
        <v>392</v>
      </c>
      <c r="AA95" s="78">
        <v>0</v>
      </c>
      <c r="AB95" s="78">
        <v>39201.47</v>
      </c>
      <c r="AC95" s="78">
        <v>39615.5</v>
      </c>
      <c r="AD95" s="78">
        <v>40049.93</v>
      </c>
      <c r="AE95" s="78">
        <v>45311.72</v>
      </c>
      <c r="AF95" s="78">
        <v>45804.75</v>
      </c>
      <c r="AG95" s="78">
        <v>56427.18</v>
      </c>
      <c r="AH95" s="78">
        <v>57134.9</v>
      </c>
      <c r="AI95" s="78">
        <v>57872.18</v>
      </c>
      <c r="AJ95" s="78">
        <v>133525.82</v>
      </c>
      <c r="AK95" s="78">
        <v>134578.13</v>
      </c>
      <c r="AL95" s="78">
        <v>147293.51</v>
      </c>
      <c r="AM95" s="78">
        <v>92783.99</v>
      </c>
      <c r="AN95" s="111">
        <v>93231.33</v>
      </c>
      <c r="AO95" s="78">
        <v>93708.79</v>
      </c>
      <c r="AP95" s="78">
        <v>94117.24</v>
      </c>
      <c r="AQ95" s="78">
        <v>292270.84644400002</v>
      </c>
      <c r="AR95" s="79">
        <v>293377.45</v>
      </c>
      <c r="AS95" s="79">
        <v>296129.3</v>
      </c>
      <c r="AT95" s="122">
        <v>296270.13530000002</v>
      </c>
      <c r="AU95" s="122">
        <v>382588</v>
      </c>
    </row>
    <row r="96" spans="1:51" ht="15">
      <c r="A96" s="1" t="s">
        <v>81</v>
      </c>
      <c r="B96" s="5" t="s">
        <v>82</v>
      </c>
      <c r="C96" s="5" t="s">
        <v>82</v>
      </c>
      <c r="D96" s="5" t="s">
        <v>89</v>
      </c>
      <c r="E96" s="3" t="s">
        <v>49</v>
      </c>
      <c r="F96" s="3" t="s">
        <v>50</v>
      </c>
      <c r="G96" s="5" t="s">
        <v>402</v>
      </c>
      <c r="H96" s="6" t="s">
        <v>403</v>
      </c>
      <c r="I96" s="2" t="s">
        <v>86</v>
      </c>
      <c r="J96" s="82" t="s">
        <v>87</v>
      </c>
      <c r="K96" s="7"/>
      <c r="L96" s="7" t="s">
        <v>54</v>
      </c>
      <c r="M96" s="3"/>
      <c r="N96" s="3" t="s">
        <v>66</v>
      </c>
      <c r="O96" s="112">
        <v>46352</v>
      </c>
      <c r="P96" s="112">
        <v>46986</v>
      </c>
      <c r="Q96" s="112" t="s">
        <v>67</v>
      </c>
      <c r="R96" s="3"/>
      <c r="S96" s="3"/>
      <c r="T96" s="3"/>
      <c r="U96" s="3"/>
      <c r="V96" s="130"/>
      <c r="W96" s="3"/>
      <c r="X96" s="3"/>
      <c r="Y96" s="3"/>
      <c r="Z96" s="114" t="s">
        <v>91</v>
      </c>
      <c r="AA96" s="78">
        <v>0</v>
      </c>
      <c r="AB96" s="78">
        <v>0</v>
      </c>
      <c r="AC96" s="78">
        <v>0</v>
      </c>
      <c r="AD96" s="78">
        <v>0</v>
      </c>
      <c r="AE96" s="78">
        <v>0</v>
      </c>
      <c r="AF96" s="78">
        <v>0</v>
      </c>
      <c r="AG96" s="78">
        <v>0</v>
      </c>
      <c r="AH96" s="78">
        <v>0</v>
      </c>
      <c r="AI96" s="78">
        <v>0</v>
      </c>
      <c r="AJ96" s="78">
        <v>0</v>
      </c>
      <c r="AK96" s="78">
        <v>0</v>
      </c>
      <c r="AL96" s="78">
        <v>0</v>
      </c>
      <c r="AM96" s="78">
        <v>0</v>
      </c>
      <c r="AN96" s="78">
        <v>0</v>
      </c>
      <c r="AO96" s="78">
        <v>0</v>
      </c>
      <c r="AP96" s="78">
        <v>0</v>
      </c>
      <c r="AQ96" s="78">
        <v>0</v>
      </c>
      <c r="AR96" s="78">
        <v>0</v>
      </c>
      <c r="AS96" s="78">
        <v>0</v>
      </c>
      <c r="AT96" s="78">
        <v>0</v>
      </c>
      <c r="AU96" s="78">
        <v>993163.07</v>
      </c>
      <c r="AW96" s="152"/>
      <c r="AX96" s="152"/>
      <c r="AY96" s="152"/>
    </row>
    <row r="97" spans="1:51" ht="15">
      <c r="A97" s="1" t="s">
        <v>47</v>
      </c>
      <c r="B97" s="5" t="s">
        <v>404</v>
      </c>
      <c r="C97" s="5" t="s">
        <v>404</v>
      </c>
      <c r="D97" s="5" t="s">
        <v>404</v>
      </c>
      <c r="E97" s="3" t="s">
        <v>102</v>
      </c>
      <c r="F97" s="3" t="s">
        <v>126</v>
      </c>
      <c r="G97" s="5" t="s">
        <v>405</v>
      </c>
      <c r="H97" s="6">
        <v>17770891</v>
      </c>
      <c r="I97" s="2" t="s">
        <v>95</v>
      </c>
      <c r="J97" s="82" t="s">
        <v>87</v>
      </c>
      <c r="K97" s="7">
        <v>46199</v>
      </c>
      <c r="L97" s="7"/>
      <c r="M97" s="3"/>
      <c r="N97" s="3" t="s">
        <v>282</v>
      </c>
      <c r="O97" s="112">
        <v>46476</v>
      </c>
      <c r="P97" s="112">
        <v>46408</v>
      </c>
      <c r="Q97" s="112" t="s">
        <v>406</v>
      </c>
      <c r="R97" s="3" t="str">
        <f ca="1"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/>
      </c>
      <c r="S97" s="3" t="s">
        <v>58</v>
      </c>
      <c r="T97" s="3"/>
      <c r="U97" s="3"/>
      <c r="V97" s="130"/>
      <c r="W97" s="3"/>
      <c r="X97" s="3"/>
      <c r="Y97" s="3"/>
      <c r="Z97" s="114" t="s">
        <v>138</v>
      </c>
      <c r="AA97" s="79">
        <v>0</v>
      </c>
      <c r="AB97" s="79">
        <v>0</v>
      </c>
      <c r="AC97" s="79">
        <v>0</v>
      </c>
      <c r="AD97" s="79">
        <v>0</v>
      </c>
      <c r="AE97" s="79">
        <v>0</v>
      </c>
      <c r="AF97" s="79">
        <v>0</v>
      </c>
      <c r="AG97" s="79">
        <v>0</v>
      </c>
      <c r="AH97" s="79">
        <v>0</v>
      </c>
      <c r="AI97" s="79">
        <v>0</v>
      </c>
      <c r="AJ97" s="79">
        <v>0</v>
      </c>
      <c r="AK97" s="79">
        <v>0</v>
      </c>
      <c r="AL97" s="79">
        <v>0</v>
      </c>
      <c r="AM97" s="79">
        <v>0</v>
      </c>
      <c r="AN97" s="79" t="s">
        <v>313</v>
      </c>
      <c r="AO97" s="79">
        <v>0</v>
      </c>
      <c r="AP97" s="79">
        <v>0</v>
      </c>
      <c r="AQ97" s="79">
        <v>0</v>
      </c>
      <c r="AR97" s="79">
        <v>1328507.45</v>
      </c>
      <c r="AS97" s="79">
        <v>0</v>
      </c>
      <c r="AT97" s="122">
        <v>411673.37</v>
      </c>
      <c r="AU97" s="122">
        <v>831479.49</v>
      </c>
      <c r="AW97" s="152"/>
      <c r="AX97" s="152"/>
      <c r="AY97" s="152"/>
    </row>
    <row r="98" spans="1:51">
      <c r="A98" s="1" t="s">
        <v>47</v>
      </c>
      <c r="B98" s="5" t="s">
        <v>407</v>
      </c>
      <c r="C98" s="5" t="s">
        <v>407</v>
      </c>
      <c r="D98" s="5" t="s">
        <v>407</v>
      </c>
      <c r="E98" s="3" t="s">
        <v>49</v>
      </c>
      <c r="F98" s="3" t="s">
        <v>50</v>
      </c>
      <c r="G98" s="5" t="s">
        <v>408</v>
      </c>
      <c r="H98" s="6">
        <v>17866382</v>
      </c>
      <c r="I98" s="2" t="s">
        <v>120</v>
      </c>
      <c r="J98" s="2" t="s">
        <v>53</v>
      </c>
      <c r="K98" s="7">
        <v>45801</v>
      </c>
      <c r="L98" s="7" t="s">
        <v>54</v>
      </c>
      <c r="M98" s="3" t="s">
        <v>215</v>
      </c>
      <c r="N98" s="3" t="s">
        <v>56</v>
      </c>
      <c r="O98" s="112">
        <v>46383</v>
      </c>
      <c r="P98" s="112">
        <v>46383</v>
      </c>
      <c r="Q98" s="112" t="s">
        <v>128</v>
      </c>
      <c r="R98" s="3" t="str">
        <f ca="1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IPCA+4%</v>
      </c>
      <c r="S98" s="3" t="s">
        <v>58</v>
      </c>
      <c r="T98" s="3" t="s">
        <v>58</v>
      </c>
      <c r="U98" s="3" t="s">
        <v>58</v>
      </c>
      <c r="V98" s="130" t="s">
        <v>409</v>
      </c>
      <c r="W98" s="3" t="s">
        <v>58</v>
      </c>
      <c r="X98" s="3" t="s">
        <v>59</v>
      </c>
      <c r="Y98" s="3" t="s">
        <v>107</v>
      </c>
      <c r="Z98" s="114" t="s">
        <v>410</v>
      </c>
      <c r="AA98" s="78">
        <v>0</v>
      </c>
      <c r="AB98" s="78">
        <v>0</v>
      </c>
      <c r="AC98" s="78">
        <v>701051.5</v>
      </c>
      <c r="AD98" s="78">
        <v>705497.92</v>
      </c>
      <c r="AE98" s="78">
        <v>773835.26</v>
      </c>
      <c r="AF98" s="78">
        <v>780991.46</v>
      </c>
      <c r="AG98" s="78">
        <v>791348.38</v>
      </c>
      <c r="AH98" s="78">
        <v>800355.12</v>
      </c>
      <c r="AI98" s="78">
        <v>801137.83</v>
      </c>
      <c r="AJ98" s="78">
        <v>807347.29</v>
      </c>
      <c r="AK98" s="78">
        <v>814262.95</v>
      </c>
      <c r="AL98" s="78">
        <v>824131.86</v>
      </c>
      <c r="AM98" s="78">
        <v>834648.77</v>
      </c>
      <c r="AN98" s="111">
        <v>840427.45</v>
      </c>
      <c r="AO98" s="78">
        <v>846877.14</v>
      </c>
      <c r="AP98" s="78">
        <v>853363.31</v>
      </c>
      <c r="AQ98" s="78">
        <v>872067.84276000003</v>
      </c>
      <c r="AR98" s="79">
        <v>863461.84</v>
      </c>
      <c r="AS98" s="79">
        <v>880644.4</v>
      </c>
      <c r="AT98" s="122">
        <v>889970.42599999998</v>
      </c>
      <c r="AU98" s="122">
        <v>894539.96</v>
      </c>
    </row>
    <row r="99" spans="1:51">
      <c r="A99" s="1" t="s">
        <v>47</v>
      </c>
      <c r="B99" s="5" t="s">
        <v>360</v>
      </c>
      <c r="C99" s="5" t="s">
        <v>360</v>
      </c>
      <c r="D99" s="5" t="s">
        <v>360</v>
      </c>
      <c r="E99" s="3" t="s">
        <v>49</v>
      </c>
      <c r="F99" s="3" t="s">
        <v>50</v>
      </c>
      <c r="G99" s="5" t="s">
        <v>411</v>
      </c>
      <c r="H99" s="6">
        <v>18129345</v>
      </c>
      <c r="I99" s="2" t="s">
        <v>120</v>
      </c>
      <c r="J99" s="2" t="s">
        <v>53</v>
      </c>
      <c r="K99" s="7">
        <v>45799</v>
      </c>
      <c r="L99" s="7" t="s">
        <v>54</v>
      </c>
      <c r="M99" s="3" t="s">
        <v>215</v>
      </c>
      <c r="N99" s="3" t="s">
        <v>66</v>
      </c>
      <c r="O99" s="112">
        <v>46535</v>
      </c>
      <c r="P99" s="112">
        <v>46521</v>
      </c>
      <c r="Q99" s="112" t="s">
        <v>128</v>
      </c>
      <c r="R99" s="3" t="str">
        <f ca="1"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IPCA+4%</v>
      </c>
      <c r="S99" s="3" t="s">
        <v>59</v>
      </c>
      <c r="T99" s="3" t="s">
        <v>59</v>
      </c>
      <c r="U99" s="3" t="s">
        <v>59</v>
      </c>
      <c r="V99" s="130" t="s">
        <v>363</v>
      </c>
      <c r="W99" s="3" t="s">
        <v>58</v>
      </c>
      <c r="X99" s="3" t="s">
        <v>58</v>
      </c>
      <c r="Y99" s="3" t="s">
        <v>130</v>
      </c>
      <c r="Z99" s="114" t="s">
        <v>412</v>
      </c>
      <c r="AA99" s="78">
        <v>0</v>
      </c>
      <c r="AB99" s="78">
        <v>0</v>
      </c>
      <c r="AC99" s="78">
        <v>0</v>
      </c>
      <c r="AD99" s="78">
        <v>0</v>
      </c>
      <c r="AE99" s="78">
        <v>3954149.39</v>
      </c>
      <c r="AF99" s="78">
        <v>7202483.2300000004</v>
      </c>
      <c r="AG99" s="78">
        <v>7175432.0300000003</v>
      </c>
      <c r="AH99" s="78">
        <v>7179234.5099999998</v>
      </c>
      <c r="AI99" s="78">
        <v>7206792.2800000003</v>
      </c>
      <c r="AJ99" s="78">
        <v>7217513.9299999997</v>
      </c>
      <c r="AK99" s="78">
        <v>7174705.5899999999</v>
      </c>
      <c r="AL99" s="78">
        <v>5462219.6699999999</v>
      </c>
      <c r="AM99" s="78">
        <v>5442961.4699999997</v>
      </c>
      <c r="AN99" s="111">
        <v>5434206.2800000003</v>
      </c>
      <c r="AO99" s="78">
        <v>5874744.0499999998</v>
      </c>
      <c r="AP99" s="78">
        <v>5961124.9500000002</v>
      </c>
      <c r="AQ99" s="78">
        <v>5586603.8700000001</v>
      </c>
      <c r="AR99" s="79">
        <v>5588492.9800000004</v>
      </c>
      <c r="AS99" s="79">
        <v>5705739</v>
      </c>
      <c r="AT99" s="122">
        <v>5715362.1500000004</v>
      </c>
      <c r="AU99" s="122">
        <v>5736701.2199999997</v>
      </c>
    </row>
    <row r="100" spans="1:51" ht="15">
      <c r="A100" s="1" t="s">
        <v>47</v>
      </c>
      <c r="B100" s="5" t="s">
        <v>123</v>
      </c>
      <c r="C100" s="5" t="s">
        <v>124</v>
      </c>
      <c r="D100" s="5" t="s">
        <v>413</v>
      </c>
      <c r="E100" s="3" t="s">
        <v>102</v>
      </c>
      <c r="F100" s="3" t="s">
        <v>126</v>
      </c>
      <c r="G100" s="5" t="s">
        <v>414</v>
      </c>
      <c r="H100" s="6">
        <v>18466421</v>
      </c>
      <c r="I100" s="2" t="s">
        <v>65</v>
      </c>
      <c r="J100" s="82" t="s">
        <v>53</v>
      </c>
      <c r="K100" s="7">
        <v>46167</v>
      </c>
      <c r="L100" s="7" t="s">
        <v>54</v>
      </c>
      <c r="M100" s="3" t="s">
        <v>174</v>
      </c>
      <c r="N100" s="3" t="s">
        <v>56</v>
      </c>
      <c r="O100" s="112">
        <v>46408</v>
      </c>
      <c r="P100" s="112">
        <v>46438</v>
      </c>
      <c r="Q100" s="112" t="s">
        <v>128</v>
      </c>
      <c r="R100" s="3" t="str">
        <f ca="1"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IPCA+4%</v>
      </c>
      <c r="S100" s="3" t="s">
        <v>59</v>
      </c>
      <c r="T100" s="3"/>
      <c r="U100" s="3"/>
      <c r="V100" s="130"/>
      <c r="W100" s="3"/>
      <c r="X100" s="3"/>
      <c r="Y100" s="3"/>
      <c r="Z100" s="114" t="s">
        <v>415</v>
      </c>
      <c r="AA100" s="79">
        <v>0</v>
      </c>
      <c r="AB100" s="79">
        <v>0</v>
      </c>
      <c r="AC100" s="79">
        <v>0</v>
      </c>
      <c r="AD100" s="79">
        <v>0</v>
      </c>
      <c r="AE100" s="79">
        <v>0</v>
      </c>
      <c r="AF100" s="79">
        <v>0</v>
      </c>
      <c r="AG100" s="79">
        <v>0</v>
      </c>
      <c r="AH100" s="79">
        <v>0</v>
      </c>
      <c r="AI100" s="79">
        <v>0</v>
      </c>
      <c r="AJ100" s="79">
        <v>0</v>
      </c>
      <c r="AK100" s="79">
        <v>0</v>
      </c>
      <c r="AL100" s="79">
        <v>0</v>
      </c>
      <c r="AM100" s="79">
        <v>0</v>
      </c>
      <c r="AN100" s="79" t="s">
        <v>313</v>
      </c>
      <c r="AO100" s="79">
        <v>0</v>
      </c>
      <c r="AP100" s="79">
        <v>0</v>
      </c>
      <c r="AQ100" s="79">
        <v>0</v>
      </c>
      <c r="AR100" s="79">
        <v>0</v>
      </c>
      <c r="AS100" s="79">
        <v>0</v>
      </c>
      <c r="AT100" s="122">
        <v>0</v>
      </c>
      <c r="AU100" s="122" t="s">
        <v>80</v>
      </c>
      <c r="AW100" s="152"/>
      <c r="AX100" s="152"/>
      <c r="AY100" s="152"/>
    </row>
    <row r="101" spans="1:51" ht="15">
      <c r="A101" s="1" t="s">
        <v>98</v>
      </c>
      <c r="B101" s="5" t="s">
        <v>133</v>
      </c>
      <c r="C101" s="5" t="s">
        <v>133</v>
      </c>
      <c r="D101" s="5" t="s">
        <v>134</v>
      </c>
      <c r="E101" s="3" t="s">
        <v>49</v>
      </c>
      <c r="F101" s="3" t="s">
        <v>50</v>
      </c>
      <c r="G101" s="5" t="s">
        <v>416</v>
      </c>
      <c r="H101" s="6">
        <v>78224399</v>
      </c>
      <c r="I101" s="2" t="s">
        <v>95</v>
      </c>
      <c r="J101" s="2" t="s">
        <v>87</v>
      </c>
      <c r="K101" s="7"/>
      <c r="L101" s="7" t="s">
        <v>54</v>
      </c>
      <c r="M101" s="3" t="s">
        <v>73</v>
      </c>
      <c r="N101" s="3" t="s">
        <v>56</v>
      </c>
      <c r="O101" s="112"/>
      <c r="P101" s="112"/>
      <c r="Q101" s="112" t="s">
        <v>57</v>
      </c>
      <c r="R101" s="3" t="str">
        <f ca="1"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IPCA+6%</v>
      </c>
      <c r="S101" s="3" t="s">
        <v>59</v>
      </c>
      <c r="T101" s="3" t="s">
        <v>59</v>
      </c>
      <c r="U101" s="3" t="s">
        <v>58</v>
      </c>
      <c r="V101" s="130" t="s">
        <v>137</v>
      </c>
      <c r="W101" s="3" t="s">
        <v>58</v>
      </c>
      <c r="X101" s="3" t="s">
        <v>59</v>
      </c>
      <c r="Y101" s="3" t="s">
        <v>116</v>
      </c>
      <c r="Z101" s="114" t="s">
        <v>417</v>
      </c>
      <c r="AA101" s="77">
        <v>0</v>
      </c>
      <c r="AB101" s="77">
        <v>0</v>
      </c>
      <c r="AC101" s="77">
        <v>0</v>
      </c>
      <c r="AD101" s="77">
        <v>58207.61</v>
      </c>
      <c r="AE101" s="77">
        <v>59644.75</v>
      </c>
      <c r="AF101" s="77">
        <v>61397.65</v>
      </c>
      <c r="AG101" s="77">
        <v>97186.76</v>
      </c>
      <c r="AH101" s="77">
        <v>101481.95</v>
      </c>
      <c r="AI101" s="77">
        <v>105120.17</v>
      </c>
      <c r="AJ101" s="77">
        <v>104197.98</v>
      </c>
      <c r="AK101" s="77">
        <v>104785.28</v>
      </c>
      <c r="AL101" s="77">
        <v>139435.95000000001</v>
      </c>
      <c r="AM101" s="77">
        <v>180173.91</v>
      </c>
      <c r="AN101" s="77">
        <v>207290.55</v>
      </c>
      <c r="AO101" s="77">
        <v>196693.93</v>
      </c>
      <c r="AP101" s="77">
        <v>204947.09</v>
      </c>
      <c r="AQ101" s="80">
        <v>218513.25</v>
      </c>
      <c r="AR101" s="80">
        <v>238034.14</v>
      </c>
      <c r="AS101" s="80">
        <v>236392.44</v>
      </c>
      <c r="AT101" s="132">
        <v>238677.31</v>
      </c>
      <c r="AU101" s="132">
        <v>237522.96</v>
      </c>
      <c r="AW101" s="152"/>
      <c r="AX101" s="152"/>
      <c r="AY101" s="152"/>
    </row>
    <row r="102" spans="1:51">
      <c r="A102" s="1" t="s">
        <v>47</v>
      </c>
      <c r="B102" s="5" t="s">
        <v>69</v>
      </c>
      <c r="C102" s="5" t="s">
        <v>70</v>
      </c>
      <c r="D102" s="5" t="s">
        <v>69</v>
      </c>
      <c r="E102" s="3" t="s">
        <v>49</v>
      </c>
      <c r="F102" s="3" t="s">
        <v>50</v>
      </c>
      <c r="G102" s="5" t="s">
        <v>71</v>
      </c>
      <c r="H102" s="6">
        <v>18818976</v>
      </c>
      <c r="I102" s="2" t="s">
        <v>72</v>
      </c>
      <c r="J102" s="2" t="s">
        <v>53</v>
      </c>
      <c r="K102" s="7">
        <v>46122</v>
      </c>
      <c r="L102" s="7" t="s">
        <v>54</v>
      </c>
      <c r="M102" s="3" t="s">
        <v>73</v>
      </c>
      <c r="N102" s="3" t="s">
        <v>56</v>
      </c>
      <c r="O102" s="112">
        <v>46676</v>
      </c>
      <c r="P102" s="112">
        <v>47259</v>
      </c>
      <c r="Q102" s="112" t="s">
        <v>57</v>
      </c>
      <c r="R102" s="3" t="str">
        <f ca="1"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IPCA+6%</v>
      </c>
      <c r="S102" s="3" t="s">
        <v>59</v>
      </c>
      <c r="T102" s="3" t="s">
        <v>59</v>
      </c>
      <c r="U102" s="3" t="s">
        <v>58</v>
      </c>
      <c r="V102" s="130" t="s">
        <v>74</v>
      </c>
      <c r="W102" s="3" t="s">
        <v>59</v>
      </c>
      <c r="X102" s="3" t="s">
        <v>59</v>
      </c>
      <c r="Y102" s="3" t="s">
        <v>61</v>
      </c>
      <c r="Z102" s="114" t="s">
        <v>75</v>
      </c>
      <c r="AA102" s="78">
        <v>0</v>
      </c>
      <c r="AB102" s="78">
        <v>0</v>
      </c>
      <c r="AC102" s="78">
        <v>0</v>
      </c>
      <c r="AD102" s="78">
        <v>0</v>
      </c>
      <c r="AE102" s="78">
        <v>0</v>
      </c>
      <c r="AF102" s="78">
        <v>0</v>
      </c>
      <c r="AG102" s="78">
        <v>0</v>
      </c>
      <c r="AH102" s="78">
        <v>0</v>
      </c>
      <c r="AI102" s="78">
        <v>0</v>
      </c>
      <c r="AJ102" s="78">
        <v>0</v>
      </c>
      <c r="AK102" s="78">
        <v>0</v>
      </c>
      <c r="AL102" s="78">
        <v>52000</v>
      </c>
      <c r="AM102" s="78">
        <v>17202.71</v>
      </c>
      <c r="AN102" s="111">
        <v>1127622.6499999999</v>
      </c>
      <c r="AO102" s="78">
        <v>1069092.73</v>
      </c>
      <c r="AP102" s="78">
        <v>925821.74</v>
      </c>
      <c r="AQ102" s="78">
        <v>934441.37</v>
      </c>
      <c r="AR102" s="79">
        <v>934160.51</v>
      </c>
      <c r="AS102" s="79">
        <v>958544.5</v>
      </c>
      <c r="AT102" s="122">
        <v>968980.47999999998</v>
      </c>
      <c r="AU102" s="122">
        <v>976948.44</v>
      </c>
    </row>
    <row r="103" spans="1:51">
      <c r="A103" s="1" t="s">
        <v>47</v>
      </c>
      <c r="B103" s="5" t="s">
        <v>418</v>
      </c>
      <c r="C103" s="5" t="s">
        <v>418</v>
      </c>
      <c r="D103" s="5" t="s">
        <v>418</v>
      </c>
      <c r="E103" s="3" t="s">
        <v>49</v>
      </c>
      <c r="F103" s="3" t="s">
        <v>50</v>
      </c>
      <c r="G103" s="5" t="s">
        <v>419</v>
      </c>
      <c r="H103" s="6">
        <v>18850870</v>
      </c>
      <c r="I103" s="2" t="s">
        <v>86</v>
      </c>
      <c r="J103" s="2" t="s">
        <v>87</v>
      </c>
      <c r="K103" s="7">
        <v>45978</v>
      </c>
      <c r="L103" s="7" t="s">
        <v>54</v>
      </c>
      <c r="M103" s="3" t="s">
        <v>238</v>
      </c>
      <c r="N103" s="3" t="s">
        <v>66</v>
      </c>
      <c r="O103" s="112">
        <v>46740</v>
      </c>
      <c r="P103" s="112">
        <v>46701</v>
      </c>
      <c r="Q103" s="112" t="s">
        <v>67</v>
      </c>
      <c r="R103" s="3" t="str">
        <f ca="1"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IPCA+4%</v>
      </c>
      <c r="S103" s="3" t="s">
        <v>58</v>
      </c>
      <c r="T103" s="3" t="s">
        <v>58</v>
      </c>
      <c r="U103" s="3" t="s">
        <v>58</v>
      </c>
      <c r="V103" s="130" t="s">
        <v>420</v>
      </c>
      <c r="W103" s="3" t="s">
        <v>58</v>
      </c>
      <c r="X103" s="3" t="s">
        <v>58</v>
      </c>
      <c r="Y103" s="3"/>
      <c r="Z103" s="114" t="s">
        <v>421</v>
      </c>
      <c r="AA103" s="78">
        <v>0</v>
      </c>
      <c r="AB103" s="78">
        <v>0</v>
      </c>
      <c r="AC103" s="78">
        <v>0</v>
      </c>
      <c r="AD103" s="78">
        <v>0</v>
      </c>
      <c r="AE103" s="78">
        <v>0</v>
      </c>
      <c r="AF103" s="78">
        <v>0</v>
      </c>
      <c r="AG103" s="78">
        <v>0</v>
      </c>
      <c r="AH103" s="78">
        <v>0</v>
      </c>
      <c r="AI103" s="78">
        <v>0</v>
      </c>
      <c r="AJ103" s="78">
        <v>0</v>
      </c>
      <c r="AK103" s="78">
        <v>0</v>
      </c>
      <c r="AL103" s="78">
        <v>1925756.19</v>
      </c>
      <c r="AM103" s="78">
        <v>2791117.72</v>
      </c>
      <c r="AN103" s="111">
        <v>2803374.83</v>
      </c>
      <c r="AO103" s="78">
        <v>3129296.52</v>
      </c>
      <c r="AP103" s="78">
        <v>3102483.85</v>
      </c>
      <c r="AQ103" s="78">
        <v>3528336.8925510002</v>
      </c>
      <c r="AR103" s="79">
        <v>3556710.16</v>
      </c>
      <c r="AS103" s="79">
        <v>3454747</v>
      </c>
      <c r="AT103" s="122">
        <v>3346454.1009999998</v>
      </c>
      <c r="AU103" s="122">
        <v>3206590.95</v>
      </c>
    </row>
    <row r="104" spans="1:51" ht="15">
      <c r="A104" s="1" t="s">
        <v>98</v>
      </c>
      <c r="B104" s="5" t="s">
        <v>418</v>
      </c>
      <c r="C104" s="5" t="s">
        <v>418</v>
      </c>
      <c r="D104" s="5" t="s">
        <v>418</v>
      </c>
      <c r="E104" s="3" t="s">
        <v>49</v>
      </c>
      <c r="F104" s="3" t="s">
        <v>50</v>
      </c>
      <c r="G104" s="5" t="s">
        <v>422</v>
      </c>
      <c r="H104" s="6">
        <v>61160053</v>
      </c>
      <c r="I104" s="2" t="s">
        <v>86</v>
      </c>
      <c r="J104" s="2" t="s">
        <v>87</v>
      </c>
      <c r="K104" s="7"/>
      <c r="L104" s="7" t="s">
        <v>54</v>
      </c>
      <c r="M104" s="3" t="s">
        <v>238</v>
      </c>
      <c r="N104" s="3" t="s">
        <v>66</v>
      </c>
      <c r="O104" s="112"/>
      <c r="P104" s="112"/>
      <c r="Q104" s="112" t="s">
        <v>67</v>
      </c>
      <c r="R104" s="3" t="str">
        <f ca="1"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IPCA+4%</v>
      </c>
      <c r="S104" s="3" t="s">
        <v>58</v>
      </c>
      <c r="T104" s="3" t="s">
        <v>58</v>
      </c>
      <c r="U104" s="3" t="s">
        <v>58</v>
      </c>
      <c r="V104" s="130" t="s">
        <v>420</v>
      </c>
      <c r="W104" s="3" t="s">
        <v>58</v>
      </c>
      <c r="X104" s="3" t="s">
        <v>58</v>
      </c>
      <c r="Y104" s="3"/>
      <c r="Z104" s="114" t="s">
        <v>421</v>
      </c>
      <c r="AA104" s="77">
        <v>0</v>
      </c>
      <c r="AB104" s="77">
        <v>0</v>
      </c>
      <c r="AC104" s="77">
        <v>0</v>
      </c>
      <c r="AD104" s="77">
        <v>0</v>
      </c>
      <c r="AE104" s="77">
        <v>0</v>
      </c>
      <c r="AF104" s="77">
        <v>0</v>
      </c>
      <c r="AG104" s="77">
        <v>0</v>
      </c>
      <c r="AH104" s="77">
        <v>0</v>
      </c>
      <c r="AI104" s="77">
        <v>0</v>
      </c>
      <c r="AJ104" s="77">
        <v>0</v>
      </c>
      <c r="AK104" s="77">
        <v>0</v>
      </c>
      <c r="AL104" s="77">
        <v>0</v>
      </c>
      <c r="AM104" s="77">
        <v>0</v>
      </c>
      <c r="AN104" s="77" t="s">
        <v>176</v>
      </c>
      <c r="AO104" s="77">
        <v>0</v>
      </c>
      <c r="AP104" s="77">
        <v>0</v>
      </c>
      <c r="AQ104" s="80">
        <v>0</v>
      </c>
      <c r="AR104" s="80">
        <v>0</v>
      </c>
      <c r="AS104" s="80">
        <v>0</v>
      </c>
      <c r="AT104" s="132">
        <v>0</v>
      </c>
      <c r="AU104" s="132">
        <v>0</v>
      </c>
      <c r="AW104" s="152"/>
      <c r="AX104" s="152"/>
      <c r="AY104" s="152"/>
    </row>
    <row r="105" spans="1:51">
      <c r="A105" s="1" t="s">
        <v>47</v>
      </c>
      <c r="B105" s="5" t="s">
        <v>423</v>
      </c>
      <c r="C105" s="5" t="s">
        <v>247</v>
      </c>
      <c r="D105" s="5" t="s">
        <v>423</v>
      </c>
      <c r="E105" s="3" t="s">
        <v>49</v>
      </c>
      <c r="F105" s="3" t="s">
        <v>50</v>
      </c>
      <c r="G105" s="5" t="s">
        <v>424</v>
      </c>
      <c r="H105" s="6">
        <v>19003827</v>
      </c>
      <c r="I105" s="2" t="s">
        <v>65</v>
      </c>
      <c r="J105" s="2" t="s">
        <v>53</v>
      </c>
      <c r="K105" s="7">
        <v>46141</v>
      </c>
      <c r="L105" s="7" t="s">
        <v>54</v>
      </c>
      <c r="M105" s="3" t="s">
        <v>114</v>
      </c>
      <c r="N105" s="3" t="s">
        <v>66</v>
      </c>
      <c r="O105" s="112">
        <v>47117</v>
      </c>
      <c r="P105" s="112">
        <v>47113</v>
      </c>
      <c r="Q105" s="112" t="s">
        <v>67</v>
      </c>
      <c r="R105" s="3" t="str">
        <f ca="1"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IPCA+5%</v>
      </c>
      <c r="S105" s="3" t="s">
        <v>58</v>
      </c>
      <c r="T105" s="3" t="s">
        <v>59</v>
      </c>
      <c r="U105" s="3" t="s">
        <v>58</v>
      </c>
      <c r="V105" s="130" t="s">
        <v>425</v>
      </c>
      <c r="W105" s="3" t="s">
        <v>58</v>
      </c>
      <c r="X105" s="3" t="s">
        <v>58</v>
      </c>
      <c r="Y105" s="3"/>
      <c r="Z105" s="114" t="s">
        <v>426</v>
      </c>
      <c r="AA105" s="78">
        <v>0</v>
      </c>
      <c r="AB105" s="78">
        <v>0</v>
      </c>
      <c r="AC105" s="78">
        <v>0</v>
      </c>
      <c r="AD105" s="78">
        <v>0</v>
      </c>
      <c r="AE105" s="78">
        <v>0</v>
      </c>
      <c r="AF105" s="78">
        <v>0</v>
      </c>
      <c r="AG105" s="78">
        <v>0</v>
      </c>
      <c r="AH105" s="78">
        <v>0</v>
      </c>
      <c r="AI105" s="78">
        <v>0</v>
      </c>
      <c r="AJ105" s="78">
        <v>0</v>
      </c>
      <c r="AK105" s="78">
        <v>0</v>
      </c>
      <c r="AL105" s="78">
        <v>5000</v>
      </c>
      <c r="AM105" s="78">
        <v>5080.08</v>
      </c>
      <c r="AN105" s="111">
        <v>6636.99</v>
      </c>
      <c r="AO105" s="78">
        <v>6593.65</v>
      </c>
      <c r="AP105" s="78">
        <v>18670.62</v>
      </c>
      <c r="AQ105" s="78">
        <v>101461.27587300001</v>
      </c>
      <c r="AR105" s="79">
        <v>101510.16</v>
      </c>
      <c r="AS105" s="79">
        <v>52015.040000000001</v>
      </c>
      <c r="AT105" s="122">
        <v>51788.231630000002</v>
      </c>
      <c r="AU105" s="122">
        <v>20665.43</v>
      </c>
    </row>
    <row r="106" spans="1:51">
      <c r="A106" s="1" t="s">
        <v>98</v>
      </c>
      <c r="B106" s="5" t="s">
        <v>427</v>
      </c>
      <c r="C106" s="5" t="s">
        <v>427</v>
      </c>
      <c r="D106" s="5" t="s">
        <v>428</v>
      </c>
      <c r="E106" s="3" t="s">
        <v>102</v>
      </c>
      <c r="F106" s="3" t="s">
        <v>50</v>
      </c>
      <c r="G106" s="5" t="s">
        <v>429</v>
      </c>
      <c r="H106" s="6">
        <v>58792416</v>
      </c>
      <c r="I106" s="2" t="s">
        <v>120</v>
      </c>
      <c r="J106" s="2" t="s">
        <v>53</v>
      </c>
      <c r="K106" s="7"/>
      <c r="L106" s="7" t="s">
        <v>54</v>
      </c>
      <c r="M106" s="3" t="s">
        <v>238</v>
      </c>
      <c r="N106" s="3"/>
      <c r="O106" s="112"/>
      <c r="P106" s="112"/>
      <c r="Q106" s="112" t="s">
        <v>128</v>
      </c>
      <c r="R106" s="3" t="str">
        <f ca="1"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IPCA+4%</v>
      </c>
      <c r="S106" s="3" t="s">
        <v>58</v>
      </c>
      <c r="T106" s="3" t="s">
        <v>58</v>
      </c>
      <c r="U106" s="3" t="s">
        <v>58</v>
      </c>
      <c r="V106" s="130" t="s">
        <v>430</v>
      </c>
      <c r="W106" s="3" t="s">
        <v>58</v>
      </c>
      <c r="X106" s="3" t="s">
        <v>58</v>
      </c>
      <c r="Y106" s="3" t="s">
        <v>107</v>
      </c>
      <c r="Z106" s="114" t="s">
        <v>431</v>
      </c>
      <c r="AA106" s="77">
        <v>0</v>
      </c>
      <c r="AB106" s="77">
        <v>0</v>
      </c>
      <c r="AC106" s="77">
        <v>0</v>
      </c>
      <c r="AD106" s="77">
        <v>0</v>
      </c>
      <c r="AE106" s="77">
        <v>0</v>
      </c>
      <c r="AF106" s="77">
        <v>0</v>
      </c>
      <c r="AG106" s="77">
        <v>0</v>
      </c>
      <c r="AH106" s="77">
        <v>0</v>
      </c>
      <c r="AI106" s="77">
        <v>0</v>
      </c>
      <c r="AJ106" s="77">
        <v>1000</v>
      </c>
      <c r="AK106" s="77">
        <v>73253.67</v>
      </c>
      <c r="AL106" s="77">
        <v>71922.33</v>
      </c>
      <c r="AM106" s="77">
        <v>72107.53</v>
      </c>
      <c r="AN106" s="77">
        <v>74662.740000000005</v>
      </c>
      <c r="AO106" s="77">
        <v>71167.58</v>
      </c>
      <c r="AP106" s="77">
        <v>71571.33</v>
      </c>
      <c r="AQ106" s="80">
        <v>91555.9</v>
      </c>
      <c r="AR106" s="80">
        <v>92293.97</v>
      </c>
      <c r="AS106" s="80">
        <v>88885.27</v>
      </c>
      <c r="AT106" s="132">
        <v>90170.34</v>
      </c>
      <c r="AU106" s="132">
        <v>85860.7</v>
      </c>
    </row>
    <row r="107" spans="1:51" ht="15">
      <c r="A107" s="1" t="s">
        <v>98</v>
      </c>
      <c r="B107" s="5" t="s">
        <v>69</v>
      </c>
      <c r="C107" s="5" t="s">
        <v>70</v>
      </c>
      <c r="D107" s="5" t="s">
        <v>326</v>
      </c>
      <c r="E107" s="3" t="s">
        <v>102</v>
      </c>
      <c r="F107" s="3" t="s">
        <v>50</v>
      </c>
      <c r="G107" s="5" t="s">
        <v>432</v>
      </c>
      <c r="H107" s="6">
        <v>71802417</v>
      </c>
      <c r="I107" s="2" t="s">
        <v>72</v>
      </c>
      <c r="J107" s="2" t="s">
        <v>53</v>
      </c>
      <c r="K107" s="7"/>
      <c r="L107" s="7" t="s">
        <v>54</v>
      </c>
      <c r="M107" s="3" t="s">
        <v>73</v>
      </c>
      <c r="N107" s="3" t="s">
        <v>56</v>
      </c>
      <c r="O107" s="112"/>
      <c r="P107" s="112"/>
      <c r="Q107" s="112" t="s">
        <v>57</v>
      </c>
      <c r="R107" s="3" t="str">
        <f ca="1"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IPCA+6%</v>
      </c>
      <c r="S107" s="3" t="s">
        <v>59</v>
      </c>
      <c r="T107" s="3" t="s">
        <v>59</v>
      </c>
      <c r="U107" s="3" t="s">
        <v>58</v>
      </c>
      <c r="V107" s="130" t="s">
        <v>74</v>
      </c>
      <c r="W107" s="3" t="s">
        <v>59</v>
      </c>
      <c r="X107" s="3" t="s">
        <v>59</v>
      </c>
      <c r="Y107" s="3" t="s">
        <v>61</v>
      </c>
      <c r="Z107" s="114" t="s">
        <v>433</v>
      </c>
      <c r="AA107" s="77">
        <v>415716.24</v>
      </c>
      <c r="AB107" s="77">
        <v>424791.8</v>
      </c>
      <c r="AC107" s="77">
        <v>419333.73</v>
      </c>
      <c r="AD107" s="77">
        <v>410085.91</v>
      </c>
      <c r="AE107" s="77">
        <v>416753.75</v>
      </c>
      <c r="AF107" s="77">
        <v>428375.2</v>
      </c>
      <c r="AG107" s="77">
        <v>431573.2</v>
      </c>
      <c r="AH107" s="77">
        <v>450045.53</v>
      </c>
      <c r="AI107" s="77">
        <v>459523.84000000003</v>
      </c>
      <c r="AJ107" s="77">
        <v>460389.32</v>
      </c>
      <c r="AK107" s="77">
        <v>469439.06</v>
      </c>
      <c r="AL107" s="77">
        <v>465950.12</v>
      </c>
      <c r="AM107" s="77">
        <v>482647.67</v>
      </c>
      <c r="AN107" s="77">
        <v>490426.65</v>
      </c>
      <c r="AO107" s="77">
        <v>466937.82</v>
      </c>
      <c r="AP107" s="77">
        <v>486760.85</v>
      </c>
      <c r="AQ107" s="80">
        <v>491210.53</v>
      </c>
      <c r="AR107" s="80">
        <v>491804.06</v>
      </c>
      <c r="AS107" s="80">
        <v>493036.27</v>
      </c>
      <c r="AT107" s="132">
        <v>496345.66</v>
      </c>
      <c r="AU107" s="132">
        <v>482724.42</v>
      </c>
      <c r="AW107" s="152"/>
      <c r="AX107" s="152"/>
      <c r="AY107" s="152"/>
    </row>
    <row r="108" spans="1:51" ht="15">
      <c r="A108" s="1" t="s">
        <v>98</v>
      </c>
      <c r="B108" s="5" t="s">
        <v>69</v>
      </c>
      <c r="C108" s="5" t="s">
        <v>70</v>
      </c>
      <c r="D108" s="5" t="s">
        <v>69</v>
      </c>
      <c r="E108" s="3" t="s">
        <v>49</v>
      </c>
      <c r="F108" s="3" t="s">
        <v>50</v>
      </c>
      <c r="G108" s="5" t="s">
        <v>434</v>
      </c>
      <c r="H108" s="6">
        <v>20082148</v>
      </c>
      <c r="I108" s="2" t="s">
        <v>72</v>
      </c>
      <c r="J108" s="2" t="s">
        <v>53</v>
      </c>
      <c r="K108" s="7"/>
      <c r="L108" s="7" t="s">
        <v>54</v>
      </c>
      <c r="M108" s="3" t="s">
        <v>73</v>
      </c>
      <c r="N108" s="3" t="s">
        <v>56</v>
      </c>
      <c r="O108" s="112"/>
      <c r="P108" s="112"/>
      <c r="Q108" s="112" t="s">
        <v>57</v>
      </c>
      <c r="R108" s="3" t="str">
        <f ca="1"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IPCA+6%</v>
      </c>
      <c r="S108" s="3" t="s">
        <v>59</v>
      </c>
      <c r="T108" s="3" t="s">
        <v>59</v>
      </c>
      <c r="U108" s="3" t="s">
        <v>58</v>
      </c>
      <c r="V108" s="130" t="s">
        <v>435</v>
      </c>
      <c r="W108" s="3" t="s">
        <v>59</v>
      </c>
      <c r="X108" s="3" t="s">
        <v>59</v>
      </c>
      <c r="Y108" s="3" t="s">
        <v>61</v>
      </c>
      <c r="Z108" s="114" t="s">
        <v>433</v>
      </c>
      <c r="AA108" s="77">
        <v>131.28</v>
      </c>
      <c r="AB108" s="77">
        <v>131.28</v>
      </c>
      <c r="AC108" s="77">
        <v>131.28</v>
      </c>
      <c r="AD108" s="77">
        <v>131.28</v>
      </c>
      <c r="AE108" s="77">
        <v>131.28</v>
      </c>
      <c r="AF108" s="77">
        <v>131.28</v>
      </c>
      <c r="AG108" s="77">
        <v>131.28</v>
      </c>
      <c r="AH108" s="77">
        <v>131.28</v>
      </c>
      <c r="AI108" s="77">
        <v>131.28</v>
      </c>
      <c r="AJ108" s="77">
        <v>131.28</v>
      </c>
      <c r="AK108" s="77">
        <v>131.28</v>
      </c>
      <c r="AL108" s="77">
        <v>131.28</v>
      </c>
      <c r="AM108" s="77">
        <v>131.28</v>
      </c>
      <c r="AN108" s="77">
        <v>131.28</v>
      </c>
      <c r="AO108" s="77">
        <v>131.28</v>
      </c>
      <c r="AP108" s="77">
        <v>131.28</v>
      </c>
      <c r="AQ108" s="80">
        <v>131.28</v>
      </c>
      <c r="AR108" s="80">
        <v>131.28</v>
      </c>
      <c r="AS108" s="80">
        <v>131.28</v>
      </c>
      <c r="AT108" s="132">
        <v>131.28</v>
      </c>
      <c r="AU108" s="132">
        <v>131.28</v>
      </c>
      <c r="AW108" s="152"/>
      <c r="AX108" s="152"/>
      <c r="AY108" s="152"/>
    </row>
    <row r="109" spans="1:51">
      <c r="A109" s="1" t="s">
        <v>47</v>
      </c>
      <c r="B109" s="5" t="s">
        <v>436</v>
      </c>
      <c r="C109" s="5" t="s">
        <v>254</v>
      </c>
      <c r="D109" s="5" t="s">
        <v>436</v>
      </c>
      <c r="E109" s="3" t="s">
        <v>49</v>
      </c>
      <c r="F109" s="3" t="s">
        <v>50</v>
      </c>
      <c r="G109" s="5" t="s">
        <v>437</v>
      </c>
      <c r="H109" s="6">
        <v>19082129</v>
      </c>
      <c r="I109" s="2" t="s">
        <v>157</v>
      </c>
      <c r="J109" s="2" t="s">
        <v>87</v>
      </c>
      <c r="K109" s="7">
        <v>46036</v>
      </c>
      <c r="L109" s="7" t="s">
        <v>54</v>
      </c>
      <c r="M109" s="3" t="s">
        <v>265</v>
      </c>
      <c r="N109" s="3" t="s">
        <v>56</v>
      </c>
      <c r="O109" s="112">
        <v>47133</v>
      </c>
      <c r="P109" s="112">
        <v>47129</v>
      </c>
      <c r="Q109" s="112" t="s">
        <v>57</v>
      </c>
      <c r="R109" s="3" t="str">
        <f ca="1"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58</v>
      </c>
      <c r="T109" s="3" t="s">
        <v>58</v>
      </c>
      <c r="U109" s="3" t="s">
        <v>58</v>
      </c>
      <c r="V109" s="130" t="s">
        <v>438</v>
      </c>
      <c r="W109" s="3" t="s">
        <v>58</v>
      </c>
      <c r="X109" s="3" t="s">
        <v>58</v>
      </c>
      <c r="Y109" s="3" t="s">
        <v>107</v>
      </c>
      <c r="Z109" s="114" t="s">
        <v>439</v>
      </c>
      <c r="AA109" s="78">
        <v>0</v>
      </c>
      <c r="AB109" s="78">
        <v>0</v>
      </c>
      <c r="AC109" s="78">
        <v>0</v>
      </c>
      <c r="AD109" s="78">
        <v>0</v>
      </c>
      <c r="AE109" s="78">
        <v>0</v>
      </c>
      <c r="AF109" s="78">
        <v>0</v>
      </c>
      <c r="AG109" s="78">
        <v>0</v>
      </c>
      <c r="AH109" s="78">
        <v>0</v>
      </c>
      <c r="AI109" s="78">
        <v>0</v>
      </c>
      <c r="AJ109" s="78">
        <v>0</v>
      </c>
      <c r="AK109" s="78">
        <v>0</v>
      </c>
      <c r="AL109" s="78">
        <v>0</v>
      </c>
      <c r="AM109" s="78">
        <v>0</v>
      </c>
      <c r="AN109" s="111" t="s">
        <v>313</v>
      </c>
      <c r="AO109" s="78">
        <v>0</v>
      </c>
      <c r="AP109" s="78">
        <v>0</v>
      </c>
      <c r="AQ109" s="78">
        <v>0</v>
      </c>
      <c r="AR109" s="79">
        <v>0</v>
      </c>
      <c r="AS109" s="79">
        <v>0</v>
      </c>
      <c r="AT109" s="122">
        <v>0</v>
      </c>
      <c r="AU109" s="122" t="s">
        <v>80</v>
      </c>
    </row>
    <row r="110" spans="1:51">
      <c r="A110" s="1" t="s">
        <v>47</v>
      </c>
      <c r="B110" s="5" t="s">
        <v>274</v>
      </c>
      <c r="C110" s="5" t="s">
        <v>274</v>
      </c>
      <c r="D110" s="5" t="s">
        <v>274</v>
      </c>
      <c r="E110" s="3" t="s">
        <v>49</v>
      </c>
      <c r="F110" s="3" t="s">
        <v>50</v>
      </c>
      <c r="G110" s="5" t="s">
        <v>440</v>
      </c>
      <c r="H110" s="6">
        <v>19251578</v>
      </c>
      <c r="I110" s="2" t="s">
        <v>95</v>
      </c>
      <c r="J110" s="2" t="s">
        <v>53</v>
      </c>
      <c r="K110" s="7">
        <v>46100</v>
      </c>
      <c r="L110" s="7" t="s">
        <v>54</v>
      </c>
      <c r="M110" s="3" t="s">
        <v>238</v>
      </c>
      <c r="N110" s="3" t="s">
        <v>66</v>
      </c>
      <c r="O110" s="112">
        <v>47196</v>
      </c>
      <c r="P110" s="112">
        <v>47208</v>
      </c>
      <c r="Q110" s="112" t="s">
        <v>67</v>
      </c>
      <c r="R110" s="3" t="str">
        <f ca="1"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IPCA+4%</v>
      </c>
      <c r="S110" s="3" t="s">
        <v>59</v>
      </c>
      <c r="T110" s="3" t="s">
        <v>58</v>
      </c>
      <c r="U110" s="3" t="s">
        <v>58</v>
      </c>
      <c r="V110" s="130"/>
      <c r="W110" s="3" t="s">
        <v>58</v>
      </c>
      <c r="X110" s="3" t="s">
        <v>58</v>
      </c>
      <c r="Y110" s="3" t="s">
        <v>107</v>
      </c>
      <c r="Z110" s="114" t="s">
        <v>441</v>
      </c>
      <c r="AA110" s="78">
        <v>0</v>
      </c>
      <c r="AB110" s="78">
        <v>0</v>
      </c>
      <c r="AC110" s="78">
        <v>0</v>
      </c>
      <c r="AD110" s="78">
        <v>0</v>
      </c>
      <c r="AE110" s="78">
        <v>0</v>
      </c>
      <c r="AF110" s="78">
        <v>0</v>
      </c>
      <c r="AG110" s="78">
        <v>0</v>
      </c>
      <c r="AH110" s="78">
        <v>0</v>
      </c>
      <c r="AI110" s="78">
        <v>0</v>
      </c>
      <c r="AJ110" s="78">
        <v>0</v>
      </c>
      <c r="AK110" s="78">
        <v>0</v>
      </c>
      <c r="AL110" s="78">
        <v>0</v>
      </c>
      <c r="AM110" s="78">
        <v>0</v>
      </c>
      <c r="AN110" s="111" t="s">
        <v>313</v>
      </c>
      <c r="AO110" s="78">
        <v>2390000</v>
      </c>
      <c r="AP110" s="78">
        <v>1629018.59</v>
      </c>
      <c r="AQ110" s="78">
        <v>1979450.1688939999</v>
      </c>
      <c r="AR110" s="79">
        <v>1997643.41</v>
      </c>
      <c r="AS110" s="79">
        <v>1926130</v>
      </c>
      <c r="AT110" s="122">
        <v>1847701.4240000001</v>
      </c>
      <c r="AU110" s="122">
        <v>1699145.2</v>
      </c>
    </row>
    <row r="111" spans="1:51" ht="15">
      <c r="A111" s="1" t="s">
        <v>47</v>
      </c>
      <c r="B111" s="5" t="s">
        <v>274</v>
      </c>
      <c r="C111" s="5" t="s">
        <v>274</v>
      </c>
      <c r="D111" s="5" t="s">
        <v>442</v>
      </c>
      <c r="E111" s="3" t="s">
        <v>102</v>
      </c>
      <c r="F111" s="3" t="s">
        <v>50</v>
      </c>
      <c r="G111" s="5" t="s">
        <v>443</v>
      </c>
      <c r="H111" s="6">
        <v>19301650</v>
      </c>
      <c r="I111" s="2" t="s">
        <v>95</v>
      </c>
      <c r="J111" s="2" t="s">
        <v>53</v>
      </c>
      <c r="K111" s="7">
        <v>46100</v>
      </c>
      <c r="L111" s="7" t="s">
        <v>54</v>
      </c>
      <c r="M111" s="3" t="s">
        <v>238</v>
      </c>
      <c r="N111" s="3" t="s">
        <v>66</v>
      </c>
      <c r="O111" s="112">
        <v>46832</v>
      </c>
      <c r="P111" s="112">
        <v>46815</v>
      </c>
      <c r="Q111" s="112" t="s">
        <v>67</v>
      </c>
      <c r="R111" s="3" t="str">
        <f ca="1"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58</v>
      </c>
      <c r="T111" s="3"/>
      <c r="U111" s="3"/>
      <c r="V111" s="130"/>
      <c r="W111" s="3"/>
      <c r="X111" s="3"/>
      <c r="Y111" s="3"/>
      <c r="Z111" s="114" t="s">
        <v>444</v>
      </c>
      <c r="AA111" s="78">
        <v>0</v>
      </c>
      <c r="AB111" s="78">
        <v>0</v>
      </c>
      <c r="AC111" s="78">
        <v>0</v>
      </c>
      <c r="AD111" s="78">
        <v>0</v>
      </c>
      <c r="AE111" s="78">
        <v>0</v>
      </c>
      <c r="AF111" s="78">
        <v>0</v>
      </c>
      <c r="AG111" s="78">
        <v>0</v>
      </c>
      <c r="AH111" s="78">
        <v>0</v>
      </c>
      <c r="AI111" s="78">
        <v>0</v>
      </c>
      <c r="AJ111" s="78">
        <v>0</v>
      </c>
      <c r="AK111" s="78">
        <v>0</v>
      </c>
      <c r="AL111" s="78">
        <v>0</v>
      </c>
      <c r="AM111" s="78">
        <v>0</v>
      </c>
      <c r="AN111" s="111" t="s">
        <v>313</v>
      </c>
      <c r="AO111" s="78">
        <v>0</v>
      </c>
      <c r="AP111" s="78">
        <v>0</v>
      </c>
      <c r="AQ111" s="78">
        <v>0</v>
      </c>
      <c r="AR111" s="79">
        <v>0</v>
      </c>
      <c r="AS111" s="79">
        <v>0</v>
      </c>
      <c r="AT111" s="122">
        <v>0</v>
      </c>
      <c r="AU111" s="122" t="s">
        <v>80</v>
      </c>
      <c r="AW111" s="152"/>
      <c r="AX111" s="152"/>
      <c r="AY111" s="152"/>
    </row>
    <row r="112" spans="1:51">
      <c r="A112" s="1" t="s">
        <v>98</v>
      </c>
      <c r="B112" s="5" t="s">
        <v>112</v>
      </c>
      <c r="C112" s="5" t="s">
        <v>112</v>
      </c>
      <c r="D112" s="5" t="s">
        <v>445</v>
      </c>
      <c r="E112" s="3" t="s">
        <v>49</v>
      </c>
      <c r="F112" s="3" t="s">
        <v>50</v>
      </c>
      <c r="G112" s="5" t="s">
        <v>446</v>
      </c>
      <c r="H112" s="6">
        <v>95396715</v>
      </c>
      <c r="I112" s="2" t="s">
        <v>86</v>
      </c>
      <c r="J112" s="2" t="s">
        <v>53</v>
      </c>
      <c r="K112" s="7"/>
      <c r="L112" s="7" t="s">
        <v>54</v>
      </c>
      <c r="M112" s="3" t="s">
        <v>114</v>
      </c>
      <c r="N112" s="3" t="s">
        <v>66</v>
      </c>
      <c r="O112" s="112"/>
      <c r="P112" s="112"/>
      <c r="Q112" s="112" t="s">
        <v>57</v>
      </c>
      <c r="R112" s="3" t="str">
        <f ca="1"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IPCA+5%</v>
      </c>
      <c r="S112" s="3" t="s">
        <v>59</v>
      </c>
      <c r="T112" s="3" t="s">
        <v>59</v>
      </c>
      <c r="U112" s="3" t="s">
        <v>58</v>
      </c>
      <c r="V112" s="130" t="s">
        <v>115</v>
      </c>
      <c r="W112" s="3" t="s">
        <v>59</v>
      </c>
      <c r="X112" s="3" t="s">
        <v>59</v>
      </c>
      <c r="Y112" s="3" t="s">
        <v>116</v>
      </c>
      <c r="Z112" s="114" t="s">
        <v>447</v>
      </c>
      <c r="AA112" s="77">
        <v>341821.97</v>
      </c>
      <c r="AB112" s="77">
        <v>346445.43</v>
      </c>
      <c r="AC112" s="77">
        <v>345237.37</v>
      </c>
      <c r="AD112" s="77">
        <v>76436.320000000007</v>
      </c>
      <c r="AE112" s="77">
        <v>0</v>
      </c>
      <c r="AF112" s="77">
        <v>0</v>
      </c>
      <c r="AG112" s="77">
        <v>103320</v>
      </c>
      <c r="AH112" s="77">
        <v>103885.4</v>
      </c>
      <c r="AI112" s="77">
        <v>104218.93</v>
      </c>
      <c r="AJ112" s="77">
        <v>104462.12</v>
      </c>
      <c r="AK112" s="77">
        <v>104718.76</v>
      </c>
      <c r="AL112" s="77">
        <v>104979.65</v>
      </c>
      <c r="AM112" s="77">
        <v>105167.2</v>
      </c>
      <c r="AN112" s="77">
        <v>105371.28</v>
      </c>
      <c r="AO112" s="77">
        <v>105582.67</v>
      </c>
      <c r="AP112" s="77">
        <v>105740.39</v>
      </c>
      <c r="AQ112" s="80">
        <v>105593.18</v>
      </c>
      <c r="AR112" s="80">
        <v>81370.67</v>
      </c>
      <c r="AS112" s="80">
        <v>80997.83</v>
      </c>
      <c r="AT112" s="132">
        <v>80944.149999999994</v>
      </c>
      <c r="AU112" s="132">
        <v>79892.06</v>
      </c>
    </row>
    <row r="113" spans="1:51" ht="15">
      <c r="A113" s="1" t="s">
        <v>47</v>
      </c>
      <c r="B113" s="5" t="s">
        <v>448</v>
      </c>
      <c r="C113" s="5" t="s">
        <v>202</v>
      </c>
      <c r="D113" s="5" t="s">
        <v>448</v>
      </c>
      <c r="E113" s="3" t="s">
        <v>49</v>
      </c>
      <c r="F113" s="3" t="s">
        <v>50</v>
      </c>
      <c r="G113" s="5" t="s">
        <v>449</v>
      </c>
      <c r="H113" s="6">
        <v>19515384</v>
      </c>
      <c r="I113" s="2" t="s">
        <v>204</v>
      </c>
      <c r="J113" s="2" t="s">
        <v>53</v>
      </c>
      <c r="K113" s="7">
        <v>46141</v>
      </c>
      <c r="L113" s="7" t="s">
        <v>54</v>
      </c>
      <c r="M113" s="3" t="s">
        <v>105</v>
      </c>
      <c r="N113" s="3" t="s">
        <v>66</v>
      </c>
      <c r="O113" s="112">
        <v>47253</v>
      </c>
      <c r="P113" s="112">
        <v>47251</v>
      </c>
      <c r="Q113" s="112" t="s">
        <v>57</v>
      </c>
      <c r="R113" s="3" t="str">
        <f ca="1"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IPCA+4%</v>
      </c>
      <c r="S113" s="3" t="s">
        <v>58</v>
      </c>
      <c r="T113" s="3" t="s">
        <v>59</v>
      </c>
      <c r="U113" s="3" t="s">
        <v>58</v>
      </c>
      <c r="V113" s="130" t="s">
        <v>450</v>
      </c>
      <c r="W113" s="3" t="s">
        <v>58</v>
      </c>
      <c r="X113" s="3" t="s">
        <v>58</v>
      </c>
      <c r="Y113" s="3"/>
      <c r="Z113" s="114" t="s">
        <v>205</v>
      </c>
      <c r="AA113" s="78">
        <v>0</v>
      </c>
      <c r="AB113" s="78">
        <v>0</v>
      </c>
      <c r="AC113" s="78">
        <v>0</v>
      </c>
      <c r="AD113" s="78">
        <v>0</v>
      </c>
      <c r="AE113" s="78">
        <v>0</v>
      </c>
      <c r="AF113" s="78">
        <v>0</v>
      </c>
      <c r="AG113" s="78">
        <v>0</v>
      </c>
      <c r="AH113" s="78">
        <v>0</v>
      </c>
      <c r="AI113" s="78">
        <v>0</v>
      </c>
      <c r="AJ113" s="78">
        <v>0</v>
      </c>
      <c r="AK113" s="78">
        <v>0</v>
      </c>
      <c r="AL113" s="78">
        <v>0</v>
      </c>
      <c r="AM113" s="78">
        <v>0</v>
      </c>
      <c r="AN113" s="111" t="s">
        <v>313</v>
      </c>
      <c r="AO113" s="78">
        <v>0</v>
      </c>
      <c r="AP113" s="78">
        <v>0</v>
      </c>
      <c r="AQ113" s="78">
        <v>0</v>
      </c>
      <c r="AR113" s="79">
        <v>0</v>
      </c>
      <c r="AS113" s="79">
        <v>0</v>
      </c>
      <c r="AT113" s="122">
        <v>0</v>
      </c>
      <c r="AU113" s="122" t="s">
        <v>80</v>
      </c>
      <c r="AW113" s="152"/>
      <c r="AX113" s="152"/>
      <c r="AY113" s="152"/>
    </row>
    <row r="114" spans="1:51" ht="15.75">
      <c r="A114" s="1" t="s">
        <v>98</v>
      </c>
      <c r="B114" s="5" t="s">
        <v>148</v>
      </c>
      <c r="C114" s="5" t="s">
        <v>148</v>
      </c>
      <c r="D114" s="5" t="s">
        <v>451</v>
      </c>
      <c r="E114" s="3" t="s">
        <v>49</v>
      </c>
      <c r="F114" s="3" t="s">
        <v>50</v>
      </c>
      <c r="G114" s="5" t="s">
        <v>452</v>
      </c>
      <c r="H114" s="6">
        <v>35318483</v>
      </c>
      <c r="I114" s="2" t="s">
        <v>120</v>
      </c>
      <c r="J114" s="2" t="s">
        <v>53</v>
      </c>
      <c r="K114" s="7"/>
      <c r="L114" s="7" t="s">
        <v>54</v>
      </c>
      <c r="M114" s="3" t="s">
        <v>150</v>
      </c>
      <c r="N114" s="3" t="s">
        <v>56</v>
      </c>
      <c r="O114" s="112"/>
      <c r="P114" s="112"/>
      <c r="Q114" s="112" t="s">
        <v>151</v>
      </c>
      <c r="R114" s="3" t="str">
        <f ca="1"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IPCA+6%</v>
      </c>
      <c r="S114" s="3" t="s">
        <v>59</v>
      </c>
      <c r="T114" s="3" t="s">
        <v>58</v>
      </c>
      <c r="U114" s="3" t="s">
        <v>58</v>
      </c>
      <c r="V114" s="157" t="s">
        <v>152</v>
      </c>
      <c r="W114" s="3" t="s">
        <v>58</v>
      </c>
      <c r="X114" s="3" t="s">
        <v>58</v>
      </c>
      <c r="Y114" s="3" t="s">
        <v>61</v>
      </c>
      <c r="Z114" s="114" t="s">
        <v>453</v>
      </c>
      <c r="AA114" s="77">
        <v>816751.63</v>
      </c>
      <c r="AB114" s="77">
        <v>768324.85</v>
      </c>
      <c r="AC114" s="77">
        <v>764430</v>
      </c>
      <c r="AD114" s="77">
        <v>759599.85</v>
      </c>
      <c r="AE114" s="77">
        <v>824388.85</v>
      </c>
      <c r="AF114" s="77">
        <v>831525.8</v>
      </c>
      <c r="AG114" s="77">
        <v>868171.95</v>
      </c>
      <c r="AH114" s="77">
        <v>897831.57</v>
      </c>
      <c r="AI114" s="77">
        <v>1107977.06</v>
      </c>
      <c r="AJ114" s="77">
        <v>1314962.98</v>
      </c>
      <c r="AK114" s="77">
        <v>1052080.3</v>
      </c>
      <c r="AL114" s="77">
        <v>1034523.64</v>
      </c>
      <c r="AM114" s="77">
        <v>985151.06</v>
      </c>
      <c r="AN114" s="77">
        <v>971622.71</v>
      </c>
      <c r="AO114" s="77">
        <v>870288.19</v>
      </c>
      <c r="AP114" s="77">
        <v>974140.71</v>
      </c>
      <c r="AQ114" s="80">
        <v>1141620.45</v>
      </c>
      <c r="AR114" s="80">
        <v>1016977.93</v>
      </c>
      <c r="AS114" s="80">
        <v>924823.83</v>
      </c>
      <c r="AT114" s="132">
        <v>932823.28</v>
      </c>
      <c r="AU114" s="132">
        <v>908098.22</v>
      </c>
    </row>
    <row r="115" spans="1:51">
      <c r="A115" s="1" t="s">
        <v>47</v>
      </c>
      <c r="B115" s="5" t="s">
        <v>112</v>
      </c>
      <c r="C115" s="5" t="s">
        <v>112</v>
      </c>
      <c r="D115" s="5" t="s">
        <v>454</v>
      </c>
      <c r="E115" s="3" t="s">
        <v>102</v>
      </c>
      <c r="F115" s="3" t="s">
        <v>50</v>
      </c>
      <c r="G115" s="5" t="s">
        <v>455</v>
      </c>
      <c r="H115" s="6">
        <v>19597273</v>
      </c>
      <c r="I115" s="2" t="s">
        <v>86</v>
      </c>
      <c r="J115" s="82" t="s">
        <v>53</v>
      </c>
      <c r="K115" s="7">
        <v>46163</v>
      </c>
      <c r="L115" s="7" t="s">
        <v>54</v>
      </c>
      <c r="M115" s="3"/>
      <c r="N115" s="117" t="s">
        <v>66</v>
      </c>
      <c r="O115" s="112">
        <v>46533</v>
      </c>
      <c r="P115" s="112">
        <v>46529</v>
      </c>
      <c r="Q115" s="112" t="s">
        <v>57</v>
      </c>
      <c r="R115" s="3"/>
      <c r="S115" s="3"/>
      <c r="T115" s="3"/>
      <c r="U115" s="3"/>
      <c r="V115" s="130"/>
      <c r="W115" s="3"/>
      <c r="X115" s="3"/>
      <c r="Y115" s="3"/>
      <c r="Z115" s="114"/>
      <c r="AA115" s="78">
        <v>0</v>
      </c>
      <c r="AB115" s="78">
        <v>0</v>
      </c>
      <c r="AC115" s="78">
        <v>0</v>
      </c>
      <c r="AD115" s="78">
        <v>0</v>
      </c>
      <c r="AE115" s="78">
        <v>0</v>
      </c>
      <c r="AF115" s="78">
        <v>0</v>
      </c>
      <c r="AG115" s="78">
        <v>0</v>
      </c>
      <c r="AH115" s="78">
        <v>0</v>
      </c>
      <c r="AI115" s="78">
        <v>0</v>
      </c>
      <c r="AJ115" s="78">
        <v>0</v>
      </c>
      <c r="AK115" s="78">
        <v>0</v>
      </c>
      <c r="AL115" s="78">
        <v>0</v>
      </c>
      <c r="AM115" s="78">
        <v>0</v>
      </c>
      <c r="AN115" s="78">
        <v>0</v>
      </c>
      <c r="AO115" s="78">
        <v>0</v>
      </c>
      <c r="AP115" s="78">
        <v>0</v>
      </c>
      <c r="AQ115" s="78">
        <v>0</v>
      </c>
      <c r="AR115" s="78">
        <v>0</v>
      </c>
      <c r="AS115" s="78">
        <v>0</v>
      </c>
      <c r="AT115" s="78">
        <v>5560.87</v>
      </c>
      <c r="AU115" s="161">
        <v>5583.29</v>
      </c>
    </row>
    <row r="116" spans="1:51">
      <c r="A116" s="1" t="s">
        <v>132</v>
      </c>
      <c r="B116" s="5" t="s">
        <v>218</v>
      </c>
      <c r="C116" s="5" t="s">
        <v>219</v>
      </c>
      <c r="D116" s="5" t="s">
        <v>456</v>
      </c>
      <c r="E116" s="3" t="s">
        <v>102</v>
      </c>
      <c r="F116" s="3" t="s">
        <v>212</v>
      </c>
      <c r="G116" s="116" t="s">
        <v>457</v>
      </c>
      <c r="H116" s="6">
        <v>21272927</v>
      </c>
      <c r="I116" s="2" t="s">
        <v>72</v>
      </c>
      <c r="J116" s="2" t="s">
        <v>53</v>
      </c>
      <c r="K116" s="7"/>
      <c r="L116" s="7" t="s">
        <v>54</v>
      </c>
      <c r="M116" s="3" t="s">
        <v>174</v>
      </c>
      <c r="N116" s="3" t="s">
        <v>56</v>
      </c>
      <c r="O116" s="136">
        <v>46199</v>
      </c>
      <c r="P116" s="112">
        <v>47646</v>
      </c>
      <c r="Q116" s="112" t="s">
        <v>226</v>
      </c>
      <c r="R116" s="3" t="str">
        <f ca="1"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IPCA+4%</v>
      </c>
      <c r="S116" s="3" t="s">
        <v>59</v>
      </c>
      <c r="T116" s="3"/>
      <c r="U116" s="3"/>
      <c r="V116" s="130"/>
      <c r="W116" s="3"/>
      <c r="X116" s="3"/>
      <c r="Y116" s="3"/>
      <c r="Z116" s="114" t="s">
        <v>223</v>
      </c>
      <c r="AA116" s="78">
        <v>0</v>
      </c>
      <c r="AB116" s="78">
        <v>0</v>
      </c>
      <c r="AC116" s="78">
        <v>0</v>
      </c>
      <c r="AD116" s="78">
        <v>0</v>
      </c>
      <c r="AE116" s="78">
        <v>0</v>
      </c>
      <c r="AF116" s="78">
        <v>0</v>
      </c>
      <c r="AG116" s="78">
        <v>0</v>
      </c>
      <c r="AH116" s="78">
        <v>0</v>
      </c>
      <c r="AI116" s="78">
        <v>0</v>
      </c>
      <c r="AJ116" s="78">
        <v>0</v>
      </c>
      <c r="AK116" s="78">
        <v>0</v>
      </c>
      <c r="AL116" s="78">
        <v>0</v>
      </c>
      <c r="AM116" s="78">
        <v>0</v>
      </c>
      <c r="AN116" s="111" t="s">
        <v>313</v>
      </c>
      <c r="AO116" s="78">
        <v>0</v>
      </c>
      <c r="AP116" s="78">
        <v>0</v>
      </c>
      <c r="AQ116" s="78">
        <v>0</v>
      </c>
      <c r="AR116" s="111">
        <v>0</v>
      </c>
      <c r="AS116" s="111">
        <v>0</v>
      </c>
      <c r="AT116" s="122">
        <v>0</v>
      </c>
      <c r="AU116" s="122">
        <v>0</v>
      </c>
    </row>
    <row r="117" spans="1:51">
      <c r="A117" s="1" t="s">
        <v>132</v>
      </c>
      <c r="B117" s="5" t="s">
        <v>274</v>
      </c>
      <c r="C117" s="5" t="s">
        <v>274</v>
      </c>
      <c r="D117" s="5" t="s">
        <v>274</v>
      </c>
      <c r="E117" s="3" t="s">
        <v>49</v>
      </c>
      <c r="F117" s="3" t="s">
        <v>50</v>
      </c>
      <c r="G117" s="5" t="s">
        <v>458</v>
      </c>
      <c r="H117" s="6">
        <v>23147291</v>
      </c>
      <c r="I117" s="2" t="s">
        <v>95</v>
      </c>
      <c r="J117" s="2" t="s">
        <v>53</v>
      </c>
      <c r="K117" s="7"/>
      <c r="L117" s="7" t="s">
        <v>54</v>
      </c>
      <c r="M117" s="3" t="s">
        <v>238</v>
      </c>
      <c r="N117" s="3" t="s">
        <v>66</v>
      </c>
      <c r="O117" s="112">
        <v>46843</v>
      </c>
      <c r="P117" s="112">
        <v>47573</v>
      </c>
      <c r="Q117" s="112" t="s">
        <v>67</v>
      </c>
      <c r="R117" s="3" t="str">
        <f ca="1"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59</v>
      </c>
      <c r="T117" s="3" t="s">
        <v>58</v>
      </c>
      <c r="U117" s="3" t="s">
        <v>58</v>
      </c>
      <c r="V117" s="130"/>
      <c r="W117" s="3" t="s">
        <v>58</v>
      </c>
      <c r="X117" s="3" t="s">
        <v>58</v>
      </c>
      <c r="Y117" s="3" t="s">
        <v>107</v>
      </c>
      <c r="Z117" s="114" t="s">
        <v>444</v>
      </c>
      <c r="AA117" s="78">
        <v>0</v>
      </c>
      <c r="AB117" s="78">
        <v>0</v>
      </c>
      <c r="AC117" s="78">
        <v>0</v>
      </c>
      <c r="AD117" s="78">
        <v>0</v>
      </c>
      <c r="AE117" s="78">
        <v>0</v>
      </c>
      <c r="AF117" s="78">
        <v>0</v>
      </c>
      <c r="AG117" s="78">
        <v>0</v>
      </c>
      <c r="AH117" s="78">
        <v>0</v>
      </c>
      <c r="AI117" s="78">
        <v>0</v>
      </c>
      <c r="AJ117" s="78">
        <v>0</v>
      </c>
      <c r="AK117" s="78">
        <v>0</v>
      </c>
      <c r="AL117" s="78">
        <v>0</v>
      </c>
      <c r="AM117" s="78">
        <v>0</v>
      </c>
      <c r="AN117" s="111" t="s">
        <v>313</v>
      </c>
      <c r="AO117" s="78">
        <v>1999501.09</v>
      </c>
      <c r="AP117" s="78">
        <v>2554699.2800000003</v>
      </c>
      <c r="AQ117" s="78">
        <v>2532132.7300000004</v>
      </c>
      <c r="AR117" s="111">
        <v>2532595.8600000003</v>
      </c>
      <c r="AS117" s="111">
        <v>2547460.7599999998</v>
      </c>
      <c r="AT117" s="122">
        <v>2534757.06</v>
      </c>
      <c r="AU117" s="122">
        <v>2348838.65</v>
      </c>
    </row>
    <row r="118" spans="1:51">
      <c r="A118" s="1" t="s">
        <v>98</v>
      </c>
      <c r="B118" s="5" t="s">
        <v>253</v>
      </c>
      <c r="C118" s="5" t="s">
        <v>254</v>
      </c>
      <c r="D118" s="5" t="s">
        <v>459</v>
      </c>
      <c r="E118" s="3" t="s">
        <v>102</v>
      </c>
      <c r="F118" s="3" t="s">
        <v>50</v>
      </c>
      <c r="G118" s="5" t="s">
        <v>460</v>
      </c>
      <c r="H118" s="6">
        <v>64343370</v>
      </c>
      <c r="I118" s="2" t="s">
        <v>157</v>
      </c>
      <c r="J118" s="2" t="s">
        <v>87</v>
      </c>
      <c r="K118" s="7"/>
      <c r="L118" s="7" t="s">
        <v>54</v>
      </c>
      <c r="M118" s="3" t="s">
        <v>114</v>
      </c>
      <c r="N118" s="3" t="s">
        <v>56</v>
      </c>
      <c r="O118" s="112"/>
      <c r="P118" s="112"/>
      <c r="Q118" s="112" t="s">
        <v>57</v>
      </c>
      <c r="R118" s="3" t="str">
        <f ca="1"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IPCA+5%</v>
      </c>
      <c r="S118" s="3" t="s">
        <v>59</v>
      </c>
      <c r="T118" s="3" t="s">
        <v>58</v>
      </c>
      <c r="U118" s="3" t="s">
        <v>58</v>
      </c>
      <c r="V118" s="130" t="s">
        <v>256</v>
      </c>
      <c r="W118" s="3" t="s">
        <v>58</v>
      </c>
      <c r="X118" s="3" t="s">
        <v>58</v>
      </c>
      <c r="Y118" s="3" t="s">
        <v>107</v>
      </c>
      <c r="Z118" s="114" t="s">
        <v>257</v>
      </c>
      <c r="AA118" s="77">
        <v>221396.98</v>
      </c>
      <c r="AB118" s="77">
        <v>512822.22</v>
      </c>
      <c r="AC118" s="77">
        <v>613349.27</v>
      </c>
      <c r="AD118" s="77">
        <v>715377.73</v>
      </c>
      <c r="AE118" s="77">
        <v>887107.59</v>
      </c>
      <c r="AF118" s="77">
        <v>915935.14</v>
      </c>
      <c r="AG118" s="77">
        <v>1026073.63</v>
      </c>
      <c r="AH118" s="77">
        <v>1134454.6599999999</v>
      </c>
      <c r="AI118" s="77">
        <v>1219157.82</v>
      </c>
      <c r="AJ118" s="77">
        <v>1224535.56</v>
      </c>
      <c r="AK118" s="77">
        <v>1237952.6399999999</v>
      </c>
      <c r="AL118" s="77">
        <v>1221188.02</v>
      </c>
      <c r="AM118" s="77">
        <v>1247167.6000000001</v>
      </c>
      <c r="AN118" s="77">
        <v>1257169.1599999999</v>
      </c>
      <c r="AO118" s="77">
        <v>1269165.67</v>
      </c>
      <c r="AP118" s="77">
        <v>1368938.3</v>
      </c>
      <c r="AQ118" s="80">
        <v>1371045.76</v>
      </c>
      <c r="AR118" s="80">
        <v>1373146.67</v>
      </c>
      <c r="AS118" s="80">
        <v>1371237.07</v>
      </c>
      <c r="AT118" s="132">
        <v>1386592.58</v>
      </c>
      <c r="AU118" s="132">
        <v>1351482.23</v>
      </c>
    </row>
    <row r="119" spans="1:51">
      <c r="A119" s="1" t="s">
        <v>132</v>
      </c>
      <c r="B119" s="5" t="s">
        <v>461</v>
      </c>
      <c r="C119" s="5" t="s">
        <v>219</v>
      </c>
      <c r="D119" s="5" t="s">
        <v>461</v>
      </c>
      <c r="E119" s="3" t="s">
        <v>49</v>
      </c>
      <c r="F119" s="3" t="s">
        <v>212</v>
      </c>
      <c r="G119" s="5" t="s">
        <v>462</v>
      </c>
      <c r="H119" s="6">
        <v>23546070</v>
      </c>
      <c r="I119" s="2" t="s">
        <v>72</v>
      </c>
      <c r="J119" s="2" t="s">
        <v>53</v>
      </c>
      <c r="K119" s="7"/>
      <c r="L119" s="7" t="s">
        <v>54</v>
      </c>
      <c r="M119" s="3" t="s">
        <v>105</v>
      </c>
      <c r="N119" s="3" t="s">
        <v>282</v>
      </c>
      <c r="O119" s="112">
        <v>46851</v>
      </c>
      <c r="P119" s="112">
        <v>47579</v>
      </c>
      <c r="Q119" s="112" t="s">
        <v>226</v>
      </c>
      <c r="R119" s="3" t="str">
        <f ca="1"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IPCA+4%</v>
      </c>
      <c r="S119" s="3" t="s">
        <v>58</v>
      </c>
      <c r="T119" s="3" t="s">
        <v>59</v>
      </c>
      <c r="U119" s="3" t="s">
        <v>59</v>
      </c>
      <c r="V119" s="130" t="s">
        <v>463</v>
      </c>
      <c r="W119" s="3" t="s">
        <v>58</v>
      </c>
      <c r="X119" s="3" t="s">
        <v>58</v>
      </c>
      <c r="Y119" s="3" t="s">
        <v>107</v>
      </c>
      <c r="Z119" s="114" t="s">
        <v>464</v>
      </c>
      <c r="AA119" s="78">
        <v>0</v>
      </c>
      <c r="AB119" s="78">
        <v>0</v>
      </c>
      <c r="AC119" s="78">
        <v>0</v>
      </c>
      <c r="AD119" s="78">
        <v>0</v>
      </c>
      <c r="AE119" s="78">
        <v>0</v>
      </c>
      <c r="AF119" s="78">
        <v>0</v>
      </c>
      <c r="AG119" s="78">
        <v>0</v>
      </c>
      <c r="AH119" s="78">
        <v>0</v>
      </c>
      <c r="AI119" s="78">
        <v>0</v>
      </c>
      <c r="AJ119" s="78">
        <v>0</v>
      </c>
      <c r="AK119" s="78">
        <v>0</v>
      </c>
      <c r="AL119" s="78">
        <v>0</v>
      </c>
      <c r="AM119" s="78">
        <v>0</v>
      </c>
      <c r="AN119" s="111" t="s">
        <v>313</v>
      </c>
      <c r="AO119" s="78">
        <v>0</v>
      </c>
      <c r="AP119" s="78">
        <v>482650</v>
      </c>
      <c r="AQ119" s="78">
        <v>437620.73000000004</v>
      </c>
      <c r="AR119" s="111">
        <v>310650.34999999998</v>
      </c>
      <c r="AS119" s="111">
        <v>207570.44999999998</v>
      </c>
      <c r="AT119" s="122">
        <v>108446.42</v>
      </c>
      <c r="AU119" s="122">
        <v>58347.99</v>
      </c>
    </row>
    <row r="120" spans="1:51" s="153" customFormat="1">
      <c r="A120" s="115" t="s">
        <v>132</v>
      </c>
      <c r="B120" s="116" t="s">
        <v>465</v>
      </c>
      <c r="C120" s="116" t="s">
        <v>210</v>
      </c>
      <c r="D120" s="116" t="s">
        <v>465</v>
      </c>
      <c r="E120" s="117" t="s">
        <v>102</v>
      </c>
      <c r="F120" s="117" t="s">
        <v>212</v>
      </c>
      <c r="G120" s="116" t="s">
        <v>466</v>
      </c>
      <c r="H120" s="118">
        <v>23572514</v>
      </c>
      <c r="I120" s="119" t="s">
        <v>467</v>
      </c>
      <c r="J120" s="119" t="s">
        <v>53</v>
      </c>
      <c r="K120" s="112"/>
      <c r="L120" s="112" t="s">
        <v>54</v>
      </c>
      <c r="M120" s="117" t="s">
        <v>174</v>
      </c>
      <c r="N120" s="117" t="s">
        <v>282</v>
      </c>
      <c r="O120" s="112">
        <v>46850</v>
      </c>
      <c r="P120" s="112">
        <v>47215</v>
      </c>
      <c r="Q120" s="112" t="s">
        <v>57</v>
      </c>
      <c r="R120" s="3" t="str">
        <f ca="1"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IPCA+4%</v>
      </c>
      <c r="S120" s="117" t="s">
        <v>59</v>
      </c>
      <c r="T120" s="117" t="s">
        <v>59</v>
      </c>
      <c r="U120" s="117" t="s">
        <v>59</v>
      </c>
      <c r="V120" s="131" t="s">
        <v>468</v>
      </c>
      <c r="W120" s="117" t="s">
        <v>58</v>
      </c>
      <c r="X120" s="117" t="s">
        <v>58</v>
      </c>
      <c r="Y120" s="117"/>
      <c r="Z120" s="120" t="s">
        <v>469</v>
      </c>
      <c r="AA120" s="121">
        <v>0</v>
      </c>
      <c r="AB120" s="121">
        <v>0</v>
      </c>
      <c r="AC120" s="121">
        <v>0</v>
      </c>
      <c r="AD120" s="121">
        <v>0</v>
      </c>
      <c r="AE120" s="121">
        <v>0</v>
      </c>
      <c r="AF120" s="121">
        <v>0</v>
      </c>
      <c r="AG120" s="121">
        <v>0</v>
      </c>
      <c r="AH120" s="121">
        <v>0</v>
      </c>
      <c r="AI120" s="121">
        <v>0</v>
      </c>
      <c r="AJ120" s="121">
        <v>0</v>
      </c>
      <c r="AK120" s="121">
        <v>0</v>
      </c>
      <c r="AL120" s="121">
        <v>0</v>
      </c>
      <c r="AM120" s="121">
        <v>0</v>
      </c>
      <c r="AN120" s="122" t="s">
        <v>313</v>
      </c>
      <c r="AO120" s="121">
        <v>0</v>
      </c>
      <c r="AP120" s="121">
        <v>4570350.7600000007</v>
      </c>
      <c r="AQ120" s="121">
        <v>4471753.290000001</v>
      </c>
      <c r="AR120" s="122">
        <v>4363869.0599999996</v>
      </c>
      <c r="AS120" s="122">
        <v>4268441.92</v>
      </c>
      <c r="AT120" s="122">
        <v>4162540.61</v>
      </c>
      <c r="AU120" s="122">
        <v>2463489.4900000002</v>
      </c>
    </row>
    <row r="121" spans="1:51">
      <c r="A121" s="1" t="s">
        <v>98</v>
      </c>
      <c r="B121" s="5" t="s">
        <v>470</v>
      </c>
      <c r="C121" s="5" t="s">
        <v>100</v>
      </c>
      <c r="D121" s="5" t="s">
        <v>101</v>
      </c>
      <c r="E121" s="3" t="s">
        <v>102</v>
      </c>
      <c r="F121" s="3" t="s">
        <v>50</v>
      </c>
      <c r="G121" s="5" t="s">
        <v>471</v>
      </c>
      <c r="H121" s="6">
        <v>85021853</v>
      </c>
      <c r="I121" s="2" t="s">
        <v>104</v>
      </c>
      <c r="J121" s="2" t="s">
        <v>53</v>
      </c>
      <c r="K121" s="7"/>
      <c r="L121" s="7" t="s">
        <v>54</v>
      </c>
      <c r="M121" s="3" t="s">
        <v>105</v>
      </c>
      <c r="N121" s="3"/>
      <c r="O121" s="112"/>
      <c r="P121" s="112"/>
      <c r="Q121" s="112" t="s">
        <v>67</v>
      </c>
      <c r="R121" s="3" t="str">
        <f ca="1"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IPCA+4%</v>
      </c>
      <c r="S121" s="3" t="s">
        <v>59</v>
      </c>
      <c r="T121" s="3" t="s">
        <v>58</v>
      </c>
      <c r="U121" s="3" t="s">
        <v>58</v>
      </c>
      <c r="V121" s="130" t="s">
        <v>472</v>
      </c>
      <c r="W121" s="3" t="s">
        <v>58</v>
      </c>
      <c r="X121" s="3" t="s">
        <v>58</v>
      </c>
      <c r="Y121" s="3" t="s">
        <v>107</v>
      </c>
      <c r="Z121" s="114" t="s">
        <v>108</v>
      </c>
      <c r="AA121" s="80">
        <v>0</v>
      </c>
      <c r="AB121" s="80">
        <v>0</v>
      </c>
      <c r="AC121" s="80">
        <v>0</v>
      </c>
      <c r="AD121" s="80">
        <v>0</v>
      </c>
      <c r="AE121" s="80">
        <v>0</v>
      </c>
      <c r="AF121" s="80">
        <v>0</v>
      </c>
      <c r="AG121" s="80">
        <v>0</v>
      </c>
      <c r="AH121" s="80">
        <v>0</v>
      </c>
      <c r="AI121" s="80">
        <v>0</v>
      </c>
      <c r="AJ121" s="80">
        <v>0</v>
      </c>
      <c r="AK121" s="80">
        <v>0</v>
      </c>
      <c r="AL121" s="80">
        <v>0</v>
      </c>
      <c r="AM121" s="80">
        <v>234769.34</v>
      </c>
      <c r="AN121" s="80">
        <v>232703.22</v>
      </c>
      <c r="AO121" s="80">
        <v>235732.54</v>
      </c>
      <c r="AP121" s="80">
        <v>230975.67</v>
      </c>
      <c r="AQ121" s="80">
        <v>229481.74</v>
      </c>
      <c r="AR121" s="80">
        <v>232302.87</v>
      </c>
      <c r="AS121" s="80">
        <v>222072.62</v>
      </c>
      <c r="AT121" s="132">
        <v>223915.96</v>
      </c>
      <c r="AU121" s="132">
        <v>208954.25</v>
      </c>
    </row>
    <row r="122" spans="1:51">
      <c r="A122" s="1" t="s">
        <v>47</v>
      </c>
      <c r="B122" s="5" t="s">
        <v>309</v>
      </c>
      <c r="C122" s="5" t="s">
        <v>309</v>
      </c>
      <c r="D122" s="5" t="s">
        <v>310</v>
      </c>
      <c r="E122" s="3" t="s">
        <v>102</v>
      </c>
      <c r="F122" s="3" t="s">
        <v>50</v>
      </c>
      <c r="G122" s="5" t="s">
        <v>473</v>
      </c>
      <c r="H122" s="6" t="s">
        <v>474</v>
      </c>
      <c r="I122" s="2" t="s">
        <v>86</v>
      </c>
      <c r="J122" s="2" t="s">
        <v>53</v>
      </c>
      <c r="K122" s="7">
        <v>45555</v>
      </c>
      <c r="L122" s="7" t="s">
        <v>54</v>
      </c>
      <c r="M122" s="3" t="s">
        <v>105</v>
      </c>
      <c r="N122" s="3"/>
      <c r="O122" s="112">
        <v>45729</v>
      </c>
      <c r="P122" s="112">
        <v>46424</v>
      </c>
      <c r="Q122" s="112" t="s">
        <v>221</v>
      </c>
      <c r="R122" s="3" t="str">
        <f ca="1"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3" t="s">
        <v>58</v>
      </c>
      <c r="T122" s="3"/>
      <c r="U122" s="3"/>
      <c r="V122" s="130"/>
      <c r="W122" s="3"/>
      <c r="X122" s="3"/>
      <c r="Y122" s="3"/>
      <c r="Z122" s="114" t="s">
        <v>475</v>
      </c>
      <c r="AA122" s="78">
        <v>0</v>
      </c>
      <c r="AB122" s="78">
        <v>0</v>
      </c>
      <c r="AC122" s="78">
        <v>0</v>
      </c>
      <c r="AD122" s="78">
        <v>541.75</v>
      </c>
      <c r="AE122" s="78">
        <v>0</v>
      </c>
      <c r="AF122" s="78">
        <v>0</v>
      </c>
      <c r="AG122" s="78">
        <v>0</v>
      </c>
      <c r="AH122" s="78">
        <v>0</v>
      </c>
      <c r="AI122" s="78">
        <v>0</v>
      </c>
      <c r="AJ122" s="78">
        <v>0</v>
      </c>
      <c r="AK122" s="78">
        <v>0</v>
      </c>
      <c r="AL122" s="78">
        <v>0</v>
      </c>
      <c r="AM122" s="78">
        <v>0</v>
      </c>
      <c r="AN122" s="111" t="s">
        <v>313</v>
      </c>
      <c r="AO122" s="78">
        <v>0</v>
      </c>
      <c r="AP122" s="78">
        <v>0</v>
      </c>
      <c r="AQ122" s="78">
        <v>0</v>
      </c>
      <c r="AR122" s="79">
        <v>0</v>
      </c>
      <c r="AS122" s="79">
        <v>0</v>
      </c>
      <c r="AT122" s="122">
        <v>0</v>
      </c>
      <c r="AU122" s="122" t="s">
        <v>80</v>
      </c>
    </row>
    <row r="123" spans="1:51">
      <c r="A123" s="1" t="s">
        <v>47</v>
      </c>
      <c r="B123" s="5" t="s">
        <v>210</v>
      </c>
      <c r="C123" s="5" t="s">
        <v>210</v>
      </c>
      <c r="D123" s="5" t="s">
        <v>398</v>
      </c>
      <c r="E123" s="3" t="s">
        <v>49</v>
      </c>
      <c r="F123" s="3" t="s">
        <v>212</v>
      </c>
      <c r="G123" s="5" t="s">
        <v>476</v>
      </c>
      <c r="H123" s="6" t="s">
        <v>477</v>
      </c>
      <c r="I123" s="2" t="s">
        <v>72</v>
      </c>
      <c r="J123" s="2" t="s">
        <v>53</v>
      </c>
      <c r="K123" s="7">
        <v>45659</v>
      </c>
      <c r="L123" s="7" t="s">
        <v>136</v>
      </c>
      <c r="M123" s="3" t="s">
        <v>215</v>
      </c>
      <c r="N123" s="3" t="s">
        <v>56</v>
      </c>
      <c r="O123" s="112">
        <v>46642</v>
      </c>
      <c r="P123" s="112">
        <v>46492</v>
      </c>
      <c r="Q123" s="112" t="s">
        <v>57</v>
      </c>
      <c r="R123" s="3" t="str">
        <f ca="1"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59</v>
      </c>
      <c r="T123" s="3" t="s">
        <v>59</v>
      </c>
      <c r="U123" s="3" t="s">
        <v>59</v>
      </c>
      <c r="V123" s="130" t="s">
        <v>216</v>
      </c>
      <c r="W123" s="3" t="s">
        <v>58</v>
      </c>
      <c r="X123" s="3" t="s">
        <v>59</v>
      </c>
      <c r="Y123" s="3" t="s">
        <v>130</v>
      </c>
      <c r="Z123" s="114" t="s">
        <v>400</v>
      </c>
      <c r="AA123" s="78">
        <v>3007238.49</v>
      </c>
      <c r="AB123" s="78">
        <v>2939341.97</v>
      </c>
      <c r="AC123" s="78">
        <v>3325630.68</v>
      </c>
      <c r="AD123" s="78">
        <v>3823807.2</v>
      </c>
      <c r="AE123" s="78">
        <v>3962508.36</v>
      </c>
      <c r="AF123" s="78">
        <v>3934207.23</v>
      </c>
      <c r="AG123" s="78">
        <v>3906001.18</v>
      </c>
      <c r="AH123" s="78">
        <v>3958889.51</v>
      </c>
      <c r="AI123" s="78">
        <v>3940841.32</v>
      </c>
      <c r="AJ123" s="78">
        <v>3983978.98</v>
      </c>
      <c r="AK123" s="78">
        <v>3952823.01</v>
      </c>
      <c r="AL123" s="78">
        <v>3903143.13</v>
      </c>
      <c r="AM123" s="78">
        <v>3876922.15</v>
      </c>
      <c r="AN123" s="111">
        <v>3864005.55</v>
      </c>
      <c r="AO123" s="78">
        <v>3846042.81</v>
      </c>
      <c r="AP123" s="78">
        <v>3853616.74</v>
      </c>
      <c r="AQ123" s="78">
        <v>4518251.6097782003</v>
      </c>
      <c r="AR123" s="79">
        <v>4503959.78</v>
      </c>
      <c r="AS123" s="79">
        <v>4380743</v>
      </c>
      <c r="AT123" s="122">
        <v>4761967.8820000002</v>
      </c>
      <c r="AU123" s="122">
        <v>5752814.6900000004</v>
      </c>
    </row>
    <row r="124" spans="1:51">
      <c r="A124" s="1" t="s">
        <v>47</v>
      </c>
      <c r="B124" s="5" t="s">
        <v>478</v>
      </c>
      <c r="C124" s="5" t="s">
        <v>124</v>
      </c>
      <c r="D124" s="5" t="s">
        <v>478</v>
      </c>
      <c r="E124" s="3" t="s">
        <v>49</v>
      </c>
      <c r="F124" s="3" t="s">
        <v>50</v>
      </c>
      <c r="G124" s="5" t="s">
        <v>479</v>
      </c>
      <c r="H124" s="6" t="s">
        <v>480</v>
      </c>
      <c r="I124" s="2" t="s">
        <v>65</v>
      </c>
      <c r="J124" s="82" t="s">
        <v>53</v>
      </c>
      <c r="K124" s="7">
        <v>46148</v>
      </c>
      <c r="L124" s="7"/>
      <c r="M124" s="3"/>
      <c r="N124" s="3"/>
      <c r="O124" s="112" t="s">
        <v>481</v>
      </c>
      <c r="P124" s="112">
        <v>47237</v>
      </c>
      <c r="Q124" s="112" t="s">
        <v>128</v>
      </c>
      <c r="R124" s="3" t="str">
        <f ca="1"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/>
      </c>
      <c r="S124" s="3" t="s">
        <v>58</v>
      </c>
      <c r="T124" s="3"/>
      <c r="U124" s="3"/>
      <c r="V124" s="130"/>
      <c r="W124" s="3"/>
      <c r="X124" s="3"/>
      <c r="Y124" s="3"/>
      <c r="Z124" s="114" t="s">
        <v>482</v>
      </c>
      <c r="AA124" s="79">
        <v>0</v>
      </c>
      <c r="AB124" s="79">
        <v>0</v>
      </c>
      <c r="AC124" s="79">
        <v>0</v>
      </c>
      <c r="AD124" s="79">
        <v>0</v>
      </c>
      <c r="AE124" s="79">
        <v>0</v>
      </c>
      <c r="AF124" s="79">
        <v>0</v>
      </c>
      <c r="AG124" s="79">
        <v>0</v>
      </c>
      <c r="AH124" s="79">
        <v>0</v>
      </c>
      <c r="AI124" s="79">
        <v>0</v>
      </c>
      <c r="AJ124" s="79">
        <v>0</v>
      </c>
      <c r="AK124" s="79">
        <v>0</v>
      </c>
      <c r="AL124" s="79">
        <v>0</v>
      </c>
      <c r="AM124" s="79">
        <v>0</v>
      </c>
      <c r="AN124" s="79" t="s">
        <v>313</v>
      </c>
      <c r="AO124" s="79">
        <v>0</v>
      </c>
      <c r="AP124" s="79">
        <v>0</v>
      </c>
      <c r="AQ124" s="79">
        <v>0</v>
      </c>
      <c r="AR124" s="79">
        <v>0</v>
      </c>
      <c r="AS124" s="79">
        <v>0</v>
      </c>
      <c r="AT124" s="122">
        <v>0</v>
      </c>
      <c r="AU124" s="122" t="s">
        <v>80</v>
      </c>
    </row>
    <row r="125" spans="1:51">
      <c r="A125" s="1" t="s">
        <v>98</v>
      </c>
      <c r="B125" s="5" t="s">
        <v>118</v>
      </c>
      <c r="C125" s="5" t="s">
        <v>118</v>
      </c>
      <c r="D125" s="5" t="s">
        <v>483</v>
      </c>
      <c r="E125" s="3" t="s">
        <v>49</v>
      </c>
      <c r="F125" s="3" t="s">
        <v>50</v>
      </c>
      <c r="G125" s="5" t="s">
        <v>484</v>
      </c>
      <c r="H125" s="6">
        <v>52778847</v>
      </c>
      <c r="I125" s="2" t="s">
        <v>120</v>
      </c>
      <c r="J125" s="2" t="s">
        <v>53</v>
      </c>
      <c r="K125" s="7"/>
      <c r="L125" s="7" t="s">
        <v>54</v>
      </c>
      <c r="M125" s="3" t="s">
        <v>55</v>
      </c>
      <c r="N125" s="3" t="s">
        <v>56</v>
      </c>
      <c r="O125" s="112"/>
      <c r="P125" s="112"/>
      <c r="Q125" s="112" t="s">
        <v>57</v>
      </c>
      <c r="R125" s="3" t="str">
        <f ca="1"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IPCA+5%</v>
      </c>
      <c r="S125" s="3" t="s">
        <v>59</v>
      </c>
      <c r="T125" s="3" t="s">
        <v>59</v>
      </c>
      <c r="U125" s="3" t="s">
        <v>59</v>
      </c>
      <c r="V125" s="130" t="s">
        <v>121</v>
      </c>
      <c r="W125" s="3" t="s">
        <v>59</v>
      </c>
      <c r="X125" s="3" t="s">
        <v>58</v>
      </c>
      <c r="Y125" s="3" t="s">
        <v>61</v>
      </c>
      <c r="Z125" s="114" t="s">
        <v>122</v>
      </c>
      <c r="AA125" s="77">
        <v>0</v>
      </c>
      <c r="AB125" s="77">
        <v>0</v>
      </c>
      <c r="AC125" s="77">
        <v>0</v>
      </c>
      <c r="AD125" s="77">
        <v>0</v>
      </c>
      <c r="AE125" s="77">
        <v>0</v>
      </c>
      <c r="AF125" s="77">
        <v>0</v>
      </c>
      <c r="AG125" s="77">
        <v>0</v>
      </c>
      <c r="AH125" s="77">
        <v>0</v>
      </c>
      <c r="AI125" s="77">
        <v>0</v>
      </c>
      <c r="AJ125" s="77">
        <v>0</v>
      </c>
      <c r="AK125" s="77">
        <v>0</v>
      </c>
      <c r="AL125" s="77">
        <v>0</v>
      </c>
      <c r="AM125" s="77">
        <v>0</v>
      </c>
      <c r="AN125" s="77" t="s">
        <v>176</v>
      </c>
      <c r="AO125" s="77">
        <v>0</v>
      </c>
      <c r="AP125" s="77">
        <v>0</v>
      </c>
      <c r="AQ125" s="80">
        <v>0</v>
      </c>
      <c r="AR125" s="80">
        <v>0</v>
      </c>
      <c r="AS125" s="80">
        <v>0</v>
      </c>
      <c r="AT125" s="132">
        <v>0</v>
      </c>
      <c r="AU125" s="132">
        <v>0</v>
      </c>
    </row>
    <row r="126" spans="1:51">
      <c r="A126" s="1" t="s">
        <v>47</v>
      </c>
      <c r="B126" s="5" t="s">
        <v>485</v>
      </c>
      <c r="C126" s="5" t="s">
        <v>485</v>
      </c>
      <c r="D126" s="5" t="s">
        <v>485</v>
      </c>
      <c r="E126" s="3" t="s">
        <v>102</v>
      </c>
      <c r="F126" s="3" t="s">
        <v>126</v>
      </c>
      <c r="G126" s="5" t="s">
        <v>486</v>
      </c>
      <c r="H126" s="6" t="s">
        <v>487</v>
      </c>
      <c r="I126" s="2" t="s">
        <v>86</v>
      </c>
      <c r="J126" s="82" t="s">
        <v>87</v>
      </c>
      <c r="K126" s="7">
        <v>46178</v>
      </c>
      <c r="L126" s="7" t="s">
        <v>54</v>
      </c>
      <c r="M126" s="3" t="s">
        <v>174</v>
      </c>
      <c r="N126" s="3" t="s">
        <v>56</v>
      </c>
      <c r="O126" s="112">
        <v>46913</v>
      </c>
      <c r="P126" s="112">
        <v>46912</v>
      </c>
      <c r="Q126" s="112" t="s">
        <v>67</v>
      </c>
      <c r="R126" s="3" t="str">
        <f ca="1"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IPCA+4%</v>
      </c>
      <c r="S126" s="3" t="s">
        <v>58</v>
      </c>
      <c r="T126" s="3" t="s">
        <v>58</v>
      </c>
      <c r="U126" s="3" t="s">
        <v>58</v>
      </c>
      <c r="V126" s="130"/>
      <c r="W126" s="3" t="s">
        <v>58</v>
      </c>
      <c r="X126" s="3" t="s">
        <v>58</v>
      </c>
      <c r="Y126" s="3" t="s">
        <v>107</v>
      </c>
      <c r="Z126" s="114" t="s">
        <v>488</v>
      </c>
      <c r="AA126" s="78">
        <v>0</v>
      </c>
      <c r="AB126" s="78">
        <v>0</v>
      </c>
      <c r="AC126" s="78">
        <v>0</v>
      </c>
      <c r="AD126" s="78">
        <v>0</v>
      </c>
      <c r="AE126" s="78">
        <v>0</v>
      </c>
      <c r="AF126" s="78">
        <v>0</v>
      </c>
      <c r="AG126" s="78">
        <v>0</v>
      </c>
      <c r="AH126" s="78">
        <v>0</v>
      </c>
      <c r="AI126" s="78">
        <v>0</v>
      </c>
      <c r="AJ126" s="78">
        <v>0</v>
      </c>
      <c r="AK126" s="78">
        <v>0</v>
      </c>
      <c r="AL126" s="78">
        <v>0</v>
      </c>
      <c r="AM126" s="78">
        <v>0</v>
      </c>
      <c r="AN126" s="111" t="s">
        <v>313</v>
      </c>
      <c r="AO126" s="78">
        <v>0</v>
      </c>
      <c r="AP126" s="78">
        <v>0</v>
      </c>
      <c r="AQ126" s="78">
        <v>0</v>
      </c>
      <c r="AR126" s="79">
        <v>775326.27</v>
      </c>
      <c r="AS126" s="79">
        <v>935732.72</v>
      </c>
      <c r="AT126" s="122">
        <v>562057.2733</v>
      </c>
      <c r="AU126" s="122">
        <v>736318.17</v>
      </c>
    </row>
    <row r="127" spans="1:51">
      <c r="A127" s="1" t="s">
        <v>47</v>
      </c>
      <c r="B127" s="5" t="s">
        <v>489</v>
      </c>
      <c r="C127" s="5" t="s">
        <v>489</v>
      </c>
      <c r="D127" s="5" t="s">
        <v>489</v>
      </c>
      <c r="E127" s="3" t="s">
        <v>49</v>
      </c>
      <c r="F127" s="3" t="s">
        <v>50</v>
      </c>
      <c r="G127" s="5" t="s">
        <v>490</v>
      </c>
      <c r="H127" s="6" t="s">
        <v>491</v>
      </c>
      <c r="I127" s="2" t="s">
        <v>86</v>
      </c>
      <c r="J127" s="82" t="s">
        <v>53</v>
      </c>
      <c r="K127" s="7">
        <v>46286</v>
      </c>
      <c r="L127" s="7" t="s">
        <v>54</v>
      </c>
      <c r="M127" s="3"/>
      <c r="N127" s="3" t="s">
        <v>66</v>
      </c>
      <c r="O127" s="112"/>
      <c r="P127" s="112">
        <v>47382</v>
      </c>
      <c r="Q127" s="112" t="s">
        <v>67</v>
      </c>
      <c r="R127" s="3"/>
      <c r="S127" s="3"/>
      <c r="T127" s="3"/>
      <c r="U127" s="3"/>
      <c r="V127" s="130"/>
      <c r="W127" s="3"/>
      <c r="X127" s="3"/>
      <c r="Y127" s="3"/>
      <c r="Z127" s="114" t="s">
        <v>492</v>
      </c>
      <c r="AA127" s="78">
        <v>0</v>
      </c>
      <c r="AB127" s="78">
        <v>0</v>
      </c>
      <c r="AC127" s="78">
        <v>0</v>
      </c>
      <c r="AD127" s="78">
        <v>0</v>
      </c>
      <c r="AE127" s="78">
        <v>0</v>
      </c>
      <c r="AF127" s="78">
        <v>0</v>
      </c>
      <c r="AG127" s="78">
        <v>0</v>
      </c>
      <c r="AH127" s="78">
        <v>0</v>
      </c>
      <c r="AI127" s="78">
        <v>0</v>
      </c>
      <c r="AJ127" s="78">
        <v>0</v>
      </c>
      <c r="AK127" s="78">
        <v>0</v>
      </c>
      <c r="AL127" s="78">
        <v>0</v>
      </c>
      <c r="AM127" s="78">
        <v>0</v>
      </c>
      <c r="AN127" s="78">
        <v>0</v>
      </c>
      <c r="AO127" s="78">
        <v>0</v>
      </c>
      <c r="AP127" s="78">
        <v>0</v>
      </c>
      <c r="AQ127" s="78">
        <v>0</v>
      </c>
      <c r="AR127" s="78">
        <v>0</v>
      </c>
      <c r="AS127" s="78">
        <v>0</v>
      </c>
      <c r="AT127" s="78">
        <v>0</v>
      </c>
      <c r="AU127" s="161">
        <v>0.01</v>
      </c>
    </row>
    <row r="128" spans="1:51">
      <c r="A128" s="1" t="s">
        <v>47</v>
      </c>
      <c r="B128" s="5" t="s">
        <v>82</v>
      </c>
      <c r="C128" s="5" t="s">
        <v>82</v>
      </c>
      <c r="D128" s="5" t="s">
        <v>493</v>
      </c>
      <c r="E128" s="3" t="s">
        <v>49</v>
      </c>
      <c r="F128" s="3" t="s">
        <v>50</v>
      </c>
      <c r="G128" s="5" t="s">
        <v>494</v>
      </c>
      <c r="H128" s="6" t="s">
        <v>495</v>
      </c>
      <c r="I128" s="2" t="s">
        <v>86</v>
      </c>
      <c r="J128" s="82" t="s">
        <v>87</v>
      </c>
      <c r="K128" s="7">
        <v>46269</v>
      </c>
      <c r="L128" s="7" t="s">
        <v>54</v>
      </c>
      <c r="M128" s="3"/>
      <c r="N128" s="117" t="s">
        <v>56</v>
      </c>
      <c r="O128" s="112">
        <v>46888</v>
      </c>
      <c r="P128" s="112">
        <v>47072</v>
      </c>
      <c r="Q128" s="112" t="s">
        <v>67</v>
      </c>
      <c r="R128" s="3"/>
      <c r="S128" s="3"/>
      <c r="T128" s="3"/>
      <c r="U128" s="3"/>
      <c r="V128" s="130"/>
      <c r="W128" s="3"/>
      <c r="X128" s="3"/>
      <c r="Y128" s="3"/>
      <c r="Z128" s="114" t="s">
        <v>496</v>
      </c>
      <c r="AA128" s="78">
        <v>0</v>
      </c>
      <c r="AB128" s="78">
        <v>0</v>
      </c>
      <c r="AC128" s="78">
        <v>0</v>
      </c>
      <c r="AD128" s="78">
        <v>0</v>
      </c>
      <c r="AE128" s="78">
        <v>0</v>
      </c>
      <c r="AF128" s="78">
        <v>0</v>
      </c>
      <c r="AG128" s="78">
        <v>0</v>
      </c>
      <c r="AH128" s="78">
        <v>0</v>
      </c>
      <c r="AI128" s="78">
        <v>0</v>
      </c>
      <c r="AJ128" s="78">
        <v>0</v>
      </c>
      <c r="AK128" s="78">
        <v>0</v>
      </c>
      <c r="AL128" s="78">
        <v>0</v>
      </c>
      <c r="AM128" s="78">
        <v>0</v>
      </c>
      <c r="AN128" s="78">
        <v>0</v>
      </c>
      <c r="AO128" s="78">
        <v>0</v>
      </c>
      <c r="AP128" s="78">
        <v>0</v>
      </c>
      <c r="AQ128" s="78">
        <v>0</v>
      </c>
      <c r="AR128" s="78">
        <v>0</v>
      </c>
      <c r="AS128" s="78">
        <v>0</v>
      </c>
      <c r="AT128" s="78"/>
      <c r="AU128" s="161">
        <v>1402610.64</v>
      </c>
    </row>
    <row r="129" spans="1:51">
      <c r="A129" s="1" t="s">
        <v>47</v>
      </c>
      <c r="B129" s="5" t="s">
        <v>82</v>
      </c>
      <c r="C129" s="5" t="s">
        <v>82</v>
      </c>
      <c r="D129" s="5" t="s">
        <v>497</v>
      </c>
      <c r="E129" s="3" t="s">
        <v>49</v>
      </c>
      <c r="F129" s="3" t="s">
        <v>50</v>
      </c>
      <c r="G129" s="5" t="s">
        <v>498</v>
      </c>
      <c r="H129" s="6" t="s">
        <v>499</v>
      </c>
      <c r="I129" s="2" t="s">
        <v>86</v>
      </c>
      <c r="J129" s="82" t="s">
        <v>87</v>
      </c>
      <c r="K129" s="7">
        <v>46279</v>
      </c>
      <c r="L129" s="7" t="s">
        <v>54</v>
      </c>
      <c r="M129" s="3"/>
      <c r="N129" s="3" t="s">
        <v>66</v>
      </c>
      <c r="O129" s="112">
        <v>47379</v>
      </c>
      <c r="P129" s="112">
        <v>47172</v>
      </c>
      <c r="Q129" s="112" t="s">
        <v>67</v>
      </c>
      <c r="R129" s="3"/>
      <c r="S129" s="3"/>
      <c r="T129" s="3"/>
      <c r="U129" s="3"/>
      <c r="V129" s="130"/>
      <c r="W129" s="3"/>
      <c r="X129" s="3"/>
      <c r="Y129" s="3"/>
      <c r="Z129" s="114" t="s">
        <v>500</v>
      </c>
      <c r="AA129" s="78">
        <v>0</v>
      </c>
      <c r="AB129" s="78">
        <v>0</v>
      </c>
      <c r="AC129" s="78">
        <v>0</v>
      </c>
      <c r="AD129" s="78">
        <v>0</v>
      </c>
      <c r="AE129" s="78">
        <v>0</v>
      </c>
      <c r="AF129" s="78">
        <v>0</v>
      </c>
      <c r="AG129" s="78">
        <v>0</v>
      </c>
      <c r="AH129" s="78">
        <v>0</v>
      </c>
      <c r="AI129" s="78">
        <v>0</v>
      </c>
      <c r="AJ129" s="78">
        <v>0</v>
      </c>
      <c r="AK129" s="78">
        <v>0</v>
      </c>
      <c r="AL129" s="78">
        <v>0</v>
      </c>
      <c r="AM129" s="78">
        <v>0</v>
      </c>
      <c r="AN129" s="78">
        <v>0</v>
      </c>
      <c r="AO129" s="78">
        <v>0</v>
      </c>
      <c r="AP129" s="78">
        <v>0</v>
      </c>
      <c r="AQ129" s="78">
        <v>0</v>
      </c>
      <c r="AR129" s="78">
        <v>0</v>
      </c>
      <c r="AS129" s="78">
        <v>0</v>
      </c>
      <c r="AT129" s="78"/>
      <c r="AU129" s="161">
        <v>2022551.37</v>
      </c>
    </row>
    <row r="130" spans="1:51">
      <c r="A130" s="1" t="s">
        <v>47</v>
      </c>
      <c r="B130" s="5" t="s">
        <v>501</v>
      </c>
      <c r="C130" s="5" t="s">
        <v>501</v>
      </c>
      <c r="D130" s="160" t="s">
        <v>501</v>
      </c>
      <c r="E130" s="3" t="s">
        <v>49</v>
      </c>
      <c r="F130" s="3" t="s">
        <v>50</v>
      </c>
      <c r="G130" s="5" t="s">
        <v>502</v>
      </c>
      <c r="H130" s="6" t="s">
        <v>503</v>
      </c>
      <c r="I130" s="2" t="s">
        <v>86</v>
      </c>
      <c r="J130" s="2" t="s">
        <v>53</v>
      </c>
      <c r="K130" s="7">
        <v>46283</v>
      </c>
      <c r="L130" s="7" t="s">
        <v>54</v>
      </c>
      <c r="M130" s="3"/>
      <c r="N130" s="3" t="s">
        <v>66</v>
      </c>
      <c r="O130" s="112">
        <v>46521</v>
      </c>
      <c r="P130" s="112">
        <v>46521</v>
      </c>
      <c r="Q130" s="112" t="s">
        <v>67</v>
      </c>
      <c r="R130" s="3"/>
      <c r="S130" s="3"/>
      <c r="T130" s="3"/>
      <c r="U130" s="3"/>
      <c r="V130" s="130"/>
      <c r="W130" s="3"/>
      <c r="X130" s="3"/>
      <c r="Y130" s="3"/>
      <c r="Z130" s="114" t="s">
        <v>504</v>
      </c>
      <c r="AA130" s="78">
        <v>0</v>
      </c>
      <c r="AB130" s="78">
        <v>0</v>
      </c>
      <c r="AC130" s="78">
        <v>0</v>
      </c>
      <c r="AD130" s="78">
        <v>0</v>
      </c>
      <c r="AE130" s="78">
        <v>0</v>
      </c>
      <c r="AF130" s="78">
        <v>0</v>
      </c>
      <c r="AG130" s="78">
        <v>0</v>
      </c>
      <c r="AH130" s="78">
        <v>0</v>
      </c>
      <c r="AI130" s="78">
        <v>0</v>
      </c>
      <c r="AJ130" s="78">
        <v>0</v>
      </c>
      <c r="AK130" s="78">
        <v>0</v>
      </c>
      <c r="AL130" s="78">
        <v>0</v>
      </c>
      <c r="AM130" s="78">
        <v>0</v>
      </c>
      <c r="AN130" s="78">
        <v>0</v>
      </c>
      <c r="AO130" s="78">
        <v>0</v>
      </c>
      <c r="AP130" s="78">
        <v>0</v>
      </c>
      <c r="AQ130" s="78">
        <v>0</v>
      </c>
      <c r="AR130" s="78">
        <v>0</v>
      </c>
      <c r="AS130" s="78">
        <v>0</v>
      </c>
      <c r="AT130" s="78">
        <v>0</v>
      </c>
      <c r="AU130" s="161">
        <v>1948995.31</v>
      </c>
    </row>
    <row r="131" spans="1:51">
      <c r="A131" s="1" t="s">
        <v>505</v>
      </c>
      <c r="B131" s="5" t="s">
        <v>407</v>
      </c>
      <c r="C131" s="5" t="s">
        <v>407</v>
      </c>
      <c r="D131" s="5" t="s">
        <v>407</v>
      </c>
      <c r="E131" s="3" t="s">
        <v>49</v>
      </c>
      <c r="F131" s="3" t="s">
        <v>50</v>
      </c>
      <c r="G131" s="5" t="s">
        <v>506</v>
      </c>
      <c r="H131" s="6" t="s">
        <v>507</v>
      </c>
      <c r="I131" s="2" t="s">
        <v>120</v>
      </c>
      <c r="J131" s="82" t="s">
        <v>53</v>
      </c>
      <c r="K131" s="7">
        <v>46163</v>
      </c>
      <c r="L131" s="7" t="s">
        <v>54</v>
      </c>
      <c r="M131" s="3"/>
      <c r="N131" s="3" t="s">
        <v>56</v>
      </c>
      <c r="O131" s="112">
        <v>46383</v>
      </c>
      <c r="P131" s="112">
        <v>46383</v>
      </c>
      <c r="Q131" s="112" t="s">
        <v>128</v>
      </c>
      <c r="R131" s="3" t="str">
        <f ca="1">IF(M131="Arrojado","IPCA+6%",IF(M131="Arrojado Renda Construção","IPCA+6%",IF(M131="Arrojado Renda Usufruto","IPCA+6%",IF(M131="Moderado","IPCA+5%",IF(M131="Moderado Renda Construção","IPCA+5%",IF(M131="Moderado Renda Usufruto","IPCA+5%",IF(M131="Conservador","IPCA+4%",IF(M131="Conservador Renda Construção","IPCA+4%",IF(M131="Conservador Renda Usufruto","IPCA+4%",IF(M131="Ultraconservador","IPCA+4%",""))))))))))</f>
        <v/>
      </c>
      <c r="S131" s="3" t="s">
        <v>58</v>
      </c>
      <c r="T131" s="3" t="s">
        <v>58</v>
      </c>
      <c r="U131" s="3" t="s">
        <v>58</v>
      </c>
      <c r="V131" s="130" t="s">
        <v>409</v>
      </c>
      <c r="W131" s="3" t="s">
        <v>58</v>
      </c>
      <c r="X131" s="3" t="s">
        <v>59</v>
      </c>
      <c r="Y131" s="3" t="s">
        <v>107</v>
      </c>
      <c r="Z131" s="114" t="s">
        <v>410</v>
      </c>
      <c r="AA131" s="77">
        <v>0</v>
      </c>
      <c r="AB131" s="77">
        <v>0</v>
      </c>
      <c r="AC131" s="77">
        <v>0</v>
      </c>
      <c r="AD131" s="77">
        <v>0</v>
      </c>
      <c r="AE131" s="77">
        <v>0</v>
      </c>
      <c r="AF131" s="77">
        <v>0</v>
      </c>
      <c r="AG131" s="77">
        <v>0</v>
      </c>
      <c r="AH131" s="77">
        <v>0</v>
      </c>
      <c r="AI131" s="77">
        <v>0</v>
      </c>
      <c r="AJ131" s="77">
        <v>0</v>
      </c>
      <c r="AK131" s="77">
        <v>0</v>
      </c>
      <c r="AL131" s="77">
        <v>0</v>
      </c>
      <c r="AM131" s="77">
        <v>0</v>
      </c>
      <c r="AN131" s="77" t="s">
        <v>313</v>
      </c>
      <c r="AO131" s="77">
        <v>0</v>
      </c>
      <c r="AP131" s="77">
        <v>0</v>
      </c>
      <c r="AQ131" s="77">
        <v>0</v>
      </c>
      <c r="AR131" s="77">
        <v>0</v>
      </c>
      <c r="AS131" s="77">
        <v>0</v>
      </c>
      <c r="AT131" s="132">
        <v>96850.65</v>
      </c>
      <c r="AU131" s="132">
        <v>92925.34</v>
      </c>
    </row>
    <row r="132" spans="1:51">
      <c r="A132" s="1" t="s">
        <v>98</v>
      </c>
      <c r="B132" s="5" t="s">
        <v>185</v>
      </c>
      <c r="C132" s="5" t="s">
        <v>185</v>
      </c>
      <c r="D132" s="5" t="s">
        <v>185</v>
      </c>
      <c r="E132" s="3" t="s">
        <v>49</v>
      </c>
      <c r="F132" s="3" t="s">
        <v>50</v>
      </c>
      <c r="G132" s="5" t="s">
        <v>508</v>
      </c>
      <c r="H132" s="6">
        <v>26245282</v>
      </c>
      <c r="I132" s="2" t="s">
        <v>86</v>
      </c>
      <c r="J132" s="2" t="s">
        <v>53</v>
      </c>
      <c r="K132" s="7"/>
      <c r="L132" s="7" t="s">
        <v>54</v>
      </c>
      <c r="M132" s="3" t="s">
        <v>114</v>
      </c>
      <c r="N132" s="3" t="s">
        <v>56</v>
      </c>
      <c r="O132" s="112"/>
      <c r="P132" s="112"/>
      <c r="Q132" s="112" t="s">
        <v>57</v>
      </c>
      <c r="R132" s="3" t="str">
        <f ca="1">IF(M132="Arrojado","IPCA+6%",IF(M132="Arrojado Renda Construção","IPCA+6%",IF(M132="Arrojado Renda Usufruto","IPCA+6%",IF(M132="Moderado","IPCA+5%",IF(M132="Moderado Renda Construção","IPCA+5%",IF(M132="Moderado Renda Usufruto","IPCA+5%",IF(M132="Conservador","IPCA+4%",IF(M132="Conservador Renda Construção","IPCA+4%",IF(M132="Conservador Renda Usufruto","IPCA+4%",IF(M132="Ultraconservador","IPCA+4%",""))))))))))</f>
        <v>IPCA+5%</v>
      </c>
      <c r="S132" s="3" t="s">
        <v>59</v>
      </c>
      <c r="T132" s="3" t="s">
        <v>58</v>
      </c>
      <c r="U132" s="3" t="s">
        <v>58</v>
      </c>
      <c r="V132" s="130" t="s">
        <v>187</v>
      </c>
      <c r="W132" s="3" t="s">
        <v>58</v>
      </c>
      <c r="X132" s="3" t="s">
        <v>59</v>
      </c>
      <c r="Y132" s="3" t="s">
        <v>130</v>
      </c>
      <c r="Z132" s="114" t="s">
        <v>509</v>
      </c>
      <c r="AA132" s="77">
        <v>159604.1</v>
      </c>
      <c r="AB132" s="77">
        <v>163150.38</v>
      </c>
      <c r="AC132" s="77">
        <v>158995.35</v>
      </c>
      <c r="AD132" s="77">
        <v>156773.96</v>
      </c>
      <c r="AE132" s="77">
        <v>160655.67000000001</v>
      </c>
      <c r="AF132" s="77">
        <v>164768.32000000001</v>
      </c>
      <c r="AG132" s="77">
        <v>166787.03</v>
      </c>
      <c r="AH132" s="77">
        <v>173410.24</v>
      </c>
      <c r="AI132" s="77">
        <v>169716.44</v>
      </c>
      <c r="AJ132" s="77">
        <v>170505.02</v>
      </c>
      <c r="AK132" s="77">
        <v>172598.71</v>
      </c>
      <c r="AL132" s="77">
        <v>170075.55</v>
      </c>
      <c r="AM132" s="77">
        <v>173591.04000000001</v>
      </c>
      <c r="AN132" s="77">
        <v>176505.07</v>
      </c>
      <c r="AO132" s="77">
        <v>168125.79</v>
      </c>
      <c r="AP132" s="77">
        <v>176926.47</v>
      </c>
      <c r="AQ132" s="80">
        <v>180035.72</v>
      </c>
      <c r="AR132" s="80">
        <v>181204.9</v>
      </c>
      <c r="AS132" s="80">
        <v>180097.9</v>
      </c>
      <c r="AT132" s="132">
        <v>182033.36</v>
      </c>
      <c r="AU132" s="132">
        <v>177983.75</v>
      </c>
    </row>
    <row r="133" spans="1:51">
      <c r="A133" s="1" t="s">
        <v>47</v>
      </c>
      <c r="B133" s="5" t="s">
        <v>82</v>
      </c>
      <c r="C133" s="5" t="s">
        <v>82</v>
      </c>
      <c r="D133" s="5" t="s">
        <v>510</v>
      </c>
      <c r="E133" s="3" t="s">
        <v>49</v>
      </c>
      <c r="F133" s="3" t="s">
        <v>50</v>
      </c>
      <c r="G133" s="5" t="s">
        <v>511</v>
      </c>
      <c r="H133" s="6" t="s">
        <v>512</v>
      </c>
      <c r="I133" s="2" t="s">
        <v>86</v>
      </c>
      <c r="J133" s="82" t="s">
        <v>87</v>
      </c>
      <c r="K133" s="7">
        <v>46273</v>
      </c>
      <c r="L133" s="7" t="s">
        <v>54</v>
      </c>
      <c r="M133" s="3"/>
      <c r="N133" s="3" t="s">
        <v>66</v>
      </c>
      <c r="O133" s="112">
        <v>46656</v>
      </c>
      <c r="P133" s="112">
        <v>46629</v>
      </c>
      <c r="Q133" s="112" t="s">
        <v>67</v>
      </c>
      <c r="R133" s="3"/>
      <c r="S133" s="3"/>
      <c r="T133" s="3"/>
      <c r="U133" s="3"/>
      <c r="V133" s="130"/>
      <c r="W133" s="3"/>
      <c r="X133" s="3"/>
      <c r="Y133" s="3"/>
      <c r="Z133" s="114" t="s">
        <v>513</v>
      </c>
      <c r="AA133" s="78">
        <v>0</v>
      </c>
      <c r="AB133" s="78">
        <v>0</v>
      </c>
      <c r="AC133" s="78">
        <v>0</v>
      </c>
      <c r="AD133" s="78">
        <v>0</v>
      </c>
      <c r="AE133" s="78">
        <v>0</v>
      </c>
      <c r="AF133" s="78">
        <v>0</v>
      </c>
      <c r="AG133" s="78">
        <v>0</v>
      </c>
      <c r="AH133" s="78">
        <v>0</v>
      </c>
      <c r="AI133" s="78">
        <v>0</v>
      </c>
      <c r="AJ133" s="78">
        <v>0</v>
      </c>
      <c r="AK133" s="78">
        <v>0</v>
      </c>
      <c r="AL133" s="78">
        <v>0</v>
      </c>
      <c r="AM133" s="78">
        <v>0</v>
      </c>
      <c r="AN133" s="78">
        <v>0</v>
      </c>
      <c r="AO133" s="78">
        <v>0</v>
      </c>
      <c r="AP133" s="78">
        <v>0</v>
      </c>
      <c r="AQ133" s="78">
        <v>0</v>
      </c>
      <c r="AR133" s="78">
        <v>0</v>
      </c>
      <c r="AS133" s="78">
        <v>0</v>
      </c>
      <c r="AT133" s="78"/>
      <c r="AU133" s="161">
        <v>2620106.2200000002</v>
      </c>
    </row>
    <row r="134" spans="1:51">
      <c r="A134" s="1" t="s">
        <v>132</v>
      </c>
      <c r="B134" s="5" t="s">
        <v>172</v>
      </c>
      <c r="C134" s="5" t="s">
        <v>172</v>
      </c>
      <c r="D134" s="160" t="s">
        <v>514</v>
      </c>
      <c r="E134" s="3" t="s">
        <v>102</v>
      </c>
      <c r="F134" s="3" t="s">
        <v>50</v>
      </c>
      <c r="G134" s="5" t="s">
        <v>515</v>
      </c>
      <c r="H134" s="6" t="s">
        <v>516</v>
      </c>
      <c r="I134" s="2" t="s">
        <v>86</v>
      </c>
      <c r="J134" s="2" t="s">
        <v>87</v>
      </c>
      <c r="K134" s="7"/>
      <c r="L134" s="7" t="s">
        <v>54</v>
      </c>
      <c r="M134" s="3" t="s">
        <v>174</v>
      </c>
      <c r="N134" s="3" t="s">
        <v>66</v>
      </c>
      <c r="O134" s="112">
        <v>46299</v>
      </c>
      <c r="P134" s="112">
        <v>46870</v>
      </c>
      <c r="Q134" s="112" t="s">
        <v>67</v>
      </c>
      <c r="R134" s="3" t="str">
        <f ca="1">IF(M134="Arrojado","IPCA+6%",IF(M134="Arrojado Renda Construção","IPCA+6%",IF(M134="Arrojado Renda Usufruto","IPCA+6%",IF(M134="Moderado","IPCA+5%",IF(M134="Moderado Renda Construção","IPCA+5%",IF(M134="Moderado Renda Usufruto","IPCA+5%",IF(M134="Conservador","IPCA+4%",IF(M134="Conservador Renda Construção","IPCA+4%",IF(M134="Conservador Renda Usufruto","IPCA+4%",IF(M134="Ultraconservador","IPCA+4%",""))))))))))</f>
        <v>IPCA+4%</v>
      </c>
      <c r="S134" s="3" t="s">
        <v>58</v>
      </c>
      <c r="T134" s="3"/>
      <c r="U134" s="3"/>
      <c r="V134" s="130"/>
      <c r="W134" s="3" t="s">
        <v>58</v>
      </c>
      <c r="X134" s="3" t="s">
        <v>58</v>
      </c>
      <c r="Y134" s="3" t="s">
        <v>107</v>
      </c>
      <c r="Z134" s="114" t="s">
        <v>517</v>
      </c>
      <c r="AA134" s="79">
        <v>0</v>
      </c>
      <c r="AB134" s="79">
        <v>0</v>
      </c>
      <c r="AC134" s="79">
        <v>0</v>
      </c>
      <c r="AD134" s="79">
        <v>0</v>
      </c>
      <c r="AE134" s="79">
        <v>0</v>
      </c>
      <c r="AF134" s="79">
        <v>0</v>
      </c>
      <c r="AG134" s="79">
        <v>0</v>
      </c>
      <c r="AH134" s="79">
        <v>0</v>
      </c>
      <c r="AI134" s="79">
        <v>0</v>
      </c>
      <c r="AJ134" s="79">
        <v>0</v>
      </c>
      <c r="AK134" s="79">
        <v>0</v>
      </c>
      <c r="AL134" s="79">
        <v>0</v>
      </c>
      <c r="AM134" s="79">
        <v>0</v>
      </c>
      <c r="AN134" s="77" t="s">
        <v>176</v>
      </c>
      <c r="AO134" s="79">
        <v>0</v>
      </c>
      <c r="AP134" s="79">
        <v>0</v>
      </c>
      <c r="AQ134" s="111">
        <v>0</v>
      </c>
      <c r="AR134" s="111">
        <v>0</v>
      </c>
      <c r="AS134" s="111">
        <v>0</v>
      </c>
      <c r="AT134" s="122">
        <v>413903.96</v>
      </c>
      <c r="AU134" s="122">
        <v>313403.78999999998</v>
      </c>
    </row>
    <row r="135" spans="1:51">
      <c r="A135" s="1" t="s">
        <v>47</v>
      </c>
      <c r="B135" s="5" t="s">
        <v>232</v>
      </c>
      <c r="C135" s="5" t="s">
        <v>232</v>
      </c>
      <c r="D135" s="5" t="s">
        <v>232</v>
      </c>
      <c r="E135" s="3" t="s">
        <v>49</v>
      </c>
      <c r="F135" s="3" t="s">
        <v>50</v>
      </c>
      <c r="G135" s="5" t="s">
        <v>518</v>
      </c>
      <c r="H135" s="6" t="s">
        <v>519</v>
      </c>
      <c r="I135" s="2" t="s">
        <v>95</v>
      </c>
      <c r="J135" s="2" t="s">
        <v>87</v>
      </c>
      <c r="K135" s="7">
        <v>45597</v>
      </c>
      <c r="L135" s="7" t="s">
        <v>136</v>
      </c>
      <c r="M135" s="3" t="s">
        <v>114</v>
      </c>
      <c r="N135" s="3" t="s">
        <v>56</v>
      </c>
      <c r="O135" s="112">
        <v>46499</v>
      </c>
      <c r="P135" s="112">
        <v>46857</v>
      </c>
      <c r="Q135" s="112" t="s">
        <v>57</v>
      </c>
      <c r="R135" s="3" t="str">
        <f ca="1">IF(M135="Arrojado","IPCA+6%",IF(M135="Arrojado Renda Construção","IPCA+6%",IF(M135="Arrojado Renda Usufruto","IPCA+6%",IF(M135="Moderado","IPCA+5%",IF(M135="Moderado Renda Construção","IPCA+5%",IF(M135="Moderado Renda Usufruto","IPCA+5%",IF(M135="Conservador","IPCA+4%",IF(M135="Conservador Renda Construção","IPCA+4%",IF(M135="Conservador Renda Usufruto","IPCA+4%",IF(M135="Ultraconservador","IPCA+4%",""))))))))))</f>
        <v>IPCA+5%</v>
      </c>
      <c r="S135" s="3" t="s">
        <v>59</v>
      </c>
      <c r="T135" s="3" t="s">
        <v>58</v>
      </c>
      <c r="U135" s="3" t="s">
        <v>58</v>
      </c>
      <c r="V135" s="130" t="s">
        <v>520</v>
      </c>
      <c r="W135" s="3" t="s">
        <v>58</v>
      </c>
      <c r="X135" s="3" t="s">
        <v>58</v>
      </c>
      <c r="Y135" s="3" t="s">
        <v>130</v>
      </c>
      <c r="Z135" s="114" t="s">
        <v>521</v>
      </c>
      <c r="AA135" s="78">
        <v>722051.16</v>
      </c>
      <c r="AB135" s="78">
        <v>848938.22</v>
      </c>
      <c r="AC135" s="78">
        <v>921707.5</v>
      </c>
      <c r="AD135" s="78">
        <v>1020064.06</v>
      </c>
      <c r="AE135" s="78">
        <v>1078527.8400000001</v>
      </c>
      <c r="AF135" s="78">
        <v>1130503.3500000001</v>
      </c>
      <c r="AG135" s="78">
        <v>1189880.74</v>
      </c>
      <c r="AH135" s="78">
        <v>1277766.97</v>
      </c>
      <c r="AI135" s="78">
        <v>1399184.68</v>
      </c>
      <c r="AJ135" s="78">
        <v>1516368.62</v>
      </c>
      <c r="AK135" s="78">
        <v>1359155.16</v>
      </c>
      <c r="AL135" s="78">
        <v>1435916.86</v>
      </c>
      <c r="AM135" s="78">
        <v>1575458.44</v>
      </c>
      <c r="AN135" s="111">
        <v>1593218.88</v>
      </c>
      <c r="AO135" s="78">
        <v>1673618.37</v>
      </c>
      <c r="AP135" s="78">
        <v>1822983.24</v>
      </c>
      <c r="AQ135" s="78">
        <v>1958376.009114</v>
      </c>
      <c r="AR135" s="79">
        <v>2137881.54</v>
      </c>
      <c r="AS135" s="79">
        <v>2437879</v>
      </c>
      <c r="AT135" s="122">
        <v>2663380.2560000001</v>
      </c>
      <c r="AU135" s="122">
        <v>2850272.09</v>
      </c>
    </row>
    <row r="136" spans="1:51">
      <c r="A136" s="1" t="s">
        <v>47</v>
      </c>
      <c r="B136" s="5" t="s">
        <v>522</v>
      </c>
      <c r="C136" s="5" t="s">
        <v>522</v>
      </c>
      <c r="D136" s="158" t="s">
        <v>522</v>
      </c>
      <c r="E136" s="3" t="s">
        <v>49</v>
      </c>
      <c r="F136" s="3" t="s">
        <v>50</v>
      </c>
      <c r="G136" s="5" t="s">
        <v>523</v>
      </c>
      <c r="H136" s="6" t="s">
        <v>524</v>
      </c>
      <c r="I136" s="2" t="s">
        <v>95</v>
      </c>
      <c r="J136" s="82" t="s">
        <v>87</v>
      </c>
      <c r="K136" s="7">
        <v>45848</v>
      </c>
      <c r="L136" s="7" t="s">
        <v>54</v>
      </c>
      <c r="M136" s="3" t="s">
        <v>114</v>
      </c>
      <c r="N136" s="3" t="s">
        <v>56</v>
      </c>
      <c r="O136" s="112">
        <v>47033</v>
      </c>
      <c r="P136" s="112">
        <v>47029</v>
      </c>
      <c r="Q136" s="112" t="s">
        <v>128</v>
      </c>
      <c r="R136" s="3" t="str">
        <f ca="1">IF(M136="Arrojado","IPCA+6%",IF(M136="Arrojado Renda Construção","IPCA+6%",IF(M136="Arrojado Renda Usufruto","IPCA+6%",IF(M136="Moderado","IPCA+5%",IF(M136="Moderado Renda Construção","IPCA+5%",IF(M136="Moderado Renda Usufruto","IPCA+5%",IF(M136="Conservador","IPCA+4%",IF(M136="Conservador Renda Construção","IPCA+4%",IF(M136="Conservador Renda Usufruto","IPCA+4%",IF(M136="Ultraconservador","IPCA+4%",""))))))))))</f>
        <v>IPCA+5%</v>
      </c>
      <c r="S136" s="3" t="s">
        <v>58</v>
      </c>
      <c r="T136" s="3" t="s">
        <v>58</v>
      </c>
      <c r="U136" s="3" t="s">
        <v>58</v>
      </c>
      <c r="V136" s="130" t="s">
        <v>525</v>
      </c>
      <c r="W136" s="3" t="s">
        <v>58</v>
      </c>
      <c r="X136" s="3" t="s">
        <v>59</v>
      </c>
      <c r="Y136" s="3" t="s">
        <v>61</v>
      </c>
      <c r="Z136" s="114" t="s">
        <v>526</v>
      </c>
      <c r="AA136" s="78">
        <v>0</v>
      </c>
      <c r="AB136" s="78">
        <v>0</v>
      </c>
      <c r="AC136" s="78">
        <v>0</v>
      </c>
      <c r="AD136" s="78">
        <v>0</v>
      </c>
      <c r="AE136" s="78">
        <v>0</v>
      </c>
      <c r="AF136" s="78">
        <v>0</v>
      </c>
      <c r="AG136" s="78">
        <v>0</v>
      </c>
      <c r="AH136" s="78">
        <v>0</v>
      </c>
      <c r="AI136" s="78">
        <v>0</v>
      </c>
      <c r="AJ136" s="78">
        <v>546385.92000000004</v>
      </c>
      <c r="AK136" s="78">
        <v>854462.58</v>
      </c>
      <c r="AL136" s="78">
        <v>870835.8</v>
      </c>
      <c r="AM136" s="78">
        <v>882650.44</v>
      </c>
      <c r="AN136" s="111">
        <v>888958.98</v>
      </c>
      <c r="AO136" s="78">
        <v>1021541.67</v>
      </c>
      <c r="AP136" s="78">
        <v>1033461.92</v>
      </c>
      <c r="AQ136" s="78">
        <v>1039185.408438</v>
      </c>
      <c r="AR136" s="79">
        <v>1200282.01</v>
      </c>
      <c r="AS136" s="79">
        <v>1210397</v>
      </c>
      <c r="AT136" s="122">
        <v>1219092.4879999999</v>
      </c>
      <c r="AU136" s="122">
        <v>1224039.1100000001</v>
      </c>
    </row>
    <row r="137" spans="1:51">
      <c r="A137" s="1" t="s">
        <v>132</v>
      </c>
      <c r="B137" s="5" t="s">
        <v>240</v>
      </c>
      <c r="C137" s="5" t="s">
        <v>241</v>
      </c>
      <c r="D137" s="5" t="s">
        <v>240</v>
      </c>
      <c r="E137" s="3" t="s">
        <v>49</v>
      </c>
      <c r="F137" s="3" t="s">
        <v>50</v>
      </c>
      <c r="G137" s="5" t="s">
        <v>527</v>
      </c>
      <c r="H137" s="6" t="s">
        <v>528</v>
      </c>
      <c r="I137" s="2" t="s">
        <v>72</v>
      </c>
      <c r="J137" s="2" t="s">
        <v>53</v>
      </c>
      <c r="K137" s="7"/>
      <c r="L137" s="7" t="s">
        <v>54</v>
      </c>
      <c r="M137" s="3" t="s">
        <v>114</v>
      </c>
      <c r="N137" s="3" t="s">
        <v>56</v>
      </c>
      <c r="O137" s="112">
        <v>46491</v>
      </c>
      <c r="P137" s="112">
        <v>46487</v>
      </c>
      <c r="Q137" s="112" t="s">
        <v>57</v>
      </c>
      <c r="R137" s="3" t="str">
        <f ca="1">IF(M137="Arrojado","IPCA+6%",IF(M137="Arrojado Renda Construção","IPCA+6%",IF(M137="Arrojado Renda Usufruto","IPCA+6%",IF(M137="Moderado","IPCA+5%",IF(M137="Moderado Renda Construção","IPCA+5%",IF(M137="Moderado Renda Usufruto","IPCA+5%",IF(M137="Conservador","IPCA+4%",IF(M137="Conservador Renda Construção","IPCA+4%",IF(M137="Conservador Renda Usufruto","IPCA+4%",IF(M137="Ultraconservador","IPCA+4%",""))))))))))</f>
        <v>IPCA+5%</v>
      </c>
      <c r="S137" s="3" t="s">
        <v>58</v>
      </c>
      <c r="T137" s="3" t="s">
        <v>59</v>
      </c>
      <c r="U137" s="3" t="s">
        <v>58</v>
      </c>
      <c r="V137" s="130" t="s">
        <v>243</v>
      </c>
      <c r="W137" s="3" t="s">
        <v>59</v>
      </c>
      <c r="X137" s="3" t="s">
        <v>59</v>
      </c>
      <c r="Y137" s="3" t="s">
        <v>107</v>
      </c>
      <c r="Z137" s="114" t="s">
        <v>529</v>
      </c>
      <c r="AA137" s="78">
        <v>113388.38</v>
      </c>
      <c r="AB137" s="78">
        <v>114580.02</v>
      </c>
      <c r="AC137" s="78">
        <v>115619.29</v>
      </c>
      <c r="AD137" s="78">
        <v>114649.62</v>
      </c>
      <c r="AE137" s="78">
        <v>115750.85</v>
      </c>
      <c r="AF137" s="78">
        <v>117163.39</v>
      </c>
      <c r="AG137" s="78">
        <v>118799.03</v>
      </c>
      <c r="AH137" s="78">
        <v>120259.75</v>
      </c>
      <c r="AI137" s="78">
        <v>121676.8</v>
      </c>
      <c r="AJ137" s="78">
        <v>123185.48</v>
      </c>
      <c r="AK137" s="78">
        <v>124978.86</v>
      </c>
      <c r="AL137" s="78">
        <v>126551.76</v>
      </c>
      <c r="AM137" s="78">
        <v>109367.61</v>
      </c>
      <c r="AN137" s="111">
        <v>110680.76</v>
      </c>
      <c r="AO137" s="78">
        <v>112695.76</v>
      </c>
      <c r="AP137" s="78">
        <v>113827.14</v>
      </c>
      <c r="AQ137" s="78">
        <v>115284.09</v>
      </c>
      <c r="AR137" s="111">
        <v>116265.77000000002</v>
      </c>
      <c r="AS137" s="111">
        <v>117947.45999999999</v>
      </c>
      <c r="AT137" s="122">
        <v>119246.8</v>
      </c>
      <c r="AU137" s="122">
        <v>120729.3</v>
      </c>
    </row>
    <row r="138" spans="1:51" ht="15">
      <c r="A138" s="1" t="s">
        <v>132</v>
      </c>
      <c r="B138" s="5" t="s">
        <v>82</v>
      </c>
      <c r="C138" s="5" t="s">
        <v>82</v>
      </c>
      <c r="D138" s="5" t="s">
        <v>89</v>
      </c>
      <c r="E138" s="3" t="s">
        <v>49</v>
      </c>
      <c r="F138" s="3" t="s">
        <v>50</v>
      </c>
      <c r="G138" s="5" t="s">
        <v>530</v>
      </c>
      <c r="H138" s="6" t="s">
        <v>531</v>
      </c>
      <c r="I138" s="2" t="s">
        <v>86</v>
      </c>
      <c r="J138" s="82" t="s">
        <v>87</v>
      </c>
      <c r="K138" s="7"/>
      <c r="L138" s="7" t="s">
        <v>54</v>
      </c>
      <c r="M138" s="3"/>
      <c r="N138" s="3" t="s">
        <v>66</v>
      </c>
      <c r="O138" s="112"/>
      <c r="P138" s="112"/>
      <c r="Q138" s="112" t="s">
        <v>67</v>
      </c>
      <c r="R138" s="3"/>
      <c r="S138" s="3"/>
      <c r="T138" s="3"/>
      <c r="U138" s="3"/>
      <c r="V138" s="130"/>
      <c r="W138" s="3"/>
      <c r="X138" s="3"/>
      <c r="Y138" s="3"/>
      <c r="Z138" s="114" t="s">
        <v>91</v>
      </c>
      <c r="AA138" s="78">
        <v>0</v>
      </c>
      <c r="AB138" s="78">
        <v>0</v>
      </c>
      <c r="AC138" s="78">
        <v>0</v>
      </c>
      <c r="AD138" s="78">
        <v>0</v>
      </c>
      <c r="AE138" s="78">
        <v>0</v>
      </c>
      <c r="AF138" s="78">
        <v>0</v>
      </c>
      <c r="AG138" s="78">
        <v>0</v>
      </c>
      <c r="AH138" s="78">
        <v>0</v>
      </c>
      <c r="AI138" s="78">
        <v>0</v>
      </c>
      <c r="AJ138" s="78">
        <v>0</v>
      </c>
      <c r="AK138" s="78">
        <v>0</v>
      </c>
      <c r="AL138" s="78">
        <v>0</v>
      </c>
      <c r="AM138" s="78">
        <v>0</v>
      </c>
      <c r="AN138" s="78">
        <v>0</v>
      </c>
      <c r="AO138" s="78">
        <v>0</v>
      </c>
      <c r="AP138" s="78">
        <v>0</v>
      </c>
      <c r="AQ138" s="78">
        <v>0</v>
      </c>
      <c r="AR138" s="78">
        <v>0</v>
      </c>
      <c r="AS138" s="78">
        <v>0</v>
      </c>
      <c r="AT138" s="78">
        <v>0</v>
      </c>
      <c r="AU138" s="78">
        <v>101922.8</v>
      </c>
      <c r="AW138" s="152"/>
      <c r="AX138" s="152"/>
      <c r="AY138" s="152"/>
    </row>
    <row r="139" spans="1:51">
      <c r="A139" s="1" t="s">
        <v>47</v>
      </c>
      <c r="B139" s="5" t="s">
        <v>123</v>
      </c>
      <c r="C139" s="5" t="s">
        <v>124</v>
      </c>
      <c r="D139" s="160" t="s">
        <v>532</v>
      </c>
      <c r="E139" s="3" t="s">
        <v>49</v>
      </c>
      <c r="F139" s="3" t="s">
        <v>126</v>
      </c>
      <c r="G139" s="5" t="s">
        <v>533</v>
      </c>
      <c r="H139" s="6" t="s">
        <v>534</v>
      </c>
      <c r="I139" s="2" t="s">
        <v>65</v>
      </c>
      <c r="J139" s="2" t="s">
        <v>53</v>
      </c>
      <c r="K139" s="7">
        <v>45873</v>
      </c>
      <c r="L139" s="7" t="s">
        <v>54</v>
      </c>
      <c r="M139" s="3" t="s">
        <v>105</v>
      </c>
      <c r="N139" s="3" t="s">
        <v>66</v>
      </c>
      <c r="O139" s="112">
        <v>46948</v>
      </c>
      <c r="P139" s="112">
        <v>46951</v>
      </c>
      <c r="Q139" s="112" t="s">
        <v>128</v>
      </c>
      <c r="R139" s="3" t="str">
        <f ca="1">IF(M139="Arrojado","IPCA+6%",IF(M139="Arrojado Renda Construção","IPCA+6%",IF(M139="Arrojado Renda Usufruto","IPCA+6%",IF(M139="Moderado","IPCA+5%",IF(M139="Moderado Renda Construção","IPCA+5%",IF(M139="Moderado Renda Usufruto","IPCA+5%",IF(M139="Conservador","IPCA+4%",IF(M139="Conservador Renda Construção","IPCA+4%",IF(M139="Conservador Renda Usufruto","IPCA+4%",IF(M139="Ultraconservador","IPCA+4%",""))))))))))</f>
        <v>IPCA+4%</v>
      </c>
      <c r="S139" s="3" t="s">
        <v>59</v>
      </c>
      <c r="T139" s="3" t="s">
        <v>58</v>
      </c>
      <c r="U139" s="3" t="s">
        <v>58</v>
      </c>
      <c r="V139" s="130" t="s">
        <v>129</v>
      </c>
      <c r="W139" s="3" t="s">
        <v>59</v>
      </c>
      <c r="X139" s="3" t="s">
        <v>58</v>
      </c>
      <c r="Y139" s="3" t="s">
        <v>130</v>
      </c>
      <c r="Z139" s="114" t="s">
        <v>415</v>
      </c>
      <c r="AA139" s="78">
        <v>40189677.729999997</v>
      </c>
      <c r="AB139" s="78">
        <v>40586107.07</v>
      </c>
      <c r="AC139" s="78">
        <v>41039124.009999998</v>
      </c>
      <c r="AD139" s="78">
        <v>41502654.810000002</v>
      </c>
      <c r="AE139" s="78">
        <v>41781124.770000003</v>
      </c>
      <c r="AF139" s="78">
        <v>42184720.789999999</v>
      </c>
      <c r="AG139" s="78">
        <v>42754263.799999997</v>
      </c>
      <c r="AH139" s="78">
        <v>43241444.439999998</v>
      </c>
      <c r="AI139" s="78">
        <v>43765446.729999997</v>
      </c>
      <c r="AJ139" s="78">
        <v>44271404.039999999</v>
      </c>
      <c r="AK139" s="78">
        <v>44702138.75</v>
      </c>
      <c r="AL139" s="78">
        <v>45238981.369999997</v>
      </c>
      <c r="AM139" s="78">
        <v>45830001.200000003</v>
      </c>
      <c r="AN139" s="111">
        <v>46243802.420000002</v>
      </c>
      <c r="AO139" s="78">
        <v>40122653.240000002</v>
      </c>
      <c r="AP139" s="78">
        <v>40554537.710000001</v>
      </c>
      <c r="AQ139" s="78">
        <v>76965567.124922916</v>
      </c>
      <c r="AR139" s="79">
        <v>52516733.390000001</v>
      </c>
      <c r="AS139" s="79">
        <v>52886979</v>
      </c>
      <c r="AT139" s="122">
        <v>51802595.880000003</v>
      </c>
      <c r="AU139" s="122">
        <v>45887609.990000002</v>
      </c>
    </row>
    <row r="140" spans="1:51">
      <c r="A140" s="1" t="s">
        <v>47</v>
      </c>
      <c r="B140" s="5" t="s">
        <v>125</v>
      </c>
      <c r="C140" s="5" t="s">
        <v>124</v>
      </c>
      <c r="D140" s="5" t="s">
        <v>125</v>
      </c>
      <c r="E140" s="3" t="s">
        <v>49</v>
      </c>
      <c r="F140" s="3" t="s">
        <v>212</v>
      </c>
      <c r="G140" s="5" t="s">
        <v>535</v>
      </c>
      <c r="H140" s="6" t="s">
        <v>536</v>
      </c>
      <c r="I140" s="2" t="s">
        <v>65</v>
      </c>
      <c r="J140" s="2" t="s">
        <v>53</v>
      </c>
      <c r="K140" s="7">
        <v>45866</v>
      </c>
      <c r="L140" s="7" t="s">
        <v>54</v>
      </c>
      <c r="M140" s="3" t="s">
        <v>55</v>
      </c>
      <c r="N140" s="3" t="s">
        <v>66</v>
      </c>
      <c r="O140" s="112">
        <v>46948</v>
      </c>
      <c r="P140" s="112">
        <v>46951</v>
      </c>
      <c r="Q140" s="112" t="s">
        <v>128</v>
      </c>
      <c r="R140" s="3" t="str">
        <f ca="1">IF(M140="Arrojado","IPCA+6%",IF(M140="Arrojado Renda Construção","IPCA+6%",IF(M140="Arrojado Renda Usufruto","IPCA+6%",IF(M140="Moderado","IPCA+5%",IF(M140="Moderado Renda Construção","IPCA+5%",IF(M140="Moderado Renda Usufruto","IPCA+5%",IF(M140="Conservador","IPCA+4%",IF(M140="Conservador Renda Construção","IPCA+4%",IF(M140="Conservador Renda Usufruto","IPCA+4%",IF(M140="Ultraconservador","IPCA+4%",""))))))))))</f>
        <v>IPCA+5%</v>
      </c>
      <c r="S140" s="3" t="s">
        <v>59</v>
      </c>
      <c r="T140" s="3" t="s">
        <v>58</v>
      </c>
      <c r="U140" s="3" t="s">
        <v>58</v>
      </c>
      <c r="V140" s="130" t="s">
        <v>537</v>
      </c>
      <c r="W140" s="3" t="s">
        <v>58</v>
      </c>
      <c r="X140" s="3" t="s">
        <v>58</v>
      </c>
      <c r="Y140" s="3" t="s">
        <v>130</v>
      </c>
      <c r="Z140" s="114" t="s">
        <v>415</v>
      </c>
      <c r="AA140" s="78">
        <v>5724035.4400000004</v>
      </c>
      <c r="AB140" s="78">
        <v>7050981.9299999997</v>
      </c>
      <c r="AC140" s="78">
        <v>7100455.6699999999</v>
      </c>
      <c r="AD140" s="78">
        <v>8381283.0999999996</v>
      </c>
      <c r="AE140" s="78">
        <v>7258613.6900000004</v>
      </c>
      <c r="AF140" s="78">
        <v>7536187.2300000004</v>
      </c>
      <c r="AG140" s="78">
        <v>8037733.2199999997</v>
      </c>
      <c r="AH140" s="78">
        <v>8115596.7999999998</v>
      </c>
      <c r="AI140" s="78">
        <v>8190526.8200000003</v>
      </c>
      <c r="AJ140" s="78">
        <v>8267795.1900000004</v>
      </c>
      <c r="AK140" s="78">
        <v>8337940.6699999999</v>
      </c>
      <c r="AL140" s="78">
        <v>8457664.0700000003</v>
      </c>
      <c r="AM140" s="78">
        <v>8863658.0299999993</v>
      </c>
      <c r="AN140" s="111">
        <v>8892808.7400000002</v>
      </c>
      <c r="AO140" s="78">
        <v>8552237.3399999999</v>
      </c>
      <c r="AP140" s="78">
        <v>8653907.7699999996</v>
      </c>
      <c r="AQ140" s="78">
        <v>9979883.6799959801</v>
      </c>
      <c r="AR140" s="79">
        <v>10003356.33</v>
      </c>
      <c r="AS140" s="79">
        <v>10408453</v>
      </c>
      <c r="AT140" s="122">
        <v>10489497.49</v>
      </c>
      <c r="AU140" s="122">
        <v>10563298.689999999</v>
      </c>
    </row>
    <row r="141" spans="1:51">
      <c r="A141" s="1" t="s">
        <v>47</v>
      </c>
      <c r="B141" s="5" t="s">
        <v>407</v>
      </c>
      <c r="C141" s="5" t="s">
        <v>407</v>
      </c>
      <c r="D141" s="162" t="s">
        <v>407</v>
      </c>
      <c r="E141" s="3" t="s">
        <v>49</v>
      </c>
      <c r="F141" s="3" t="s">
        <v>50</v>
      </c>
      <c r="G141" s="5" t="s">
        <v>408</v>
      </c>
      <c r="H141" s="6" t="s">
        <v>538</v>
      </c>
      <c r="I141" s="2" t="s">
        <v>120</v>
      </c>
      <c r="J141" s="2" t="s">
        <v>53</v>
      </c>
      <c r="K141" s="7">
        <v>46163</v>
      </c>
      <c r="L141" s="7" t="s">
        <v>54</v>
      </c>
      <c r="M141" s="3" t="s">
        <v>215</v>
      </c>
      <c r="N141" s="3" t="s">
        <v>56</v>
      </c>
      <c r="O141" s="112">
        <v>46383</v>
      </c>
      <c r="P141" s="112">
        <v>46383</v>
      </c>
      <c r="Q141" s="112" t="s">
        <v>128</v>
      </c>
      <c r="R141" s="3" t="str">
        <f ca="1">IF(M141="Arrojado","IPCA+6%",IF(M141="Arrojado Renda Construção","IPCA+6%",IF(M141="Arrojado Renda Usufruto","IPCA+6%",IF(M141="Moderado","IPCA+5%",IF(M141="Moderado Renda Construção","IPCA+5%",IF(M141="Moderado Renda Usufruto","IPCA+5%",IF(M141="Conservador","IPCA+4%",IF(M141="Conservador Renda Construção","IPCA+4%",IF(M141="Conservador Renda Usufruto","IPCA+4%",IF(M141="Ultraconservador","IPCA+4%",""))))))))))</f>
        <v>IPCA+4%</v>
      </c>
      <c r="S141" s="3" t="s">
        <v>58</v>
      </c>
      <c r="T141" s="3" t="s">
        <v>58</v>
      </c>
      <c r="U141" s="3" t="s">
        <v>58</v>
      </c>
      <c r="V141" s="130" t="s">
        <v>409</v>
      </c>
      <c r="W141" s="3" t="s">
        <v>58</v>
      </c>
      <c r="X141" s="3" t="s">
        <v>59</v>
      </c>
      <c r="Y141" s="3" t="s">
        <v>107</v>
      </c>
      <c r="Z141" s="114" t="s">
        <v>410</v>
      </c>
      <c r="AA141" s="78">
        <v>0</v>
      </c>
      <c r="AB141" s="78">
        <v>0</v>
      </c>
      <c r="AC141" s="78">
        <v>0</v>
      </c>
      <c r="AD141" s="78">
        <v>0</v>
      </c>
      <c r="AE141" s="78">
        <v>0</v>
      </c>
      <c r="AF141" s="78">
        <v>0</v>
      </c>
      <c r="AG141" s="78">
        <v>0</v>
      </c>
      <c r="AH141" s="78">
        <v>0</v>
      </c>
      <c r="AI141" s="78">
        <v>0</v>
      </c>
      <c r="AJ141" s="78">
        <v>0</v>
      </c>
      <c r="AK141" s="78">
        <v>0</v>
      </c>
      <c r="AL141" s="78">
        <v>0</v>
      </c>
      <c r="AM141" s="78">
        <v>0</v>
      </c>
      <c r="AN141" s="78">
        <v>0</v>
      </c>
      <c r="AO141" s="78">
        <v>0</v>
      </c>
      <c r="AP141" s="78">
        <v>0</v>
      </c>
      <c r="AQ141" s="78">
        <v>0</v>
      </c>
      <c r="AR141" s="78">
        <v>0</v>
      </c>
      <c r="AS141" s="78">
        <v>0</v>
      </c>
      <c r="AT141" s="78">
        <v>0</v>
      </c>
      <c r="AU141" s="78" t="s">
        <v>80</v>
      </c>
    </row>
    <row r="142" spans="1:51" ht="15">
      <c r="A142" s="1" t="s">
        <v>47</v>
      </c>
      <c r="B142" s="5" t="s">
        <v>247</v>
      </c>
      <c r="C142" s="5" t="s">
        <v>247</v>
      </c>
      <c r="D142" s="158" t="s">
        <v>539</v>
      </c>
      <c r="E142" s="3" t="s">
        <v>102</v>
      </c>
      <c r="F142" s="3" t="s">
        <v>126</v>
      </c>
      <c r="G142" s="5" t="s">
        <v>540</v>
      </c>
      <c r="H142" s="6" t="s">
        <v>541</v>
      </c>
      <c r="I142" s="2" t="s">
        <v>65</v>
      </c>
      <c r="J142" s="2" t="s">
        <v>53</v>
      </c>
      <c r="K142" s="7">
        <v>46051</v>
      </c>
      <c r="L142" s="7" t="s">
        <v>136</v>
      </c>
      <c r="M142" s="3" t="s">
        <v>174</v>
      </c>
      <c r="N142" s="3" t="s">
        <v>282</v>
      </c>
      <c r="O142" s="112">
        <v>46442</v>
      </c>
      <c r="P142" s="112">
        <v>46413</v>
      </c>
      <c r="Q142" s="112" t="s">
        <v>250</v>
      </c>
      <c r="R142" s="3" t="str">
        <f ca="1">IF(M142="Arrojado","IPCA+6%",IF(M142="Arrojado Renda Construção","IPCA+6%",IF(M142="Arrojado Renda Usufruto","IPCA+6%",IF(M142="Moderado","IPCA+5%",IF(M142="Moderado Renda Construção","IPCA+5%",IF(M142="Moderado Renda Usufruto","IPCA+5%",IF(M142="Conservador","IPCA+4%",IF(M142="Conservador Renda Construção","IPCA+4%",IF(M142="Conservador Renda Usufruto","IPCA+4%",IF(M142="Ultraconservador","IPCA+4%",""))))))))))</f>
        <v>IPCA+4%</v>
      </c>
      <c r="S142" s="3" t="s">
        <v>59</v>
      </c>
      <c r="T142" s="3" t="s">
        <v>58</v>
      </c>
      <c r="U142" s="3" t="s">
        <v>58</v>
      </c>
      <c r="V142" s="130" t="s">
        <v>542</v>
      </c>
      <c r="W142" s="3" t="s">
        <v>58</v>
      </c>
      <c r="X142" s="3" t="s">
        <v>58</v>
      </c>
      <c r="Y142" s="3" t="s">
        <v>107</v>
      </c>
      <c r="Z142" s="114" t="s">
        <v>543</v>
      </c>
      <c r="AA142" s="78">
        <v>0</v>
      </c>
      <c r="AB142" s="78">
        <v>0</v>
      </c>
      <c r="AC142" s="78">
        <v>0</v>
      </c>
      <c r="AD142" s="78">
        <v>0</v>
      </c>
      <c r="AE142" s="78">
        <v>0</v>
      </c>
      <c r="AF142" s="78">
        <v>0</v>
      </c>
      <c r="AG142" s="78">
        <v>1104322.3</v>
      </c>
      <c r="AH142" s="78">
        <v>1303751.56</v>
      </c>
      <c r="AI142" s="78">
        <v>3707875.03</v>
      </c>
      <c r="AJ142" s="78">
        <v>3613686.37</v>
      </c>
      <c r="AK142" s="78">
        <v>4139201.72</v>
      </c>
      <c r="AL142" s="78">
        <v>3754347.1</v>
      </c>
      <c r="AM142" s="78">
        <v>3200000</v>
      </c>
      <c r="AN142" s="111">
        <v>1502654.77</v>
      </c>
      <c r="AO142" s="78">
        <v>193.14</v>
      </c>
      <c r="AP142" s="78">
        <v>300.89</v>
      </c>
      <c r="AQ142" s="78">
        <v>300.89</v>
      </c>
      <c r="AR142" s="79">
        <v>300.89</v>
      </c>
      <c r="AS142" s="79">
        <v>300.89</v>
      </c>
      <c r="AT142" s="122">
        <v>3714892.6809999999</v>
      </c>
      <c r="AU142" s="122">
        <v>628.73</v>
      </c>
      <c r="AW142" s="152"/>
      <c r="AX142" s="152"/>
      <c r="AY142" s="152"/>
    </row>
    <row r="143" spans="1:51" ht="15">
      <c r="A143" s="1" t="s">
        <v>285</v>
      </c>
      <c r="B143" s="5" t="s">
        <v>218</v>
      </c>
      <c r="C143" s="5" t="s">
        <v>219</v>
      </c>
      <c r="D143" s="5" t="s">
        <v>218</v>
      </c>
      <c r="E143" s="3" t="s">
        <v>49</v>
      </c>
      <c r="F143" s="3" t="s">
        <v>212</v>
      </c>
      <c r="G143" s="5"/>
      <c r="H143" s="6"/>
      <c r="I143" s="2"/>
      <c r="J143" s="2"/>
      <c r="K143" s="7"/>
      <c r="L143" s="7"/>
      <c r="M143" s="3"/>
      <c r="N143" s="3"/>
      <c r="O143" s="112"/>
      <c r="P143" s="112"/>
      <c r="Q143" s="112"/>
      <c r="R143" s="3"/>
      <c r="S143" s="3"/>
      <c r="T143" s="3"/>
      <c r="U143" s="3"/>
      <c r="V143" s="130"/>
      <c r="W143" s="3"/>
      <c r="X143" s="3"/>
      <c r="Y143" s="3"/>
      <c r="Z143" s="114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>
        <v>200000</v>
      </c>
      <c r="AM143" s="77">
        <v>200000</v>
      </c>
      <c r="AN143" s="77">
        <v>200000</v>
      </c>
      <c r="AO143" s="77">
        <v>200000</v>
      </c>
      <c r="AP143" s="77">
        <v>200000</v>
      </c>
      <c r="AQ143" s="77">
        <v>200000</v>
      </c>
      <c r="AR143" s="77">
        <v>200000</v>
      </c>
      <c r="AS143" s="77">
        <v>200000</v>
      </c>
      <c r="AT143" s="77">
        <v>200000</v>
      </c>
      <c r="AU143" s="77">
        <v>200000</v>
      </c>
      <c r="AW143" s="152"/>
      <c r="AX143" s="152"/>
      <c r="AY143" s="152"/>
    </row>
  </sheetData>
  <autoFilter ref="A1:AU143" xr:uid="{00000000-0001-0000-0100-000000000000}">
    <sortState xmlns:xlrd2="http://schemas.microsoft.com/office/spreadsheetml/2017/richdata2" ref="A2:AU143">
      <sortCondition ref="H1:H143"/>
    </sortState>
  </autoFilter>
  <customSheetViews>
    <customSheetView guid="{2A7C5A02-283B-4AF0-9172-FB25C169B4CC}" filter="1" showAutoFilter="1">
      <pageMargins left="0" right="0" top="0" bottom="0" header="0" footer="0"/>
      <autoFilter ref="D2:F1093" xr:uid="{B1CB125C-C44E-4872-95E3-DF2E4245542E}"/>
    </customSheetView>
    <customSheetView guid="{B7CC4EE4-A846-4603-8481-AD2D4CB802B6}" filter="1" showAutoFilter="1">
      <pageMargins left="0" right="0" top="0" bottom="0" header="0" footer="0"/>
      <autoFilter ref="A1:AV1084" xr:uid="{C5006A96-E373-4B8E-8D3D-25A162D04AF5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62CC8C6C-AD9F-41E7-979E-A073A85214CC}"/>
    </customSheetView>
    <customSheetView guid="{9DB54CEC-7DF6-4819-98A7-5213652DB41E}" filter="1" showAutoFilter="1">
      <pageMargins left="0" right="0" top="0" bottom="0" header="0" footer="0"/>
      <autoFilter ref="A1:AW1084" xr:uid="{9369AEB8-3A59-44CC-A25B-FF649A67BE2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4A1ACE75-B47A-4780-B2CE-95FD13E07F79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0AC23C5A-2A0B-4EF3-83C9-A667E846A4E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1179A086-4205-4E68-8177-0A5C0C9B5627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C8AFD72F-03AC-4D41-9557-BF04589E7F97}"/>
    </customSheetView>
    <customSheetView guid="{182CC3BD-F05F-4640-93AB-3E742A49D2F4}" filter="1" showAutoFilter="1">
      <pageMargins left="0" right="0" top="0" bottom="0" header="0" footer="0"/>
      <autoFilter ref="A1:AU1084" xr:uid="{DD7A78F3-0213-4BE2-81AD-8540DC440D54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D1565A06-9E90-4529-AA5F-075F1741F673}"/>
    </customSheetView>
    <customSheetView guid="{8CCE7264-53B5-42E0-91A2-AC90A97DDBB0}" filter="1" showAutoFilter="1">
      <pageMargins left="0" right="0" top="0" bottom="0" header="0" footer="0"/>
      <autoFilter ref="A2:AW1084" xr:uid="{A9178385-5164-4B3B-AE1D-F8A97332F36E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45D5EAF2-3F93-42F9-9746-087F9A7BE868}"/>
    </customSheetView>
    <customSheetView guid="{C3AD15E8-13CC-456A-AB04-51AAF9E2980D}" filter="1" showAutoFilter="1">
      <pageMargins left="0" right="0" top="0" bottom="0" header="0" footer="0"/>
      <autoFilter ref="A1:AU1084" xr:uid="{5FCD54FF-CDBE-4DF8-8FB2-8ED50981D962}"/>
    </customSheetView>
    <customSheetView guid="{1B04E56E-E798-4C11-95F4-24698B8E55CF}" filter="1" showAutoFilter="1">
      <pageMargins left="0" right="0" top="0" bottom="0" header="0" footer="0"/>
      <autoFilter ref="A2:AT1084" xr:uid="{FAAAC26D-AC99-4808-8C4B-06AD30CE4AC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B0CA5816-9C16-4017-A11F-28FAB8F31EE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5D17F406-FCC9-4631-820C-B53482BA9CFB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D68D1D86-0EB7-4AE7-B776-0ACF95B5A1EE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D7A3109E-CB1A-4AA0-8C53-DC860037912D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0C61CA18-C709-412E-B12C-9D8B17E34677}"/>
    </customSheetView>
    <customSheetView guid="{0C093EF2-FE71-4A36-A5D0-0CC1ED345771}" filter="1" showAutoFilter="1">
      <pageMargins left="0" right="0" top="0" bottom="0" header="0" footer="0"/>
      <autoFilter ref="A1:AQ1088" xr:uid="{4EEFD918-8215-4E23-9B2A-FC424D17A64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EFB5A0E1-5C4F-4687-A8B9-011352D2D76C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CE9C9254-6D10-4CB9-81E2-10ADADAFF075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844FD5E9-67AA-44A5-986D-841DE712B37C}"/>
    </customSheetView>
    <customSheetView guid="{D072EB94-FC7A-42D0-92E6-38EC69ADB85A}" filter="1" showAutoFilter="1">
      <pageMargins left="0" right="0" top="0" bottom="0" header="0" footer="0"/>
      <autoFilter ref="M2:O1093" xr:uid="{690FA770-D18E-4C40-A579-227F65843922}"/>
    </customSheetView>
    <customSheetView guid="{FB88F0D5-C0C4-49EA-AA98-7E894FD09BBF}" filter="1" showAutoFilter="1">
      <pageMargins left="0" right="0" top="0" bottom="0" header="0" footer="0"/>
      <autoFilter ref="AM2:AM1093" xr:uid="{ECAEE07A-5E76-4C74-8354-B3DB76887CF1}"/>
    </customSheetView>
    <customSheetView guid="{30DCFFE6-AC46-4E31-A4DE-A50A8DB8D6EE}" filter="1" showAutoFilter="1">
      <pageMargins left="0" right="0" top="0" bottom="0" header="0" footer="0"/>
      <autoFilter ref="B2:AO1093" xr:uid="{332A4F7C-E805-409E-A740-1B85BB344308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BEE78238-DBC7-4A79-9D6C-F4E18AD6DD9F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41832AA3-7753-48AA-88D0-A525C7C72488}"/>
    </customSheetView>
    <customSheetView guid="{D8819ACB-4D4A-4A46-9E67-27B50537E1A0}" filter="1" showAutoFilter="1">
      <pageMargins left="0" right="0" top="0" bottom="0" header="0" footer="0"/>
      <autoFilter ref="A1:AQ1093" xr:uid="{0A648743-2195-4053-8EF9-AEAAE8A6C934}"/>
    </customSheetView>
    <customSheetView guid="{7EAC6D07-C079-4E1F-8351-32A4134DCF17}" filter="1" showAutoFilter="1">
      <pageMargins left="0" right="0" top="0" bottom="0" header="0" footer="0"/>
      <autoFilter ref="A1:AT1084" xr:uid="{6E5AE24E-1281-44A7-8E0D-8D466C3ADA12}"/>
    </customSheetView>
    <customSheetView guid="{EA321758-483F-4473-88B9-B2CF626E6766}" filter="1" showAutoFilter="1">
      <pageMargins left="0" right="0" top="0" bottom="0" header="0" footer="0"/>
      <autoFilter ref="A1:AQ1088" xr:uid="{125C44C8-8EC7-4885-AD02-F50B79FFBEED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6BB23F2B-91DF-4BDB-9A2A-F229BDEC1467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39DA5B76-5EA8-44A0-8185-5BE9811803F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ED288279-9220-4CFB-A5E1-C651733A973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D5D9F005-1EF7-4C65-9D6C-D3314C2DB8F3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8787839B-2801-4708-AD58-6AA7A33F9814}"/>
    </customSheetView>
    <customSheetView guid="{8D24973A-3DD4-4A65-81AA-4A3A5E1B8097}" filter="1" showAutoFilter="1">
      <pageMargins left="0" right="0" top="0" bottom="0" header="0" footer="0"/>
      <autoFilter ref="A1:AU1084" xr:uid="{8156AE34-DE3A-4533-B1DE-2BC2671BE35B}"/>
    </customSheetView>
    <customSheetView guid="{4E4B428C-7B14-45A5-8B2C-221969AE8FFF}" filter="1" showAutoFilter="1">
      <pageMargins left="0" right="0" top="0" bottom="0" header="0" footer="0"/>
      <autoFilter ref="A1:AV1084" xr:uid="{2C3FE7F9-EF96-4390-9417-C392758BFA90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715A39F1-288B-48BF-81EA-41656AE51316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72091B05-837F-4C8B-AB53-649FA0D0BD01}"/>
    </customSheetView>
    <customSheetView guid="{A38DF138-839A-4A1C-BC46-D2DEF970C3D5}" filter="1" showAutoFilter="1">
      <pageMargins left="0" right="0" top="0" bottom="0" header="0" footer="0"/>
      <autoFilter ref="A2:AU1084" xr:uid="{3B6C6018-1F8F-4BD1-8AC1-3F0F210469E5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F68111D0-FC88-4DC3-9D47-4C74AC267F91}"/>
    </customSheetView>
    <customSheetView guid="{795295AF-CFCB-4FCC-B804-2D2424BE9A49}" filter="1" showAutoFilter="1">
      <pageMargins left="0" right="0" top="0" bottom="0" header="0" footer="0"/>
      <autoFilter ref="A1:AR1088" xr:uid="{F6836101-B131-431B-880F-211981FCD3DD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9AD18338-BD39-46B1-81F1-E5146226BA13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303452AC-3C1E-4AC7-B818-80F303BE948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EF98B20F-1924-4F18-9B3E-4E06B6DA9A18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73BC2917-B76E-45CA-9A25-3CAF6DCEA55B}"/>
    </customSheetView>
    <customSheetView guid="{308A98F0-B886-4603-9AAA-7507D9F3FDF3}" filter="1" showAutoFilter="1">
      <pageMargins left="0" right="0" top="0" bottom="0" header="0" footer="0"/>
      <autoFilter ref="A1:AQ1088" xr:uid="{4EAE75DC-8FD4-4CC5-94F7-C3854F505F4D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59C14999-1940-4AFB-AC27-69DCFD64A194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367B6A56-7671-4CFF-B031-7B5E8BB0666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79647938-994B-4642-A14D-A5E0764458A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79F993A0-F9D5-459A-8782-56F9F55591B8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9F6E3B32-1085-416B-9D64-ED2D3D6D640D}"/>
    </customSheetView>
    <customSheetView guid="{71E42FA8-6CEB-4654-A089-2A9DF79B5124}" filter="1" showAutoFilter="1">
      <pageMargins left="0" right="0" top="0" bottom="0" header="0" footer="0"/>
      <autoFilter ref="B2:AN1093" xr:uid="{F636614E-D012-4E8B-9860-EA1EF5166706}"/>
    </customSheetView>
    <customSheetView guid="{4B144270-D511-4B35-9F3A-15D532C23A28}" filter="1" showAutoFilter="1">
      <pageMargins left="0" right="0" top="0" bottom="0" header="0" footer="0"/>
      <autoFilter ref="A1:AV1084" xr:uid="{96E58943-0490-421D-AB3F-039F23A517E2}"/>
    </customSheetView>
    <customSheetView guid="{76D4584F-C314-4A4E-9FC8-D8CBFFFD2BFD}" filter="1" showAutoFilter="1">
      <pageMargins left="0" right="0" top="0" bottom="0" header="0" footer="0"/>
      <autoFilter ref="B2:AL1088" xr:uid="{E7C7539A-8F35-4851-B7E7-DC81FAD82298}"/>
    </customSheetView>
    <customSheetView guid="{68027020-505F-4FEF-B89A-FA26CB86BFBD}" filter="1" showAutoFilter="1">
      <pageMargins left="0" right="0" top="0" bottom="0" header="0" footer="0"/>
      <autoFilter ref="A1:F1084" xr:uid="{4E207D0E-6F98-491F-8366-F857468FB3CE}"/>
    </customSheetView>
    <customSheetView guid="{F0BB1313-8DAB-4593-8379-B4E1E3B74303}" filter="1" showAutoFilter="1">
      <pageMargins left="0" right="0" top="0" bottom="0" header="0" footer="0"/>
      <autoFilter ref="A1:AS1084" xr:uid="{969598A1-5435-4D3C-9431-EE2986820A35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944D6D60-8C2E-4294-BF47-9B87F3A96614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D1DF006F-2F1A-418E-9F1B-FCB6E1167132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6BA47D38-E484-4D30-B482-8FE31A93608A}"/>
    </customSheetView>
    <customSheetView guid="{D79DC086-EEDD-4790-8146-D52BA9A7F131}" filter="1" showAutoFilter="1">
      <pageMargins left="0" right="0" top="0" bottom="0" header="0" footer="0"/>
      <autoFilter ref="A1:AU1084" xr:uid="{12A589A6-B319-4834-ADEE-DB70AC5FDF0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DDC0D0D4-FCD6-4B96-A043-0A2AA2F761BA}"/>
    </customSheetView>
    <customSheetView guid="{3B3B7747-6ACF-4D69-A9DA-2034D46A0C17}" filter="1" showAutoFilter="1">
      <pageMargins left="0" right="0" top="0" bottom="0" header="0" footer="0"/>
      <autoFilter ref="D2:AN1093" xr:uid="{A7B6A4DC-A5AF-431E-AC02-2BD594EED384}"/>
    </customSheetView>
    <customSheetView guid="{8EA094D4-B192-4EF2-B9D1-8FBC187F625E}" filter="1" showAutoFilter="1">
      <pageMargins left="0" right="0" top="0" bottom="0" header="0" footer="0"/>
      <autoFilter ref="B2:AO1088" xr:uid="{A205FCEA-9E73-499D-85D4-1D47B940E7DF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AB4DEDC1-2E20-40DF-8E13-6D2393FA455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81CF8404-CE7D-436F-AA76-2B7635EA936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2D9B0F67-C587-45EF-BB5C-87C320FDA87C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4671CF25-5C73-4793-9511-A956B8172CA3}"/>
    </customSheetView>
    <customSheetView guid="{81931677-6684-49E1-A5A6-0E1E7ADF1EED}" filter="1" showAutoFilter="1">
      <pageMargins left="0" right="0" top="0" bottom="0" header="0" footer="0"/>
      <autoFilter ref="B2:AP1088" xr:uid="{3DE15666-34BF-45FF-9EEC-2A4B69F55139}"/>
    </customSheetView>
    <customSheetView guid="{DD94A016-46C8-4460-B1C1-C762909060C1}" filter="1" showAutoFilter="1">
      <pageMargins left="0" right="0" top="0" bottom="0" header="0" footer="0"/>
      <autoFilter ref="A1:AU1084" xr:uid="{F885054F-D36E-4D28-819E-D34C816A6D9C}"/>
    </customSheetView>
    <customSheetView guid="{0C29AC0F-29EE-43E2-A3A9-238CF9B4E828}" filter="1" showAutoFilter="1">
      <pageMargins left="0" right="0" top="0" bottom="0" header="0" footer="0"/>
      <autoFilter ref="A2:AW1084" xr:uid="{EEF97E81-A5F5-43E2-ABAE-1148EC91B0E5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61CF7898-14F3-4FA2-A42E-897060F48FF1}"/>
    </customSheetView>
    <customSheetView guid="{8512D509-BB82-4790-B030-E04796825D6B}" filter="1" showAutoFilter="1">
      <pageMargins left="0" right="0" top="0" bottom="0" header="0" footer="0"/>
      <autoFilter ref="B2:AL1088" xr:uid="{A41708F4-518A-4046-A6BC-50308957222E}"/>
    </customSheetView>
    <customSheetView guid="{61A21088-D231-4D60-92A9-DD2E208C52FC}" filter="1" showAutoFilter="1">
      <pageMargins left="0" right="0" top="0" bottom="0" header="0" footer="0"/>
      <autoFilter ref="F2:F1093" xr:uid="{362C15BB-658F-4B0D-AEFA-428CE393C482}"/>
    </customSheetView>
    <customSheetView guid="{1B54CF81-2EE6-41A0-8DAF-9EC2BA627E83}" filter="1" showAutoFilter="1">
      <pageMargins left="0" right="0" top="0" bottom="0" header="0" footer="0"/>
      <autoFilter ref="A2:AV1084" xr:uid="{3CA668B7-7E8A-499C-B52E-B6034111BFDD}"/>
    </customSheetView>
    <customSheetView guid="{B0B99A06-0585-42AE-A3FC-8AB03D179DE1}" filter="1" showAutoFilter="1">
      <pageMargins left="0" right="0" top="0" bottom="0" header="0" footer="0"/>
      <autoFilter ref="A1:AR1093" xr:uid="{FA3E3DC3-F326-4029-B3C2-0026C04333F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505653AF-0ECF-4FB6-827A-D6D8BA2931B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97A393AA-00A9-459A-A23C-1099B18FCD11}"/>
    </customSheetView>
    <customSheetView guid="{877073CE-EDC5-4AE1-A62C-A28AC7A7A477}" filter="1" showAutoFilter="1">
      <pageMargins left="0" right="0" top="0" bottom="0" header="0" footer="0"/>
      <autoFilter ref="A1:AT1084" xr:uid="{55A5D375-73E7-447B-AB64-38F77A144A4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56EE8DBB-A62C-41D7-AB4F-C4EAB69D05FA}"/>
    </customSheetView>
    <customSheetView guid="{FFF3EAAB-FE87-47E6-83D5-BE12890C325F}" filter="1" showAutoFilter="1">
      <pageMargins left="0" right="0" top="0" bottom="0" header="0" footer="0"/>
      <autoFilter ref="A2:AW1084" xr:uid="{19270AF6-74EC-4E42-85B9-99F74810CBED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DCD33C71-4705-4A9F-B5C4-E6CF9355481E}"/>
    </customSheetView>
    <customSheetView guid="{6C4E81CA-32B3-4BD4-9A1C-F20FF8B924A7}" filter="1" showAutoFilter="1">
      <pageMargins left="0" right="0" top="0" bottom="0" header="0" footer="0"/>
      <autoFilter ref="B2:AN1088" xr:uid="{FFD2F5C5-A9C5-4EB2-9C0C-391F15123C40}"/>
    </customSheetView>
    <customSheetView guid="{B7CD9EB0-1531-40C7-9620-5B58C4DE4619}" filter="1" showAutoFilter="1">
      <pageMargins left="0" right="0" top="0" bottom="0" header="0" footer="0"/>
      <autoFilter ref="AW9:AW1080" xr:uid="{017B2B72-B983-44E8-83EF-2E5F4621012A}"/>
    </customSheetView>
    <customSheetView guid="{FEAC60D3-C159-415D-937A-4EAACDD63294}" filter="1" showAutoFilter="1">
      <pageMargins left="0" right="0" top="0" bottom="0" header="0" footer="0"/>
      <autoFilter ref="D2:F1093" xr:uid="{131B80D0-C5C3-41D6-8119-3E045B046C91}"/>
    </customSheetView>
    <customSheetView guid="{D6C27E9A-598C-47F2-8F3D-83A50A107790}" filter="1" showAutoFilter="1">
      <pageMargins left="0" right="0" top="0" bottom="0" header="0" footer="0"/>
      <autoFilter ref="A1:AQ1088" xr:uid="{2795157F-6C57-4F03-BF27-21F4F9050E40}"/>
    </customSheetView>
    <customSheetView guid="{D88A4E9B-48B4-4051-9559-DAF3073B092E}" filter="1" showAutoFilter="1">
      <pageMargins left="0" right="0" top="0" bottom="0" header="0" footer="0"/>
      <autoFilter ref="A2:AV1084" xr:uid="{DC2506EC-A7E2-4EC2-8B2A-4E428E57F03F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EAA46908-7D39-4A05-8C11-DCF33CEB9203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4DEEEF27-963E-4A89-AC1F-E14B989B02B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377E22BC-602E-432C-82F1-4D81B584D6CE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1716CFB5-6C70-4F9D-8798-C3BDBFA4F27C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45262125-1FC1-46D9-B484-D790751FF89C}"/>
    </customSheetView>
    <customSheetView guid="{24DA35F3-A183-4043-B5A3-CCE9C654A418}" filter="1" showAutoFilter="1">
      <pageMargins left="0" right="0" top="0" bottom="0" header="0" footer="0"/>
      <autoFilter ref="B2:AO1088" xr:uid="{CF01378A-C2D2-4756-834B-2C3C8CD8D633}"/>
    </customSheetView>
    <customSheetView guid="{2ACEDE0F-F9B4-496A-AEDF-A3455844D0F1}" filter="1" showAutoFilter="1">
      <pageMargins left="0" right="0" top="0" bottom="0" header="0" footer="0"/>
      <autoFilter ref="D2:K1093" xr:uid="{B4325088-EBAE-46A7-B631-7F6C10A69BEF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912E5242-2C14-4F88-87C9-5BC830D7EA7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F110C196-91B8-49F4-936B-5E02B2AD2DE6}"/>
    </customSheetView>
    <customSheetView guid="{4D7C0ACA-4002-4014-B735-851D9875261D}" filter="1" showAutoFilter="1">
      <pageMargins left="0" right="0" top="0" bottom="0" header="0" footer="0"/>
      <autoFilter ref="B2:AO1088" xr:uid="{8950E648-361A-4C71-AABF-37E4CCA495B8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EA286F72-1391-4883-86B9-6008652691E8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FFA8A3C9-1B61-4D5C-94A0-D9C668F81124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E4150E73-0AA0-4FF1-AA5A-91D4FDEFA7A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DA640EFD-B266-4A63-B8D9-261128247D3C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9E48F946-7686-4954-AE52-FA36A3222B59}"/>
    </customSheetView>
    <customSheetView guid="{BE2B38C5-3A4C-41A6-B1CE-C5BD1A554CE1}" filter="1" showAutoFilter="1">
      <pageMargins left="0" right="0" top="0" bottom="0" header="0" footer="0"/>
      <autoFilter ref="B2:AN1088" xr:uid="{8C8562F7-074B-4D21-A7D6-1645BE9774D8}"/>
    </customSheetView>
    <customSheetView guid="{C211F3C5-E62E-499E-8F63-245DA1931F27}" filter="1" showAutoFilter="1">
      <pageMargins left="0" right="0" top="0" bottom="0" header="0" footer="0"/>
      <autoFilter ref="F2:F1093" xr:uid="{F77C76F0-908A-4FC3-8686-C343C158A21A}"/>
    </customSheetView>
    <customSheetView guid="{A45E3B99-1ACB-4EBC-B2F2-64674F11650A}" filter="1" showAutoFilter="1">
      <pageMargins left="0" right="0" top="0" bottom="0" header="0" footer="0"/>
      <autoFilter ref="A1:AQ1088" xr:uid="{1E35F632-2736-4232-82B9-B76017999DC3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97EA3070-1239-4519-B9E3-C5367C094742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F98B7973-EC16-4322-A942-711A7E40C425}"/>
    </customSheetView>
    <customSheetView guid="{4CBC865C-9949-4E80-A3AA-F2F06539A76B}" filter="1" showAutoFilter="1">
      <pageMargins left="0" right="0" top="0" bottom="0" header="0" footer="0"/>
      <autoFilter ref="D2:F1093" xr:uid="{9B51EF3C-2FB7-457B-8613-C359E71587C0}"/>
    </customSheetView>
    <customSheetView guid="{7B1ED787-A94E-4CE6-A02D-6B7249291FB8}" filter="1" showAutoFilter="1">
      <pageMargins left="0" right="0" top="0" bottom="0" header="0" footer="0"/>
      <autoFilter ref="A1:AW1088" xr:uid="{651E10AA-E0C0-495A-A0BE-1F1A08DD57D3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E168F0D3-DF32-4EF0-BD2C-A3BEC036B371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4CCB305B-BC6E-40B9-B24B-5623058274B5}"/>
    </customSheetView>
    <customSheetView guid="{627C91B2-712F-4DFB-B495-28BCEA46E4E2}" filter="1" showAutoFilter="1">
      <pageMargins left="0" right="0" top="0" bottom="0" header="0" footer="0"/>
      <autoFilter ref="A1:AU1084" xr:uid="{95D9B4FC-B223-4F63-BC2E-B9EB21018B2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02905CBE-ECA1-4997-80F3-8BDEC1E79BAA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B8283385-7733-4BF7-BDEC-C392D8AD172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70D58B3B-288D-4833-9062-28846EBBEDF8}"/>
    </customSheetView>
    <customSheetView guid="{AEA42E9C-6B35-4C80-9D55-A52D57DB8C78}" filter="1" showAutoFilter="1">
      <pageMargins left="0" right="0" top="0" bottom="0" header="0" footer="0"/>
      <autoFilter ref="A1:AW1084" xr:uid="{65B0A0EE-D7F1-41A5-B655-B8525AC7282D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1E7CA973-B503-482B-943B-9938F3F93FD5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9B8AAD2A-3E35-46DA-AE73-05C9BD92E116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DF274A63-8A64-43AA-91B8-F06F3C846BF3}"/>
    </customSheetView>
    <customSheetView guid="{88E135A6-EC14-4A9F-8810-3E1BF8B05913}" filter="1" showAutoFilter="1">
      <pageMargins left="0" right="0" top="0" bottom="0" header="0" footer="0"/>
      <autoFilter ref="A1:AW1084" xr:uid="{3480047C-3DB0-4DC6-8475-A26AF9DCACC3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3B0457BE-2697-4D46-9FFC-8465F616255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45BA7123-07D6-4739-A0E9-B57487FE845A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DB75C7C5-4BBC-434F-8B54-E6A45D6B4D89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9A701C04-9A9E-4869-AEEB-E5011B7FA3FD}"/>
    </customSheetView>
    <customSheetView guid="{423FEFF5-1271-4E5E-909E-F26C45E4687E}" filter="1" showAutoFilter="1">
      <pageMargins left="0" right="0" top="0" bottom="0" header="0" footer="0"/>
      <autoFilter ref="A1:AR1093" xr:uid="{5943570F-EA51-4E2D-BD76-9E32C833717A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93608F5C-0DE7-4D26-AC6D-59DDF9A93251}"/>
    </customSheetView>
    <customSheetView guid="{48BEEF85-2E21-4F6B-AD21-18C6672F750C}" filter="1" showAutoFilter="1">
      <pageMargins left="0" right="0" top="0" bottom="0" header="0" footer="0"/>
      <autoFilter ref="A1:AR1093" xr:uid="{7FAF7574-E3FC-4DF4-9F72-56296C50BE72}"/>
    </customSheetView>
    <customSheetView guid="{C1014A19-3732-468D-8008-9FAAA22884BA}" filter="1" showAutoFilter="1">
      <pageMargins left="0" right="0" top="0" bottom="0" header="0" footer="0"/>
      <autoFilter ref="A1:AU1084" xr:uid="{C42123BC-A831-4F4E-AA40-F752016CBC9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5CA67318-1CE3-4584-A20D-483673BEDBE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1ED12804-6FC3-4C23-A44B-520A701EDAF8}"/>
    </customSheetView>
    <customSheetView guid="{DB05EF65-D7B5-4DD6-8F09-01BC4E20BF15}" filter="1" showAutoFilter="1">
      <pageMargins left="0" right="0" top="0" bottom="0" header="0" footer="0"/>
      <autoFilter ref="A2:AU1084" xr:uid="{DB7D4ED6-93F4-4CD8-BAB7-A011DA3F2880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4FB36E58-2199-47CD-9781-D52A93DEC8C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B2A0850B-8FCA-4D3A-A9AC-F67592C0DB4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A0B84DC7-7D56-4555-AFB1-1F6938D70FFE}"/>
    </customSheetView>
    <customSheetView guid="{11E82F7A-A513-409C-8889-85D2D04EAA93}" filter="1" showAutoFilter="1">
      <pageMargins left="0" right="0" top="0" bottom="0" header="0" footer="0"/>
      <autoFilter ref="B2:AN1088" xr:uid="{18507FD7-ADF5-4060-ACEA-7C4EA1A1AD90}"/>
    </customSheetView>
    <customSheetView guid="{E22319CF-3753-47A5-B289-E2A97398BB8E}" filter="1" showAutoFilter="1">
      <pageMargins left="0" right="0" top="0" bottom="0" header="0" footer="0"/>
      <autoFilter ref="B2:AO1088" xr:uid="{A827DF9F-6C6F-4DBB-B20C-B88751B7AEC6}"/>
    </customSheetView>
    <customSheetView guid="{A2DA313D-541E-4594-B799-3E48419A20BA}" filter="1" showAutoFilter="1">
      <pageMargins left="0" right="0" top="0" bottom="0" header="0" footer="0"/>
      <autoFilter ref="A2:AV1084" xr:uid="{8ACB7FDD-980D-4E4B-BB54-C4947D0926AD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1FE95AE9-17AE-4641-B232-B28E503CB74A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81C17F7F-CB39-4491-9183-9142BECC71EE}"/>
    </customSheetView>
    <customSheetView guid="{8D824072-7468-4CA8-93C5-C695445D9E65}" filter="1" showAutoFilter="1">
      <pageMargins left="0" right="0" top="0" bottom="0" header="0" footer="0"/>
      <autoFilter ref="A1:AV1084" xr:uid="{277E6FFC-BB13-4CDA-A4B4-9415CC672670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40694EDB-7417-4532-A433-180B1025DCD0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784E0DCC-EFAE-4FD4-98ED-6CA6EB6CE319}"/>
    </customSheetView>
    <customSheetView guid="{4F2CCAF3-97EF-4C30-8A9B-B6C17B3875D4}" filter="1" showAutoFilter="1">
      <pageMargins left="0" right="0" top="0" bottom="0" header="0" footer="0"/>
      <autoFilter ref="A2:AW1084" xr:uid="{5224C165-3481-423D-978E-2D72034F85B6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A9B7ED46-D1CD-4D75-B4A6-57FFCFF755FD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4B67BE8C-0DC4-4BCB-A3A7-C2D4F8742665}"/>
    </customSheetView>
    <customSheetView guid="{6739707D-6665-4B91-A403-33028D89D80B}" filter="1" showAutoFilter="1">
      <pageMargins left="0" right="0" top="0" bottom="0" header="0" footer="0"/>
      <autoFilter ref="Q2:Q1093" xr:uid="{0DBA5507-50C8-47B9-B24B-E0DD2546F9EA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F9A03E10-558C-4789-A7B3-4D958CEB7E7B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964CC56D-7AF1-4B08-A8C2-72FCA80A57A8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BBA9945F-56C2-4962-9118-CDFBE4F09927}"/>
    </customSheetView>
    <customSheetView guid="{696FAB15-B4B8-48BE-8F83-E6C9E9CE8934}" filter="1" showAutoFilter="1">
      <pageMargins left="0" right="0" top="0" bottom="0" header="0" footer="0"/>
      <autoFilter ref="B2:AL1088" xr:uid="{1F4BD85B-B51A-4674-BD44-5433BA63BC4D}"/>
    </customSheetView>
    <customSheetView guid="{3D93ED61-EE7D-4D34-AA35-E3A99D2818CC}" filter="1" showAutoFilter="1">
      <pageMargins left="0" right="0" top="0" bottom="0" header="0" footer="0"/>
      <autoFilter ref="A1:AT1084" xr:uid="{E52F548E-DD32-4510-A009-54045DCD2DA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C9CFB183-ED71-476E-B2AA-D0C1617FBEE2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599C08A6-FD4B-4CAB-BDCC-A3DE7FB6C6F1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94A97EF1-15A4-4C38-A2FC-679CB2790EE7}"/>
    </customSheetView>
    <customSheetView guid="{3D664E02-DE09-446D-8677-45A9E129B71A}" filter="1" showAutoFilter="1">
      <pageMargins left="0" right="0" top="0" bottom="0" header="0" footer="0"/>
      <autoFilter ref="A1:AV1084" xr:uid="{714FF7AA-8E46-4B61-9D34-8E806ADF22D4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C9D33826-F575-4F9B-9534-06CCAD2F9BC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4DFCE467-D1D4-4961-A321-A19D3950A0B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93510B2B-A458-406E-A294-236636855E4C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C1375661-929A-4DBD-8B50-87C2712A3A3F}"/>
    </customSheetView>
    <customSheetView guid="{18202B43-11E2-4360-89B4-BC3A5A4F1DF4}" filter="1" showAutoFilter="1">
      <pageMargins left="0" right="0" top="0" bottom="0" header="0" footer="0"/>
      <autoFilter ref="A1:AT1084" xr:uid="{AF9CFDB7-0897-479A-8FAA-B3C7DAAFE62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28197B42-3938-4516-A298-63D28F7913F4}"/>
    </customSheetView>
    <customSheetView guid="{467CCEEF-C32B-435C-B4B4-C5C520204D0A}" filter="1" showAutoFilter="1">
      <pageMargins left="0" right="0" top="0" bottom="0" header="0" footer="0"/>
      <autoFilter ref="B2:AN1088" xr:uid="{43E320AC-D5A3-4369-81FA-81AA3A97ED8F}"/>
    </customSheetView>
    <customSheetView guid="{F0BD57BC-C164-490A-B83D-B897FA0D5D2A}" filter="1" showAutoFilter="1">
      <pageMargins left="0" right="0" top="0" bottom="0" header="0" footer="0"/>
      <autoFilter ref="J1:P1082" xr:uid="{8CD21535-999C-48F1-940D-344448B967E0}"/>
    </customSheetView>
    <customSheetView guid="{56AFD506-F86B-4274-811D-793BB20DD9D3}" filter="1" showAutoFilter="1">
      <pageMargins left="0" right="0" top="0" bottom="0" header="0" footer="0"/>
      <autoFilter ref="B2:AO1088" xr:uid="{D534AA50-BF17-4FBB-8111-C1DEE0372AA1}"/>
    </customSheetView>
    <customSheetView guid="{D0F7634C-C90D-415B-A49E-CA2B2308DD43}" filter="1" showAutoFilter="1">
      <pageMargins left="0" right="0" top="0" bottom="0" header="0" footer="0"/>
      <autoFilter ref="B2:AL1088" xr:uid="{DC254D40-87BD-4A3B-A52E-E5B003CBE1A8}"/>
    </customSheetView>
    <customSheetView guid="{F5E5ED4E-DF60-4BBD-B24F-5EA09E18D40C}" filter="1" showAutoFilter="1">
      <pageMargins left="0" right="0" top="0" bottom="0" header="0" footer="0"/>
      <autoFilter ref="B2:AN1093" xr:uid="{4B74F2AE-517E-40C4-95F9-5F4243BEB6FF}"/>
    </customSheetView>
    <customSheetView guid="{123EA29C-8E07-4455-925A-02BED419E6D8}" filter="1" showAutoFilter="1">
      <pageMargins left="0" right="0" top="0" bottom="0" header="0" footer="0"/>
      <autoFilter ref="A1:AW1084" xr:uid="{7EC52AB5-0268-43E8-8DE2-BDD11E51F93A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001C5535-C2E5-4B1E-916C-79D2F97DC252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6DEC410B-CD7A-4473-82AC-C0EEDE319392}"/>
    </customSheetView>
    <customSheetView guid="{D0D5036C-A5B8-48C9-99F2-3378B99CD86A}" filter="1" showAutoFilter="1">
      <pageMargins left="0" right="0" top="0" bottom="0" header="0" footer="0"/>
      <autoFilter ref="D2:F1093" xr:uid="{9BF52044-836B-44A6-B27A-024DEC86C58E}"/>
    </customSheetView>
    <customSheetView guid="{1CC9FC42-DA3F-4C4C-8D11-5290D572985F}" filter="1" showAutoFilter="1">
      <pageMargins left="0" right="0" top="0" bottom="0" header="0" footer="0"/>
      <autoFilter ref="AN2:AN1093" xr:uid="{5299263E-4BA3-4782-82A8-738C7AA569ED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538ABD9A-0A02-41A2-BEBE-A5CC53453371}"/>
    </customSheetView>
    <customSheetView guid="{DFF4B50E-01D0-4A0A-B926-259FB09F099F}" filter="1" showAutoFilter="1">
      <pageMargins left="0" right="0" top="0" bottom="0" header="0" footer="0"/>
      <autoFilter ref="A1:AQ1088" xr:uid="{F9DDAFB3-2CA3-4029-B783-E06C2B278C2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8A835A79-25BA-48A9-8FF9-C995DDC7DEAC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D832B3AD-CD12-43DB-AFD1-172E408B0EB0}"/>
    </customSheetView>
    <customSheetView guid="{1FE7E5D8-7F24-4EC5-B50B-B798FF734343}" filter="1" showAutoFilter="1">
      <pageMargins left="0" right="0" top="0" bottom="0" header="0" footer="0"/>
      <autoFilter ref="B2:AO1093" xr:uid="{FB10015E-5B93-4CF6-AD46-2552A0497E9C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174B506D-9D43-4589-8C37-7F334FE943D7}"/>
    </customSheetView>
  </customSheetViews>
  <conditionalFormatting sqref="I2:I14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2:X143 W2:X123 S2:U143" xr:uid="{7E05ADEF-906B-4B8C-BFD3-D5BEDE6EC5B1}">
      <formula1>"SIM,NÃO"</formula1>
    </dataValidation>
    <dataValidation type="list" allowBlank="1" showErrorMessage="1" sqref="E2:E99 E101 E104:E107 E109:E143" xr:uid="{00000000-0002-0000-0100-00000A000000}">
      <formula1>"PF,PJ"</formula1>
    </dataValidation>
    <dataValidation type="list" allowBlank="1" showErrorMessage="1" sqref="M122:M143 M120 M2:M99" xr:uid="{B571CED6-4C8C-4309-B97D-882D358D5390}">
      <formula1>"CONSERVADORA,MODERADA,ARROJADA, PERFIL PRÓPRIO"</formula1>
    </dataValidation>
    <dataValidation type="list" allowBlank="1" showErrorMessage="1" sqref="N2:N99 N123:N143" xr:uid="{6A49A2B5-7939-42F5-ABCE-62A75731815C}">
      <formula1>"CONSERVADOR,MODERADO,ARROJADO"</formula1>
    </dataValidation>
    <dataValidation type="list" allowBlank="1" showErrorMessage="1" sqref="Y132:Y143 Y2:Y123" xr:uid="{2877BC9A-30DB-4CD2-9FDA-EFB0FCF12AAD}">
      <formula1>"Não,Brasil,Offshore,Brasil e Offshore"</formula1>
    </dataValidation>
    <dataValidation type="list" allowBlank="1" showInputMessage="1" showErrorMessage="1" sqref="L123:L142 L87:L99 L2:L4 L6:L85" xr:uid="{A19A61EA-106D-4FEE-989B-053C7A038953}">
      <formula1>"Curva,Mercardo"</formula1>
    </dataValidation>
    <dataValidation type="list" allowBlank="1" showInputMessage="1" showErrorMessage="1" sqref="L86 L5 L143" xr:uid="{35446362-A3E4-483E-B03B-40757E1BC650}">
      <formula1>"CURVA,MERCADO"</formula1>
    </dataValidation>
    <dataValidation type="list" allowBlank="1" showErrorMessage="1" sqref="F2:F143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59" r:id="rId1" xr:uid="{B9FCAF39-7CD7-45D7-96BF-16A23A94DEB1}"/>
    <hyperlink ref="Z120" r:id="rId2" xr:uid="{CD7A95CA-E293-4E4C-846E-88481A882DC2}"/>
    <hyperlink ref="Z83" r:id="rId3" xr:uid="{29F3CA6B-7201-4135-A066-FACBACE58660}"/>
    <hyperlink ref="Z119" r:id="rId4" xr:uid="{AD0E2F89-B4C1-4C10-B3A6-EE720DC5BA2C}"/>
    <hyperlink ref="Z137" r:id="rId5" xr:uid="{E3A8BBA2-EB5C-411F-9449-AAA2F876F790}"/>
    <hyperlink ref="Z117" r:id="rId6" xr:uid="{220F73A3-4733-4AFF-9D5E-48A66C5E09BC}"/>
    <hyperlink ref="Z116" r:id="rId7" xr:uid="{65EB4768-3813-40A6-A00F-30B0CEF24DBE}"/>
    <hyperlink ref="Z22" r:id="rId8" xr:uid="{5518C222-3B1E-4BC9-9F26-DEE4B16DAD04}"/>
    <hyperlink ref="Z84" r:id="rId9" xr:uid="{D475446E-797E-4234-AF53-587211C90A7C}"/>
    <hyperlink ref="Z61" r:id="rId10" xr:uid="{5E440C11-46B7-4F8F-8CDD-E0790F4AD968}"/>
    <hyperlink ref="Z44" r:id="rId11" xr:uid="{F9C807A6-C7D5-47A9-84A6-8BC3103AAEB8}"/>
    <hyperlink ref="Z51" r:id="rId12" xr:uid="{2BBD4653-F5FB-4FE3-B779-50F692FCC8D3}"/>
    <hyperlink ref="Z37" r:id="rId13" xr:uid="{F5C882DB-3D8E-44E2-9CA2-2D12C1F4765C}"/>
    <hyperlink ref="Z48" r:id="rId14" xr:uid="{B3CAFE97-8F41-4B8A-80A6-AFC63859A031}"/>
    <hyperlink ref="Z47" r:id="rId15" xr:uid="{674A5C3A-4AC4-4EEB-A61A-6AADD52EFAD8}"/>
    <hyperlink ref="Z23" r:id="rId16" xr:uid="{BA2E8243-9685-449C-83FD-64121254232D}"/>
    <hyperlink ref="Z14" r:id="rId17" xr:uid="{0FA1CE01-079D-4C04-B9AC-C173FF36DB2F}"/>
    <hyperlink ref="Z43" r:id="rId18" xr:uid="{AA4E8949-227D-4585-BFB2-D6E5F448CB8E}"/>
    <hyperlink ref="Z73" r:id="rId19" xr:uid="{AEBAA265-5E91-4833-B267-47E5D77328F9}"/>
    <hyperlink ref="Z46" r:id="rId20" xr:uid="{6D866FF9-FBF0-4B60-8E53-F76874AFB6E5}"/>
    <hyperlink ref="Z102" r:id="rId21" xr:uid="{011248D5-BD06-47C8-B414-C449F1B2FB08}"/>
    <hyperlink ref="Z21" r:id="rId22" xr:uid="{52B7187C-2BA1-433C-BA02-FC44BF23C0AD}"/>
    <hyperlink ref="Z58" r:id="rId23" xr:uid="{9C01F2AB-1E4F-49D3-AAB9-AEAEFA87345A}"/>
    <hyperlink ref="Z111" r:id="rId24" xr:uid="{DF5A181B-F9E2-4D47-B8E6-3F985126272B}"/>
    <hyperlink ref="Z26" r:id="rId25" xr:uid="{1B7E6100-FA29-406B-9954-6C1798BD3890}"/>
    <hyperlink ref="Z140" r:id="rId26" xr:uid="{AF118693-2F89-4007-91FB-1313D45F3001}"/>
    <hyperlink ref="Z139" r:id="rId27" xr:uid="{6E1316FB-5E73-4E5F-A23B-33A6673C66DC}"/>
    <hyperlink ref="Z33" r:id="rId28" xr:uid="{AA214061-66D0-4380-9596-B2A2B56BF7D3}"/>
    <hyperlink ref="Z105" r:id="rId29" xr:uid="{185DBA1F-1986-4B28-BAE7-A1D9F58D0F8F}"/>
    <hyperlink ref="Z77" r:id="rId30" xr:uid="{86F794B8-4FE0-4D84-9291-D5837BF03B2E}"/>
    <hyperlink ref="Z95" r:id="rId31" xr:uid="{3F163013-026B-4679-9B47-F063F854EA8F}"/>
    <hyperlink ref="Z91" r:id="rId32" xr:uid="{9007D61A-FDDF-4336-98CE-95287DA763BA}"/>
    <hyperlink ref="Z8" r:id="rId33" xr:uid="{668D05BC-8766-4646-9264-98FCB5975985}"/>
    <hyperlink ref="Z40" r:id="rId34" xr:uid="{B09C5003-5122-4FCF-BDB3-E8886FAD41BB}"/>
    <hyperlink ref="Z135" r:id="rId35" xr:uid="{6DCB2B4F-E504-4C92-8895-41FFE0A3EC30}"/>
    <hyperlink ref="Z52" r:id="rId36" xr:uid="{0DB02CB1-44FF-4F62-BD53-C4B4C2643273}"/>
    <hyperlink ref="Z64" r:id="rId37" xr:uid="{B2288200-C85F-432E-B7E4-CC7DB1C7FD2B}"/>
    <hyperlink ref="Z25" r:id="rId38" xr:uid="{A3F32AC8-F8E4-40E0-9508-2B99673A053A}"/>
    <hyperlink ref="Z74" r:id="rId39" xr:uid="{98AB2018-000D-48DC-80A0-6249F9194149}"/>
    <hyperlink ref="Z87" r:id="rId40" xr:uid="{A13E1602-B269-4242-B8C7-07DD55005758}"/>
    <hyperlink ref="Z71" r:id="rId41" xr:uid="{8F29D2DF-E1A7-4AAB-93CF-C7EC63D1E85D}"/>
    <hyperlink ref="Z110" r:id="rId42" xr:uid="{D0BF54BC-FD41-4A5D-823E-114E814C3A6A}"/>
    <hyperlink ref="Z72" r:id="rId43" xr:uid="{DDB123A3-1F4F-4A03-9E89-8EF27840EB2C}"/>
    <hyperlink ref="Z39" r:id="rId44" xr:uid="{A7A46462-BA34-41B3-8D5C-C47025E0037A}"/>
    <hyperlink ref="Z5" r:id="rId45" xr:uid="{75195E44-B22F-47EE-8E1C-E29BBA1809B1}"/>
    <hyperlink ref="Z81" r:id="rId46" xr:uid="{468FB05A-12FF-4744-A448-1E125C9714CB}"/>
    <hyperlink ref="Z63" r:id="rId47" xr:uid="{2F99DCB8-BC67-49E9-90F1-C6B9F135E30C}"/>
    <hyperlink ref="Z123" r:id="rId48" xr:uid="{CC5DAD9D-FDB0-408B-BA5D-78C147491563}"/>
    <hyperlink ref="Z94" r:id="rId49" xr:uid="{B2D1551F-C743-4903-824E-B3278EECFB54}"/>
    <hyperlink ref="Z20" r:id="rId50" xr:uid="{5E7B1EB4-99B0-4BF1-96A7-F16C6AB4C6CB}"/>
    <hyperlink ref="Z31" r:id="rId51" xr:uid="{5EFD1FF6-FBF6-4348-AD9A-B88143F57D01}"/>
    <hyperlink ref="Z68" r:id="rId52" xr:uid="{9C6CF4F1-EF52-4822-8CD6-A94304A63449}"/>
    <hyperlink ref="Z35" r:id="rId53" xr:uid="{EDD8B315-92BE-48F9-B8D1-9B7DAEB6D40D}"/>
    <hyperlink ref="Z50" r:id="rId54" xr:uid="{AC648006-F4E5-4AD7-A594-EB0A1BE88194}"/>
    <hyperlink ref="Z122" r:id="rId55" xr:uid="{C4A92BD6-7F1C-4B07-814B-369C909C31AE}"/>
    <hyperlink ref="Z28" r:id="rId56" xr:uid="{C4E858D5-5C09-446E-923C-F80444EE6E3D}"/>
    <hyperlink ref="Z99" r:id="rId57" xr:uid="{51933888-D6BE-4D9D-85B3-357D891F3038}"/>
    <hyperlink ref="Z17" r:id="rId58" xr:uid="{1E711D40-8462-4AF0-94ED-587CD29A1B18}"/>
    <hyperlink ref="Z55" r:id="rId59" xr:uid="{ECBDF0A9-CCFC-418A-9250-85F68FDD54D4}"/>
    <hyperlink ref="Z113" r:id="rId60" xr:uid="{7A15663A-B735-4B27-8089-856F87D9C02D}"/>
    <hyperlink ref="Z32" r:id="rId61" xr:uid="{24FEC216-C531-432B-B932-8C3548D24036}"/>
    <hyperlink ref="Z41" r:id="rId62" xr:uid="{6D6A86A6-CC36-473E-99D4-D3B04F2B6C75}"/>
    <hyperlink ref="Z103" r:id="rId63" xr:uid="{BB07DAFE-F909-41F2-BBD3-452817D98B2B}"/>
    <hyperlink ref="Z4" r:id="rId64" xr:uid="{6B48430E-36FF-4173-9DE5-51764C699D96}"/>
    <hyperlink ref="Z76" r:id="rId65" xr:uid="{E26DC42E-CC57-46BE-8218-B3226EAA7D89}"/>
    <hyperlink ref="Z11" r:id="rId66" xr:uid="{5D84820E-78C7-411E-8702-1C26733B8271}"/>
    <hyperlink ref="Z18" r:id="rId67" xr:uid="{86175E58-0C44-4673-B504-06803F36EC19}"/>
    <hyperlink ref="Z90" r:id="rId68" xr:uid="{D00B4B46-EEB1-4907-A415-BE0ADEB385A1}"/>
    <hyperlink ref="Z89" r:id="rId69" xr:uid="{CA773925-C46D-4A9A-AFD0-32380F5D5371}"/>
    <hyperlink ref="Z12" r:id="rId70" xr:uid="{8A816843-2D12-47C4-9C5D-3EF95B127923}"/>
    <hyperlink ref="Z2" r:id="rId71" xr:uid="{4A61113A-F5D4-40D2-85E2-AD97B05FAABC}"/>
    <hyperlink ref="Z98" r:id="rId72" xr:uid="{9FAC421C-A7D3-4AC2-951C-650C702D46C0}"/>
    <hyperlink ref="Z27" r:id="rId73" xr:uid="{5E0802E2-F742-4109-9F69-A438623D71E3}"/>
    <hyperlink ref="Z142" r:id="rId74" xr:uid="{82BB5485-44E4-4155-865B-1F6CB6250CF1}"/>
    <hyperlink ref="Z36" r:id="rId75" xr:uid="{2727DFDB-C306-4E63-812B-06CC7E9E0EA5}"/>
    <hyperlink ref="Z109" r:id="rId76" xr:uid="{3AC87399-D892-4FB4-A7B9-F4B2C6A8B169}"/>
    <hyperlink ref="Z42" r:id="rId77" xr:uid="{2B8E3B0D-A451-4019-AF8A-91EC7F2BE7F7}"/>
    <hyperlink ref="Z136" r:id="rId78" xr:uid="{7746D76D-976E-474E-9761-506B525183B9}"/>
    <hyperlink ref="Z3" r:id="rId79" xr:uid="{C88F75B2-5A80-454F-B1BC-3D6E6BC8A59A}"/>
    <hyperlink ref="Z10" r:id="rId80" xr:uid="{B28D8030-DB92-4FEC-ACE3-0D569194ED62}"/>
    <hyperlink ref="Z67" r:id="rId81" xr:uid="{D28DB264-C09D-43F7-97E7-B22BEB30BDAF}"/>
    <hyperlink ref="Z131" r:id="rId82" xr:uid="{46A9A50F-74E7-41B2-8A6A-DE591DC46160}"/>
    <hyperlink ref="Z97" r:id="rId83" xr:uid="{08B706F0-A743-4D1C-AFB6-38A33C7B9C0F}"/>
    <hyperlink ref="Z100" r:id="rId84" xr:uid="{10B1E0D7-F509-48B8-BB98-88B11A744DB6}"/>
    <hyperlink ref="Z124" r:id="rId85" xr:uid="{2AB43130-9AC0-43BB-B311-7C63D9EB14ED}"/>
    <hyperlink ref="Z126" r:id="rId86" xr:uid="{B3605A86-1104-4CCB-A9E4-09DC11D52A61}"/>
    <hyperlink ref="Z134" r:id="rId87" xr:uid="{8DD7099F-C234-4C28-BD46-01AE2109277A}"/>
    <hyperlink ref="Z7" r:id="rId88" xr:uid="{CE5DAF6B-3CC1-4AD7-88C1-C972BB3CDF02}"/>
    <hyperlink ref="Z60" r:id="rId89" xr:uid="{B5748506-20A2-49A5-BDEF-AB626264F12A}"/>
    <hyperlink ref="Z15" r:id="rId90" xr:uid="{D05672D7-330E-40BF-8FD7-7C635296F49A}"/>
    <hyperlink ref="Z96" r:id="rId91" xr:uid="{800E355B-EB0D-4B35-875A-8DAC537E7B78}"/>
    <hyperlink ref="Z6" r:id="rId92" xr:uid="{EA8973E9-676D-42DA-A727-7F13197CD0BE}"/>
    <hyperlink ref="Z57" r:id="rId93" xr:uid="{0681882E-826E-49C0-B47A-4C39245485BB}"/>
    <hyperlink ref="Z9" r:id="rId94" xr:uid="{FD70D669-25CC-49CB-ADCD-5C592C592D3B}"/>
    <hyperlink ref="Z13" r:id="rId95" xr:uid="{A814B8DC-20B0-4B1D-B529-D09F86091C2C}"/>
    <hyperlink ref="Z16" r:id="rId96" xr:uid="{6673F47F-A9C5-4175-815B-88EECACEDA81}"/>
    <hyperlink ref="Z19" r:id="rId97" xr:uid="{1A2430AD-C1EE-4BC6-808D-F4D387FA10FC}"/>
    <hyperlink ref="Z24" r:id="rId98" xr:uid="{D820DC4E-AC7E-42E3-B10E-C79BADB99A97}"/>
    <hyperlink ref="Z30" r:id="rId99" xr:uid="{87BC4821-E34C-4B0A-8811-52D88E698731}"/>
    <hyperlink ref="Z29" r:id="rId100" xr:uid="{922A8E04-AF0C-4A4F-A722-3FA2BE5FEC23}"/>
    <hyperlink ref="Z34" r:id="rId101" xr:uid="{463526C9-D104-4B5F-BC1A-4F04B53DA05A}"/>
    <hyperlink ref="Z38" r:id="rId102" xr:uid="{8E02C545-EDAB-472E-BE93-0D1E50ECB77D}"/>
    <hyperlink ref="Z49" r:id="rId103" xr:uid="{F38F287A-F3C1-4B6A-B196-1EE1C8C3148B}"/>
    <hyperlink ref="Z62" r:id="rId104" xr:uid="{12E20717-ACD1-4EA3-B72D-F9C1FD58587B}"/>
    <hyperlink ref="Z65" r:id="rId105" xr:uid="{34554B54-1BE1-49F8-8B09-A8CA31E30EE1}"/>
    <hyperlink ref="Z66" r:id="rId106" xr:uid="{2A6AD629-E32F-41BD-9400-9AACC989DEF4}"/>
    <hyperlink ref="Z69" r:id="rId107" xr:uid="{DB60EE20-FA65-43E4-AFAA-969693F7F072}"/>
    <hyperlink ref="Z79" r:id="rId108" xr:uid="{B37AFA97-FA55-4E7B-B9A6-E99BCB2EAE38}"/>
    <hyperlink ref="Z78" r:id="rId109" xr:uid="{1655545F-EF8E-4B5B-A714-AB58FAD1F9CD}"/>
    <hyperlink ref="Z80" r:id="rId110" xr:uid="{F83F2F6D-7A15-44C4-9FAC-EE4A25D1869B}"/>
    <hyperlink ref="Z93" r:id="rId111" xr:uid="{F281B5ED-3BC2-4C01-B5FE-DDF13A2B73F9}"/>
    <hyperlink ref="Z92" r:id="rId112" xr:uid="{8E59DA51-C4B7-4D80-BBFC-491BC83F9981}"/>
    <hyperlink ref="Z101" r:id="rId113" xr:uid="{8E8162F5-3AB4-4ADE-AE85-53EA96601B59}"/>
    <hyperlink ref="Z104" r:id="rId114" xr:uid="{D369854B-4659-4F61-BF7C-A7C5098C82DC}"/>
    <hyperlink ref="Z106" r:id="rId115" xr:uid="{B36D1F15-8381-45D3-AF30-5FE762924397}"/>
    <hyperlink ref="Z108" r:id="rId116" xr:uid="{AEE6029D-B559-4EFE-9030-1B8072FDADCD}"/>
    <hyperlink ref="Z107" r:id="rId117" xr:uid="{036B22DA-F1AB-4F0A-B4ED-0A16E167E93D}"/>
    <hyperlink ref="Z112" r:id="rId118" xr:uid="{A2D79FF1-C152-4503-AC01-C76FC2F59277}"/>
    <hyperlink ref="Z114" r:id="rId119" xr:uid="{CF4E313D-AAFA-4FEB-AEF9-1A4EB5370BD1}"/>
    <hyperlink ref="Z118" r:id="rId120" xr:uid="{BCFD66D6-8196-4524-A479-703F64B2DDBE}"/>
    <hyperlink ref="Z121" r:id="rId121" xr:uid="{02E1F5AF-45F3-4197-8EBC-A3D916AD7D6A}"/>
    <hyperlink ref="Z125" r:id="rId122" xr:uid="{CE0E5089-6287-41B5-9C60-92FED0B69B59}"/>
    <hyperlink ref="Z132" r:id="rId123" xr:uid="{1271AC94-5E2F-4C16-AB5B-30E32910A028}"/>
    <hyperlink ref="Z141" r:id="rId124" xr:uid="{2A34B6B9-967B-4C5C-B856-B392A1A58279}"/>
    <hyperlink ref="Z138" r:id="rId125" xr:uid="{E6C8D973-E09A-4504-B6CE-C85576A801B1}"/>
    <hyperlink ref="Z56" r:id="rId126" xr:uid="{2A602D8D-4A1A-42F7-852F-5D58FC01B46D}"/>
    <hyperlink ref="Z75" r:id="rId127" xr:uid="{D9DA279C-A852-4352-B360-B590C87D0CA9}"/>
    <hyperlink ref="Z130" r:id="rId128" xr:uid="{68B0E4E7-C089-493A-B4C8-14D3B2506F79}"/>
    <hyperlink ref="Z70" r:id="rId129" xr:uid="{344448D5-7B48-40B8-8D09-2C96162191E4}"/>
    <hyperlink ref="Z45" r:id="rId130" xr:uid="{BFFCC851-0127-427D-AE1D-19F6081D9691}"/>
    <hyperlink ref="Z128" r:id="rId131" xr:uid="{53B48D50-4278-447D-A34B-756006280464}"/>
    <hyperlink ref="Z129" r:id="rId132" xr:uid="{27B7D91B-AED8-4131-98A4-532ADC9B2C09}"/>
    <hyperlink ref="Z133" r:id="rId133" xr:uid="{C191F96D-C351-469E-AB64-6124907B6D2D}"/>
    <hyperlink ref="Z127" r:id="rId134" xr:uid="{7F43D24B-9F16-41DC-840B-7FB322A09E3A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35"/>
  <legacyDrawing r:id="rId1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544</v>
      </c>
      <c r="B1" t="s">
        <v>545</v>
      </c>
      <c r="C1" t="s">
        <v>546</v>
      </c>
      <c r="D1" t="s">
        <v>547</v>
      </c>
    </row>
    <row r="2" spans="1:4">
      <c r="A2" s="5" t="s">
        <v>548</v>
      </c>
      <c r="B2" s="6" t="s">
        <v>549</v>
      </c>
      <c r="C2" t="s">
        <v>550</v>
      </c>
      <c r="D2" s="124"/>
    </row>
    <row r="3" spans="1:4">
      <c r="A3" s="5" t="s">
        <v>551</v>
      </c>
      <c r="B3" s="6" t="s">
        <v>552</v>
      </c>
      <c r="C3" t="s">
        <v>550</v>
      </c>
      <c r="D3" s="124"/>
    </row>
    <row r="4" spans="1:4">
      <c r="A4" s="5" t="s">
        <v>553</v>
      </c>
      <c r="B4" s="6" t="s">
        <v>554</v>
      </c>
      <c r="C4" t="s">
        <v>550</v>
      </c>
      <c r="D4" s="124"/>
    </row>
    <row r="5" spans="1:4">
      <c r="A5" s="5" t="s">
        <v>555</v>
      </c>
      <c r="B5" s="6" t="s">
        <v>556</v>
      </c>
      <c r="C5" s="125">
        <v>560000</v>
      </c>
      <c r="D5" s="124">
        <v>46568</v>
      </c>
    </row>
    <row r="6" spans="1:4">
      <c r="A6" s="5" t="s">
        <v>557</v>
      </c>
      <c r="B6" s="6" t="s">
        <v>536</v>
      </c>
      <c r="C6" s="125">
        <v>18648990.620000001</v>
      </c>
      <c r="D6" s="124">
        <v>46568</v>
      </c>
    </row>
    <row r="7" spans="1:4">
      <c r="A7" s="5" t="s">
        <v>558</v>
      </c>
      <c r="B7" s="6" t="s">
        <v>534</v>
      </c>
      <c r="C7" s="125">
        <v>18648990.620000001</v>
      </c>
      <c r="D7" s="124">
        <v>46568</v>
      </c>
    </row>
    <row r="8" spans="1:4">
      <c r="A8" s="5" t="s">
        <v>559</v>
      </c>
      <c r="B8" s="6" t="s">
        <v>560</v>
      </c>
      <c r="C8" t="s">
        <v>550</v>
      </c>
      <c r="D8" s="124"/>
    </row>
    <row r="9" spans="1:4">
      <c r="A9" s="5" t="s">
        <v>561</v>
      </c>
      <c r="B9" s="6" t="s">
        <v>562</v>
      </c>
      <c r="C9" t="s">
        <v>550</v>
      </c>
      <c r="D9" s="124"/>
    </row>
    <row r="10" spans="1:4">
      <c r="A10" s="5" t="s">
        <v>563</v>
      </c>
      <c r="B10" s="6" t="s">
        <v>564</v>
      </c>
      <c r="C10" t="s">
        <v>550</v>
      </c>
      <c r="D10" s="124"/>
    </row>
    <row r="11" spans="1:4">
      <c r="A11" s="5" t="s">
        <v>565</v>
      </c>
      <c r="B11" s="6" t="s">
        <v>566</v>
      </c>
      <c r="C11" s="125">
        <v>6515622.1699999999</v>
      </c>
      <c r="D11" s="124">
        <v>46568</v>
      </c>
    </row>
    <row r="12" spans="1:4">
      <c r="A12" s="5" t="s">
        <v>565</v>
      </c>
      <c r="B12" s="6" t="s">
        <v>567</v>
      </c>
      <c r="C12" s="125">
        <v>6515622.1699999999</v>
      </c>
      <c r="D12" s="124">
        <v>46568</v>
      </c>
    </row>
    <row r="13" spans="1:4">
      <c r="A13" s="5" t="s">
        <v>568</v>
      </c>
      <c r="B13" s="6">
        <v>500819</v>
      </c>
      <c r="C13" s="125">
        <v>980000</v>
      </c>
      <c r="D13" s="124">
        <v>46568</v>
      </c>
    </row>
    <row r="14" spans="1:4">
      <c r="A14" s="5" t="s">
        <v>569</v>
      </c>
      <c r="B14" s="6" t="s">
        <v>570</v>
      </c>
      <c r="C14" t="s">
        <v>550</v>
      </c>
      <c r="D14" s="124"/>
    </row>
    <row r="15" spans="1:4">
      <c r="A15" s="5" t="s">
        <v>571</v>
      </c>
      <c r="B15" s="6" t="s">
        <v>519</v>
      </c>
      <c r="C15" s="125">
        <v>1368089.17</v>
      </c>
      <c r="D15" s="124">
        <v>46568</v>
      </c>
    </row>
    <row r="16" spans="1:4">
      <c r="A16" s="5" t="s">
        <v>572</v>
      </c>
      <c r="B16" s="6" t="s">
        <v>573</v>
      </c>
      <c r="C16" t="s">
        <v>550</v>
      </c>
      <c r="D16" s="124"/>
    </row>
    <row r="17" spans="1:4">
      <c r="A17" s="5" t="s">
        <v>574</v>
      </c>
      <c r="B17" s="6">
        <v>6860829</v>
      </c>
      <c r="C17" t="s">
        <v>550</v>
      </c>
      <c r="D17" s="124"/>
    </row>
    <row r="18" spans="1:4">
      <c r="A18" s="5" t="s">
        <v>575</v>
      </c>
      <c r="B18" s="6">
        <v>3004033</v>
      </c>
      <c r="C18" t="s">
        <v>550</v>
      </c>
      <c r="D18" s="124"/>
    </row>
    <row r="19" spans="1:4">
      <c r="A19" s="5" t="s">
        <v>576</v>
      </c>
      <c r="B19" s="6">
        <v>9317618</v>
      </c>
      <c r="C19" t="s">
        <v>550</v>
      </c>
      <c r="D19" s="124"/>
    </row>
    <row r="20" spans="1:4">
      <c r="A20" s="5" t="s">
        <v>577</v>
      </c>
      <c r="B20" s="6">
        <v>15706583</v>
      </c>
      <c r="C20" s="125">
        <v>3161261.49</v>
      </c>
      <c r="D20" s="124">
        <v>46568</v>
      </c>
    </row>
    <row r="21" spans="1:4">
      <c r="A21" s="5" t="s">
        <v>577</v>
      </c>
      <c r="B21" s="6">
        <v>7777265</v>
      </c>
      <c r="C21" s="125">
        <v>3161261.49</v>
      </c>
      <c r="D21" s="124">
        <v>46568</v>
      </c>
    </row>
    <row r="22" spans="1:4">
      <c r="A22" s="5" t="s">
        <v>578</v>
      </c>
      <c r="B22" s="6" t="s">
        <v>579</v>
      </c>
      <c r="C22" s="125">
        <v>1202126.02</v>
      </c>
      <c r="D22" s="124">
        <v>46568</v>
      </c>
    </row>
    <row r="23" spans="1:4">
      <c r="A23" s="5" t="s">
        <v>580</v>
      </c>
      <c r="B23" s="6">
        <v>7983962</v>
      </c>
      <c r="C23" t="s">
        <v>550</v>
      </c>
      <c r="D23" s="124"/>
    </row>
    <row r="24" spans="1:4">
      <c r="A24" s="5" t="s">
        <v>581</v>
      </c>
      <c r="B24" s="6">
        <v>3686769</v>
      </c>
      <c r="C24" t="s">
        <v>550</v>
      </c>
      <c r="D24" s="124"/>
    </row>
    <row r="25" spans="1:4">
      <c r="A25" s="5" t="s">
        <v>76</v>
      </c>
      <c r="B25" s="6">
        <v>339991</v>
      </c>
      <c r="C25" s="125">
        <v>1489971.5</v>
      </c>
      <c r="D25" s="124">
        <v>46568</v>
      </c>
    </row>
    <row r="26" spans="1:4">
      <c r="A26" s="5" t="s">
        <v>582</v>
      </c>
      <c r="B26" s="6" t="s">
        <v>583</v>
      </c>
      <c r="C26" t="s">
        <v>550</v>
      </c>
      <c r="D26" s="124"/>
    </row>
    <row r="27" spans="1:4">
      <c r="A27" s="5" t="s">
        <v>584</v>
      </c>
      <c r="B27" s="6">
        <v>6696173</v>
      </c>
      <c r="C27" t="s">
        <v>550</v>
      </c>
      <c r="D27" s="124"/>
    </row>
    <row r="28" spans="1:4">
      <c r="A28" s="5" t="s">
        <v>585</v>
      </c>
      <c r="B28" s="6" t="s">
        <v>477</v>
      </c>
      <c r="C28" s="125">
        <v>2920440.07</v>
      </c>
      <c r="D28" s="124">
        <v>46568</v>
      </c>
    </row>
    <row r="29" spans="1:4">
      <c r="A29" s="5" t="s">
        <v>585</v>
      </c>
      <c r="B29" s="6">
        <v>17624003</v>
      </c>
      <c r="C29" s="125">
        <v>2920440.07</v>
      </c>
      <c r="D29" s="124">
        <v>46568</v>
      </c>
    </row>
    <row r="30" spans="1:4">
      <c r="A30" s="5" t="s">
        <v>586</v>
      </c>
      <c r="B30" s="6">
        <v>2497441</v>
      </c>
      <c r="C30" s="125">
        <v>980000</v>
      </c>
      <c r="D30" s="124">
        <v>46568</v>
      </c>
    </row>
    <row r="31" spans="1:4">
      <c r="A31" s="5" t="s">
        <v>587</v>
      </c>
      <c r="B31" s="6">
        <v>3133112</v>
      </c>
      <c r="C31" t="s">
        <v>550</v>
      </c>
      <c r="D31" s="124"/>
    </row>
    <row r="32" spans="1:4">
      <c r="A32" s="5" t="s">
        <v>588</v>
      </c>
      <c r="B32" s="6">
        <v>7758450</v>
      </c>
      <c r="C32" s="125">
        <v>0</v>
      </c>
      <c r="D32" s="124">
        <v>46568</v>
      </c>
    </row>
    <row r="33" spans="1:4">
      <c r="A33" s="5" t="s">
        <v>589</v>
      </c>
      <c r="B33" s="6">
        <v>3371553</v>
      </c>
      <c r="C33" s="125">
        <v>5419371.9400000004</v>
      </c>
      <c r="D33" s="124">
        <v>46568</v>
      </c>
    </row>
    <row r="34" spans="1:4">
      <c r="A34" s="5" t="s">
        <v>589</v>
      </c>
      <c r="B34" s="6">
        <v>4619413</v>
      </c>
      <c r="C34" s="125">
        <v>5419371.9400000004</v>
      </c>
      <c r="D34" s="124">
        <v>46568</v>
      </c>
    </row>
    <row r="35" spans="1:4">
      <c r="A35" s="5" t="s">
        <v>590</v>
      </c>
      <c r="B35" s="6">
        <v>10800085</v>
      </c>
      <c r="C35" t="s">
        <v>550</v>
      </c>
      <c r="D35" s="124"/>
    </row>
    <row r="36" spans="1:4">
      <c r="A36" s="5" t="s">
        <v>591</v>
      </c>
      <c r="B36" s="6">
        <v>3101560</v>
      </c>
      <c r="C36" s="125">
        <v>560000</v>
      </c>
      <c r="D36" s="124">
        <v>46568</v>
      </c>
    </row>
    <row r="37" spans="1:4">
      <c r="A37" s="5" t="s">
        <v>592</v>
      </c>
      <c r="B37" s="6" t="s">
        <v>593</v>
      </c>
      <c r="C37" s="125">
        <v>3456241.8</v>
      </c>
      <c r="D37" s="124">
        <v>46568</v>
      </c>
    </row>
    <row r="38" spans="1:4">
      <c r="A38" s="5" t="s">
        <v>594</v>
      </c>
      <c r="B38" s="6">
        <v>2068296</v>
      </c>
      <c r="C38" s="125">
        <v>1742252.29</v>
      </c>
      <c r="D38" s="124">
        <v>46568</v>
      </c>
    </row>
    <row r="39" spans="1:4">
      <c r="A39" s="5" t="s">
        <v>595</v>
      </c>
      <c r="B39" s="6">
        <v>4771941</v>
      </c>
      <c r="C39" t="s">
        <v>550</v>
      </c>
      <c r="D39" s="124"/>
    </row>
    <row r="40" spans="1:4">
      <c r="A40" s="5" t="s">
        <v>596</v>
      </c>
      <c r="B40" s="6">
        <v>19515384</v>
      </c>
      <c r="C40" s="125">
        <v>56000</v>
      </c>
      <c r="D40" s="124">
        <v>46568</v>
      </c>
    </row>
    <row r="41" spans="1:4">
      <c r="A41" s="5" t="s">
        <v>597</v>
      </c>
      <c r="B41" s="6">
        <v>3208501</v>
      </c>
      <c r="C41" s="125">
        <v>1422397.85</v>
      </c>
      <c r="D41" s="124">
        <v>46568</v>
      </c>
    </row>
    <row r="42" spans="1:4">
      <c r="A42" s="5" t="s">
        <v>598</v>
      </c>
      <c r="B42" s="6">
        <v>3997766</v>
      </c>
      <c r="C42" s="125">
        <v>560000</v>
      </c>
      <c r="D42" s="124">
        <v>46568</v>
      </c>
    </row>
    <row r="43" spans="1:4">
      <c r="A43" s="5" t="s">
        <v>599</v>
      </c>
      <c r="B43" s="6">
        <v>18850870</v>
      </c>
      <c r="C43" s="125">
        <v>2106542.56</v>
      </c>
      <c r="D43" s="124">
        <v>46568</v>
      </c>
    </row>
    <row r="44" spans="1:4">
      <c r="A44" s="5" t="s">
        <v>600</v>
      </c>
      <c r="B44" s="6">
        <v>292615</v>
      </c>
      <c r="C44" s="125">
        <v>2565551.3199999998</v>
      </c>
      <c r="D44" s="124">
        <v>46568</v>
      </c>
    </row>
    <row r="45" spans="1:4">
      <c r="A45" s="5" t="s">
        <v>600</v>
      </c>
      <c r="B45" s="118">
        <v>18818976</v>
      </c>
      <c r="C45" s="125">
        <v>2565551.3199999998</v>
      </c>
      <c r="D45" s="124">
        <v>46568</v>
      </c>
    </row>
    <row r="46" spans="1:4">
      <c r="A46" s="5" t="s">
        <v>601</v>
      </c>
      <c r="B46" s="6">
        <v>11210659</v>
      </c>
      <c r="C46" s="125">
        <v>1307521.83</v>
      </c>
      <c r="D46" s="124">
        <v>46568</v>
      </c>
    </row>
    <row r="47" spans="1:4">
      <c r="A47" s="5" t="s">
        <v>602</v>
      </c>
      <c r="B47" s="6">
        <v>579979</v>
      </c>
      <c r="C47" s="125">
        <v>1250055.98</v>
      </c>
      <c r="D47" s="124">
        <v>46568</v>
      </c>
    </row>
    <row r="48" spans="1:4">
      <c r="A48" s="5" t="s">
        <v>603</v>
      </c>
      <c r="B48" s="6">
        <v>2247004</v>
      </c>
      <c r="C48" s="125">
        <v>2980133.95</v>
      </c>
      <c r="D48" s="124">
        <v>46568</v>
      </c>
    </row>
    <row r="49" spans="1:4">
      <c r="A49" s="5" t="s">
        <v>604</v>
      </c>
      <c r="B49" s="6">
        <v>16917348</v>
      </c>
      <c r="C49" s="125">
        <v>56000</v>
      </c>
      <c r="D49" s="124">
        <v>46568</v>
      </c>
    </row>
    <row r="50" spans="1:4">
      <c r="A50" s="5" t="s">
        <v>605</v>
      </c>
      <c r="B50" s="6">
        <v>16424007</v>
      </c>
      <c r="C50" t="s">
        <v>550</v>
      </c>
      <c r="D50" s="124"/>
    </row>
    <row r="51" spans="1:4">
      <c r="A51" s="5" t="s">
        <v>606</v>
      </c>
      <c r="B51" s="6">
        <v>598451</v>
      </c>
      <c r="C51" t="s">
        <v>550</v>
      </c>
      <c r="D51" s="124"/>
    </row>
    <row r="52" spans="1:4">
      <c r="A52" s="5" t="s">
        <v>607</v>
      </c>
      <c r="B52" s="6">
        <v>68501</v>
      </c>
      <c r="C52" t="s">
        <v>550</v>
      </c>
      <c r="D52" s="124"/>
    </row>
    <row r="53" spans="1:4">
      <c r="A53" s="5" t="s">
        <v>608</v>
      </c>
      <c r="B53" s="6">
        <v>17866382</v>
      </c>
      <c r="C53" s="125">
        <v>980000</v>
      </c>
      <c r="D53" s="124">
        <v>46568</v>
      </c>
    </row>
    <row r="54" spans="1:4">
      <c r="A54" s="5" t="s">
        <v>609</v>
      </c>
      <c r="B54" s="6">
        <v>3093727</v>
      </c>
      <c r="C54" s="125">
        <v>560000</v>
      </c>
      <c r="D54" s="124">
        <v>46568</v>
      </c>
    </row>
    <row r="55" spans="1:4" s="128" customFormat="1">
      <c r="A55" s="127" t="s">
        <v>378</v>
      </c>
      <c r="B55" s="126">
        <v>14918710</v>
      </c>
      <c r="D55" s="129"/>
    </row>
    <row r="56" spans="1:4">
      <c r="A56" s="5" t="s">
        <v>610</v>
      </c>
      <c r="B56" s="6">
        <v>9445242</v>
      </c>
      <c r="C56" t="s">
        <v>550</v>
      </c>
      <c r="D56" s="124"/>
    </row>
    <row r="57" spans="1:4">
      <c r="A57" s="5" t="s">
        <v>611</v>
      </c>
      <c r="B57" s="6">
        <v>3588879</v>
      </c>
      <c r="C57" t="s">
        <v>550</v>
      </c>
      <c r="D57" s="124"/>
    </row>
    <row r="58" spans="1:4">
      <c r="A58" s="5" t="s">
        <v>612</v>
      </c>
      <c r="B58" s="6">
        <v>19082129</v>
      </c>
      <c r="C58" t="s">
        <v>550</v>
      </c>
      <c r="D58" s="124"/>
    </row>
    <row r="59" spans="1:4">
      <c r="A59" s="5" t="s">
        <v>613</v>
      </c>
      <c r="B59" s="6">
        <v>4163084</v>
      </c>
      <c r="C59" t="s">
        <v>550</v>
      </c>
      <c r="D59" s="124"/>
    </row>
    <row r="60" spans="1:4">
      <c r="A60" s="5" t="s">
        <v>614</v>
      </c>
      <c r="B60" s="6">
        <v>3257275</v>
      </c>
      <c r="C60" t="s">
        <v>550</v>
      </c>
      <c r="D60" s="124"/>
    </row>
    <row r="61" spans="1:4">
      <c r="A61" s="5" t="s">
        <v>615</v>
      </c>
      <c r="B61" s="118">
        <v>242411</v>
      </c>
      <c r="C61" t="s">
        <v>550</v>
      </c>
      <c r="D61" s="124"/>
    </row>
    <row r="62" spans="1:4">
      <c r="A62" s="5" t="s">
        <v>616</v>
      </c>
      <c r="B62" s="6">
        <v>576471</v>
      </c>
      <c r="C62" s="125">
        <v>56000</v>
      </c>
      <c r="D62" s="124">
        <v>46568</v>
      </c>
    </row>
    <row r="63" spans="1:4">
      <c r="A63" s="5" t="s">
        <v>617</v>
      </c>
      <c r="B63" s="118" t="s">
        <v>618</v>
      </c>
      <c r="C63" s="125">
        <v>565302787.22000003</v>
      </c>
      <c r="D63" s="124">
        <v>46568</v>
      </c>
    </row>
    <row r="64" spans="1:4">
      <c r="A64" s="5" t="s">
        <v>608</v>
      </c>
      <c r="B64" s="6">
        <v>7272031</v>
      </c>
      <c r="C64" s="125">
        <v>980000</v>
      </c>
      <c r="D64" s="124">
        <v>46568</v>
      </c>
    </row>
    <row r="65" spans="1:5">
      <c r="A65" s="5" t="s">
        <v>619</v>
      </c>
      <c r="B65" s="6" t="s">
        <v>620</v>
      </c>
      <c r="C65" s="125">
        <v>0</v>
      </c>
      <c r="D65" s="124">
        <v>46568</v>
      </c>
      <c r="E65" s="128" t="s">
        <v>621</v>
      </c>
    </row>
    <row r="66" spans="1:5">
      <c r="A66" s="5" t="s">
        <v>622</v>
      </c>
      <c r="B66" s="118">
        <v>18466421</v>
      </c>
      <c r="C66" t="s">
        <v>550</v>
      </c>
      <c r="D66" s="124"/>
    </row>
    <row r="67" spans="1:5">
      <c r="A67" s="5" t="s">
        <v>623</v>
      </c>
      <c r="B67" s="6">
        <v>19522034</v>
      </c>
      <c r="C67" t="s">
        <v>550</v>
      </c>
      <c r="D67" s="124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624</v>
      </c>
      <c r="B1" s="8" t="s">
        <v>625</v>
      </c>
      <c r="C1" s="8" t="s">
        <v>626</v>
      </c>
      <c r="D1" s="8" t="s">
        <v>627</v>
      </c>
      <c r="E1" s="8" t="s">
        <v>628</v>
      </c>
      <c r="F1" s="8" t="s">
        <v>629</v>
      </c>
      <c r="G1" s="8" t="s">
        <v>630</v>
      </c>
    </row>
    <row r="2" spans="1:17" ht="15.75" customHeight="1">
      <c r="A2" s="9" t="s">
        <v>631</v>
      </c>
      <c r="B2" s="10" t="s">
        <v>632</v>
      </c>
      <c r="C2" s="11">
        <v>30271</v>
      </c>
      <c r="D2" s="10">
        <f t="shared" ref="D2:D14" si="0">DATEDIF(C2,$C$121,"Y")</f>
        <v>37</v>
      </c>
      <c r="E2" s="10" t="s">
        <v>633</v>
      </c>
      <c r="F2" s="10" t="s">
        <v>634</v>
      </c>
      <c r="G2" s="12">
        <v>326844</v>
      </c>
      <c r="J2" s="13" t="s">
        <v>625</v>
      </c>
      <c r="K2" s="10" t="s">
        <v>635</v>
      </c>
      <c r="L2" s="10" t="s">
        <v>636</v>
      </c>
      <c r="M2" s="10" t="s">
        <v>637</v>
      </c>
      <c r="N2" s="10" t="s">
        <v>636</v>
      </c>
      <c r="O2" s="10" t="s">
        <v>638</v>
      </c>
    </row>
    <row r="3" spans="1:17" ht="15.75" customHeight="1">
      <c r="A3" s="14" t="s">
        <v>639</v>
      </c>
      <c r="B3" s="10" t="s">
        <v>640</v>
      </c>
      <c r="C3" s="11">
        <v>20755</v>
      </c>
      <c r="D3" s="10">
        <f t="shared" si="0"/>
        <v>63</v>
      </c>
      <c r="E3" s="10" t="s">
        <v>641</v>
      </c>
      <c r="F3" s="10" t="s">
        <v>634</v>
      </c>
      <c r="G3" s="12">
        <v>100078.05</v>
      </c>
      <c r="J3" s="15" t="s">
        <v>642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643</v>
      </c>
      <c r="B4" s="10" t="s">
        <v>632</v>
      </c>
      <c r="C4" s="11">
        <v>28058</v>
      </c>
      <c r="D4" s="10">
        <f t="shared" si="0"/>
        <v>43</v>
      </c>
      <c r="E4" s="10" t="s">
        <v>644</v>
      </c>
      <c r="F4" s="10" t="s">
        <v>634</v>
      </c>
      <c r="G4" s="12">
        <v>49196.01</v>
      </c>
      <c r="J4" s="15" t="s">
        <v>645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646</v>
      </c>
      <c r="B5" s="10" t="s">
        <v>632</v>
      </c>
      <c r="C5" s="11">
        <v>29075</v>
      </c>
      <c r="D5" s="10">
        <f t="shared" si="0"/>
        <v>40</v>
      </c>
      <c r="E5" s="10" t="s">
        <v>644</v>
      </c>
      <c r="F5" s="10" t="s">
        <v>634</v>
      </c>
      <c r="G5" s="12">
        <v>100349</v>
      </c>
      <c r="J5" s="15" t="s">
        <v>635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647</v>
      </c>
      <c r="P5" s="83">
        <f>SUM(P3:P4)</f>
        <v>108</v>
      </c>
    </row>
    <row r="6" spans="1:17" ht="15.75" customHeight="1">
      <c r="A6" s="14" t="s">
        <v>648</v>
      </c>
      <c r="B6" s="10" t="s">
        <v>632</v>
      </c>
      <c r="C6" s="11">
        <v>26364</v>
      </c>
      <c r="D6" s="10">
        <f t="shared" si="0"/>
        <v>47</v>
      </c>
      <c r="E6" s="10" t="s">
        <v>644</v>
      </c>
      <c r="F6" s="10" t="s">
        <v>634</v>
      </c>
      <c r="G6" s="12">
        <v>254439</v>
      </c>
      <c r="P6" s="83"/>
    </row>
    <row r="7" spans="1:17" ht="15.75" customHeight="1">
      <c r="A7" s="14" t="s">
        <v>649</v>
      </c>
      <c r="B7" s="10" t="s">
        <v>632</v>
      </c>
      <c r="C7" s="11">
        <v>30591</v>
      </c>
      <c r="D7" s="10">
        <f t="shared" si="0"/>
        <v>36</v>
      </c>
      <c r="E7" s="10" t="s">
        <v>633</v>
      </c>
      <c r="F7" s="10" t="s">
        <v>650</v>
      </c>
      <c r="G7" s="12">
        <v>105616</v>
      </c>
      <c r="J7" s="13" t="s">
        <v>627</v>
      </c>
      <c r="K7" s="10" t="s">
        <v>635</v>
      </c>
      <c r="L7" s="10" t="s">
        <v>636</v>
      </c>
      <c r="M7" s="10" t="s">
        <v>651</v>
      </c>
      <c r="N7" s="10" t="s">
        <v>636</v>
      </c>
      <c r="O7" s="10" t="s">
        <v>638</v>
      </c>
      <c r="P7" s="83"/>
    </row>
    <row r="8" spans="1:17" ht="15.75" customHeight="1">
      <c r="A8" s="15" t="s">
        <v>652</v>
      </c>
      <c r="B8" s="10" t="s">
        <v>632</v>
      </c>
      <c r="C8" s="11">
        <v>28792</v>
      </c>
      <c r="D8" s="10">
        <f t="shared" si="0"/>
        <v>41</v>
      </c>
      <c r="E8" s="10" t="s">
        <v>653</v>
      </c>
      <c r="F8" s="10" t="s">
        <v>634</v>
      </c>
      <c r="G8" s="12">
        <v>1013833</v>
      </c>
      <c r="J8" s="15" t="s">
        <v>654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655</v>
      </c>
      <c r="B9" s="10" t="s">
        <v>632</v>
      </c>
      <c r="C9" s="11">
        <v>33605</v>
      </c>
      <c r="D9" s="10">
        <f t="shared" si="0"/>
        <v>28</v>
      </c>
      <c r="E9" s="10" t="s">
        <v>656</v>
      </c>
      <c r="F9" s="10" t="s">
        <v>634</v>
      </c>
      <c r="G9" s="12">
        <v>5158.12</v>
      </c>
      <c r="J9" s="15" t="s">
        <v>657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658</v>
      </c>
      <c r="B10" s="10" t="s">
        <v>640</v>
      </c>
      <c r="C10" s="11">
        <v>23623</v>
      </c>
      <c r="D10" s="10">
        <f t="shared" si="0"/>
        <v>55</v>
      </c>
      <c r="E10" s="10" t="s">
        <v>659</v>
      </c>
      <c r="F10" s="10" t="s">
        <v>634</v>
      </c>
      <c r="G10" s="12">
        <v>928015</v>
      </c>
      <c r="J10" s="15" t="s">
        <v>660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661</v>
      </c>
      <c r="B11" s="10" t="s">
        <v>640</v>
      </c>
      <c r="C11" s="11">
        <v>31602</v>
      </c>
      <c r="D11" s="10">
        <f t="shared" si="0"/>
        <v>33</v>
      </c>
      <c r="E11" s="10" t="s">
        <v>662</v>
      </c>
      <c r="F11" s="10" t="s">
        <v>634</v>
      </c>
      <c r="G11" s="12">
        <v>449686</v>
      </c>
      <c r="J11" s="15" t="s">
        <v>663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664</v>
      </c>
      <c r="B12" s="10" t="s">
        <v>640</v>
      </c>
      <c r="C12" s="11">
        <v>24295</v>
      </c>
      <c r="D12" s="10">
        <f t="shared" si="0"/>
        <v>53</v>
      </c>
      <c r="E12" s="10" t="s">
        <v>665</v>
      </c>
      <c r="F12" s="10" t="s">
        <v>634</v>
      </c>
      <c r="G12" s="12">
        <v>174816</v>
      </c>
      <c r="J12" s="15" t="s">
        <v>666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667</v>
      </c>
      <c r="B13" s="10" t="s">
        <v>632</v>
      </c>
      <c r="C13" s="11">
        <v>13520</v>
      </c>
      <c r="D13" s="10">
        <f t="shared" si="0"/>
        <v>82</v>
      </c>
      <c r="E13" s="10" t="s">
        <v>668</v>
      </c>
      <c r="F13" s="10" t="s">
        <v>669</v>
      </c>
      <c r="G13" s="12">
        <v>147417</v>
      </c>
      <c r="J13" s="15" t="s">
        <v>670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671</v>
      </c>
      <c r="B14" s="10" t="s">
        <v>632</v>
      </c>
      <c r="C14" s="11">
        <v>23066</v>
      </c>
      <c r="D14" s="10">
        <f t="shared" si="0"/>
        <v>56</v>
      </c>
      <c r="E14" s="10" t="s">
        <v>633</v>
      </c>
      <c r="F14" s="10" t="s">
        <v>634</v>
      </c>
      <c r="G14" s="12">
        <v>31376</v>
      </c>
      <c r="J14" s="15" t="s">
        <v>672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673</v>
      </c>
    </row>
    <row r="15" spans="1:17" ht="15.75" customHeight="1">
      <c r="A15" s="22" t="s">
        <v>674</v>
      </c>
      <c r="B15" s="10" t="s">
        <v>632</v>
      </c>
      <c r="C15" s="11"/>
      <c r="D15" s="10"/>
      <c r="E15" s="10" t="s">
        <v>653</v>
      </c>
      <c r="F15" s="10"/>
      <c r="G15" s="12">
        <v>0</v>
      </c>
      <c r="J15" s="15" t="s">
        <v>635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675</v>
      </c>
      <c r="B16" s="10" t="s">
        <v>640</v>
      </c>
      <c r="C16" s="11">
        <v>29816</v>
      </c>
      <c r="D16" s="10">
        <f t="shared" ref="D16:D53" si="4">DATEDIF(C16,$C$121,"Y")</f>
        <v>38</v>
      </c>
      <c r="E16" s="10" t="s">
        <v>662</v>
      </c>
      <c r="F16" s="10" t="s">
        <v>634</v>
      </c>
      <c r="G16" s="12">
        <v>101819</v>
      </c>
    </row>
    <row r="17" spans="1:18" ht="15.75" customHeight="1">
      <c r="A17" s="14" t="s">
        <v>676</v>
      </c>
      <c r="B17" s="10" t="s">
        <v>640</v>
      </c>
      <c r="C17" s="11">
        <v>31091</v>
      </c>
      <c r="D17" s="10">
        <f t="shared" si="4"/>
        <v>34</v>
      </c>
      <c r="E17" s="10" t="s">
        <v>662</v>
      </c>
      <c r="F17" s="10" t="s">
        <v>634</v>
      </c>
      <c r="G17" s="12">
        <v>35841.42</v>
      </c>
      <c r="J17" s="8" t="s">
        <v>628</v>
      </c>
      <c r="K17" s="10" t="s">
        <v>635</v>
      </c>
      <c r="L17" s="10" t="s">
        <v>636</v>
      </c>
      <c r="M17" s="10" t="s">
        <v>677</v>
      </c>
      <c r="N17" s="10" t="s">
        <v>636</v>
      </c>
      <c r="O17" s="10" t="s">
        <v>638</v>
      </c>
      <c r="R17" s="21" t="s">
        <v>673</v>
      </c>
    </row>
    <row r="18" spans="1:18" ht="15.75" customHeight="1">
      <c r="A18" s="14" t="s">
        <v>678</v>
      </c>
      <c r="B18" s="10" t="s">
        <v>632</v>
      </c>
      <c r="C18" s="11">
        <v>31386</v>
      </c>
      <c r="D18" s="10">
        <f t="shared" si="4"/>
        <v>34</v>
      </c>
      <c r="E18" s="10" t="s">
        <v>679</v>
      </c>
      <c r="F18" s="10" t="s">
        <v>634</v>
      </c>
      <c r="G18" s="12">
        <v>215750</v>
      </c>
      <c r="J18" s="15" t="s">
        <v>633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680</v>
      </c>
      <c r="B19" s="10" t="s">
        <v>632</v>
      </c>
      <c r="C19" s="11">
        <v>23072</v>
      </c>
      <c r="D19" s="10">
        <f t="shared" si="4"/>
        <v>56</v>
      </c>
      <c r="E19" s="10" t="s">
        <v>681</v>
      </c>
      <c r="F19" s="10" t="s">
        <v>634</v>
      </c>
      <c r="G19" s="12">
        <v>132923</v>
      </c>
      <c r="J19" s="15" t="s">
        <v>653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682</v>
      </c>
      <c r="B20" s="10" t="s">
        <v>632</v>
      </c>
      <c r="C20" s="11">
        <v>29186</v>
      </c>
      <c r="D20" s="10">
        <f t="shared" si="4"/>
        <v>40</v>
      </c>
      <c r="E20" s="10" t="s">
        <v>656</v>
      </c>
      <c r="F20" s="10" t="s">
        <v>634</v>
      </c>
      <c r="G20" s="12">
        <f>707418+847182</f>
        <v>1554600</v>
      </c>
      <c r="J20" s="15" t="s">
        <v>656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683</v>
      </c>
      <c r="B21" s="10" t="s">
        <v>640</v>
      </c>
      <c r="C21" s="11">
        <v>30936</v>
      </c>
      <c r="D21" s="10">
        <f t="shared" si="4"/>
        <v>35</v>
      </c>
      <c r="E21" s="10" t="s">
        <v>684</v>
      </c>
      <c r="F21" s="10" t="s">
        <v>634</v>
      </c>
      <c r="G21" s="12">
        <v>511766</v>
      </c>
      <c r="H21" s="21"/>
      <c r="I21" s="21"/>
      <c r="J21" s="15" t="s">
        <v>644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685</v>
      </c>
      <c r="B22" s="10" t="s">
        <v>632</v>
      </c>
      <c r="C22" s="11">
        <v>26191</v>
      </c>
      <c r="D22" s="10">
        <f t="shared" si="4"/>
        <v>48</v>
      </c>
      <c r="E22" s="10" t="s">
        <v>686</v>
      </c>
      <c r="F22" s="10" t="s">
        <v>634</v>
      </c>
      <c r="G22" s="12">
        <v>916562</v>
      </c>
      <c r="J22" s="15" t="s">
        <v>679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687</v>
      </c>
      <c r="B23" s="10" t="s">
        <v>632</v>
      </c>
      <c r="C23" s="11">
        <v>32417</v>
      </c>
      <c r="D23" s="10">
        <f t="shared" si="4"/>
        <v>31</v>
      </c>
      <c r="E23" s="10" t="s">
        <v>653</v>
      </c>
      <c r="F23" s="10" t="s">
        <v>634</v>
      </c>
      <c r="G23" s="12">
        <v>332795</v>
      </c>
      <c r="J23" s="15" t="s">
        <v>688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673</v>
      </c>
    </row>
    <row r="24" spans="1:18" ht="15.75" customHeight="1">
      <c r="A24" s="14" t="s">
        <v>689</v>
      </c>
      <c r="B24" s="10" t="s">
        <v>640</v>
      </c>
      <c r="C24" s="11">
        <v>26324</v>
      </c>
      <c r="D24" s="10">
        <f t="shared" si="4"/>
        <v>47</v>
      </c>
      <c r="E24" s="10" t="s">
        <v>662</v>
      </c>
      <c r="F24" s="10" t="s">
        <v>634</v>
      </c>
      <c r="G24" s="12">
        <v>191406</v>
      </c>
      <c r="J24" s="15" t="s">
        <v>681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673</v>
      </c>
    </row>
    <row r="25" spans="1:18" ht="15.75" customHeight="1">
      <c r="A25" s="14" t="s">
        <v>690</v>
      </c>
      <c r="B25" s="10" t="s">
        <v>640</v>
      </c>
      <c r="C25" s="11">
        <v>24529</v>
      </c>
      <c r="D25" s="10">
        <f t="shared" si="4"/>
        <v>52</v>
      </c>
      <c r="E25" s="10" t="s">
        <v>691</v>
      </c>
      <c r="F25" s="10" t="s">
        <v>634</v>
      </c>
      <c r="G25" s="12">
        <v>91137</v>
      </c>
      <c r="J25" s="15" t="s">
        <v>668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692</v>
      </c>
      <c r="B26" s="10" t="s">
        <v>632</v>
      </c>
      <c r="C26" s="11">
        <v>28883</v>
      </c>
      <c r="D26" s="10">
        <f t="shared" si="4"/>
        <v>40</v>
      </c>
      <c r="E26" s="10" t="s">
        <v>679</v>
      </c>
      <c r="F26" s="10" t="s">
        <v>634</v>
      </c>
      <c r="G26" s="12">
        <v>271013.45</v>
      </c>
      <c r="J26" s="15" t="s">
        <v>693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694</v>
      </c>
      <c r="B27" s="10" t="s">
        <v>640</v>
      </c>
      <c r="C27" s="11">
        <v>22919</v>
      </c>
      <c r="D27" s="10">
        <f t="shared" si="4"/>
        <v>57</v>
      </c>
      <c r="E27" s="10" t="s">
        <v>662</v>
      </c>
      <c r="F27" s="10" t="s">
        <v>634</v>
      </c>
      <c r="G27" s="12">
        <v>187575</v>
      </c>
      <c r="J27" s="15" t="s">
        <v>695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696</v>
      </c>
      <c r="B28" s="10" t="s">
        <v>640</v>
      </c>
      <c r="C28" s="11">
        <v>25781</v>
      </c>
      <c r="D28" s="10">
        <f t="shared" si="4"/>
        <v>49</v>
      </c>
      <c r="E28" s="10"/>
      <c r="F28" s="10" t="s">
        <v>634</v>
      </c>
      <c r="G28" s="12">
        <v>0</v>
      </c>
      <c r="J28" s="15" t="s">
        <v>635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697</v>
      </c>
      <c r="B29" s="10" t="s">
        <v>632</v>
      </c>
      <c r="C29" s="11">
        <v>27513</v>
      </c>
      <c r="D29" s="10">
        <f t="shared" si="4"/>
        <v>44</v>
      </c>
      <c r="E29" s="10" t="s">
        <v>656</v>
      </c>
      <c r="F29" s="10"/>
      <c r="G29" s="12">
        <v>57062.68</v>
      </c>
    </row>
    <row r="30" spans="1:18" ht="15.75" customHeight="1">
      <c r="A30" s="15" t="s">
        <v>698</v>
      </c>
      <c r="B30" s="10" t="s">
        <v>640</v>
      </c>
      <c r="C30" s="11">
        <v>22401</v>
      </c>
      <c r="D30" s="10">
        <f t="shared" si="4"/>
        <v>58</v>
      </c>
      <c r="E30" s="10" t="s">
        <v>662</v>
      </c>
      <c r="F30" s="10" t="s">
        <v>634</v>
      </c>
      <c r="G30" s="12">
        <v>163478</v>
      </c>
    </row>
    <row r="31" spans="1:18" ht="15.75" customHeight="1">
      <c r="A31" s="22" t="s">
        <v>699</v>
      </c>
      <c r="B31" s="10" t="s">
        <v>640</v>
      </c>
      <c r="C31" s="11">
        <v>19484</v>
      </c>
      <c r="D31" s="10">
        <f t="shared" si="4"/>
        <v>66</v>
      </c>
      <c r="E31" s="10" t="s">
        <v>700</v>
      </c>
      <c r="F31" s="10" t="s">
        <v>634</v>
      </c>
      <c r="G31" s="12">
        <v>0</v>
      </c>
      <c r="J31" s="8" t="s">
        <v>630</v>
      </c>
    </row>
    <row r="32" spans="1:18" ht="15.75" customHeight="1">
      <c r="A32" s="14" t="s">
        <v>701</v>
      </c>
      <c r="B32" s="10" t="s">
        <v>632</v>
      </c>
      <c r="C32" s="11">
        <v>25747</v>
      </c>
      <c r="D32" s="10">
        <f t="shared" si="4"/>
        <v>49</v>
      </c>
      <c r="E32" s="10" t="s">
        <v>644</v>
      </c>
      <c r="F32" s="10" t="s">
        <v>634</v>
      </c>
      <c r="G32" s="12">
        <f>205400+183458</f>
        <v>388858</v>
      </c>
    </row>
    <row r="33" spans="1:12" ht="15.75" customHeight="1">
      <c r="A33" s="14" t="s">
        <v>702</v>
      </c>
      <c r="B33" s="10" t="s">
        <v>632</v>
      </c>
      <c r="C33" s="11">
        <v>28151</v>
      </c>
      <c r="D33" s="10">
        <f t="shared" si="4"/>
        <v>42</v>
      </c>
      <c r="E33" s="10" t="s">
        <v>644</v>
      </c>
      <c r="F33" s="10" t="s">
        <v>634</v>
      </c>
      <c r="G33" s="12">
        <v>56328</v>
      </c>
    </row>
    <row r="34" spans="1:12" ht="15.75" customHeight="1">
      <c r="A34" s="15" t="s">
        <v>703</v>
      </c>
      <c r="B34" s="10" t="s">
        <v>632</v>
      </c>
      <c r="C34" s="11">
        <v>27906</v>
      </c>
      <c r="D34" s="10">
        <f t="shared" si="4"/>
        <v>43</v>
      </c>
      <c r="E34" s="10" t="s">
        <v>693</v>
      </c>
      <c r="F34" s="10" t="s">
        <v>634</v>
      </c>
      <c r="G34" s="12">
        <v>257451</v>
      </c>
    </row>
    <row r="35" spans="1:12" ht="15.75" customHeight="1">
      <c r="A35" s="15" t="s">
        <v>704</v>
      </c>
      <c r="B35" s="10" t="s">
        <v>632</v>
      </c>
      <c r="C35" s="11">
        <v>28906</v>
      </c>
      <c r="D35" s="10">
        <f t="shared" si="4"/>
        <v>40</v>
      </c>
      <c r="E35" s="10" t="s">
        <v>656</v>
      </c>
      <c r="F35" s="10" t="s">
        <v>634</v>
      </c>
      <c r="G35" s="12">
        <v>402433</v>
      </c>
    </row>
    <row r="36" spans="1:12" ht="15.75" customHeight="1">
      <c r="A36" s="14" t="s">
        <v>705</v>
      </c>
      <c r="B36" s="10" t="s">
        <v>632</v>
      </c>
      <c r="C36" s="11">
        <v>30587</v>
      </c>
      <c r="D36" s="10">
        <f t="shared" si="4"/>
        <v>36</v>
      </c>
      <c r="E36" s="10" t="s">
        <v>679</v>
      </c>
      <c r="F36" s="10" t="s">
        <v>634</v>
      </c>
      <c r="G36" s="12">
        <f>458323+1000228</f>
        <v>1458551</v>
      </c>
    </row>
    <row r="37" spans="1:12" ht="15.75" customHeight="1">
      <c r="A37" s="14" t="s">
        <v>706</v>
      </c>
      <c r="B37" s="10" t="s">
        <v>640</v>
      </c>
      <c r="C37" s="11">
        <v>15096</v>
      </c>
      <c r="D37" s="10">
        <f t="shared" si="4"/>
        <v>78</v>
      </c>
      <c r="E37" s="10" t="s">
        <v>700</v>
      </c>
      <c r="F37" s="10" t="s">
        <v>634</v>
      </c>
      <c r="G37" s="12">
        <v>179256</v>
      </c>
    </row>
    <row r="38" spans="1:12" ht="15.75" customHeight="1">
      <c r="A38" s="14" t="s">
        <v>707</v>
      </c>
      <c r="B38" s="10" t="s">
        <v>632</v>
      </c>
      <c r="C38" s="11">
        <v>27655</v>
      </c>
      <c r="D38" s="10">
        <f t="shared" si="4"/>
        <v>44</v>
      </c>
      <c r="E38" s="10" t="s">
        <v>681</v>
      </c>
      <c r="F38" s="10" t="s">
        <v>708</v>
      </c>
      <c r="G38" s="12">
        <v>769189</v>
      </c>
      <c r="J38" s="21" t="s">
        <v>673</v>
      </c>
    </row>
    <row r="39" spans="1:12" ht="15.75" customHeight="1">
      <c r="A39" s="14" t="s">
        <v>709</v>
      </c>
      <c r="B39" s="10" t="s">
        <v>632</v>
      </c>
      <c r="C39" s="11">
        <v>31245</v>
      </c>
      <c r="D39" s="10">
        <f t="shared" si="4"/>
        <v>34</v>
      </c>
      <c r="E39" s="10" t="s">
        <v>656</v>
      </c>
      <c r="F39" s="10" t="s">
        <v>634</v>
      </c>
      <c r="G39" s="12">
        <v>166417</v>
      </c>
      <c r="J39" s="21" t="s">
        <v>673</v>
      </c>
      <c r="K39" s="21" t="s">
        <v>673</v>
      </c>
    </row>
    <row r="40" spans="1:12" ht="15.75" customHeight="1">
      <c r="A40" s="15" t="s">
        <v>710</v>
      </c>
      <c r="B40" s="10" t="s">
        <v>632</v>
      </c>
      <c r="C40" s="11">
        <v>28270</v>
      </c>
      <c r="D40" s="10">
        <f t="shared" si="4"/>
        <v>42</v>
      </c>
      <c r="E40" s="10" t="s">
        <v>679</v>
      </c>
      <c r="F40" s="10" t="s">
        <v>634</v>
      </c>
      <c r="G40" s="12">
        <v>208601</v>
      </c>
    </row>
    <row r="41" spans="1:12" ht="15.75" customHeight="1">
      <c r="A41" s="20" t="s">
        <v>711</v>
      </c>
      <c r="B41" s="10" t="s">
        <v>632</v>
      </c>
      <c r="C41" s="11">
        <v>23924</v>
      </c>
      <c r="D41" s="10">
        <f t="shared" si="4"/>
        <v>54</v>
      </c>
      <c r="E41" s="10" t="s">
        <v>656</v>
      </c>
      <c r="F41" s="10"/>
      <c r="G41" s="12">
        <v>278844.53000000003</v>
      </c>
      <c r="J41" s="21" t="s">
        <v>673</v>
      </c>
    </row>
    <row r="42" spans="1:12" ht="15.75" customHeight="1">
      <c r="A42" s="20" t="s">
        <v>712</v>
      </c>
      <c r="B42" s="10" t="s">
        <v>632</v>
      </c>
      <c r="C42" s="11">
        <v>33469</v>
      </c>
      <c r="D42" s="10">
        <f t="shared" si="4"/>
        <v>28</v>
      </c>
      <c r="E42" s="10" t="s">
        <v>633</v>
      </c>
      <c r="F42" s="10" t="s">
        <v>713</v>
      </c>
      <c r="G42" s="12">
        <v>131927</v>
      </c>
      <c r="J42" s="21" t="s">
        <v>673</v>
      </c>
    </row>
    <row r="43" spans="1:12" ht="15.75" customHeight="1">
      <c r="A43" s="14" t="s">
        <v>714</v>
      </c>
      <c r="B43" s="10" t="s">
        <v>632</v>
      </c>
      <c r="C43" s="11">
        <v>25643</v>
      </c>
      <c r="D43" s="10">
        <f t="shared" si="4"/>
        <v>49</v>
      </c>
      <c r="E43" s="10" t="s">
        <v>679</v>
      </c>
      <c r="F43" s="10" t="s">
        <v>634</v>
      </c>
      <c r="G43" s="12">
        <v>506417</v>
      </c>
      <c r="K43" s="21" t="s">
        <v>673</v>
      </c>
      <c r="L43" s="21" t="s">
        <v>673</v>
      </c>
    </row>
    <row r="44" spans="1:12" ht="15.75" customHeight="1">
      <c r="A44" s="20" t="s">
        <v>715</v>
      </c>
      <c r="B44" s="10" t="s">
        <v>632</v>
      </c>
      <c r="C44" s="11">
        <v>32920</v>
      </c>
      <c r="D44" s="10">
        <f t="shared" si="4"/>
        <v>29</v>
      </c>
      <c r="E44" s="10" t="s">
        <v>656</v>
      </c>
      <c r="F44" s="10" t="s">
        <v>634</v>
      </c>
      <c r="G44" s="12">
        <v>123215.73</v>
      </c>
      <c r="K44" s="21" t="s">
        <v>673</v>
      </c>
    </row>
    <row r="45" spans="1:12" ht="15.75" customHeight="1">
      <c r="A45" s="14" t="s">
        <v>716</v>
      </c>
      <c r="B45" s="10" t="s">
        <v>632</v>
      </c>
      <c r="C45" s="11">
        <v>30264</v>
      </c>
      <c r="D45" s="10">
        <f t="shared" si="4"/>
        <v>37</v>
      </c>
      <c r="E45" s="10" t="s">
        <v>653</v>
      </c>
      <c r="F45" s="10" t="s">
        <v>634</v>
      </c>
      <c r="G45" s="12">
        <v>141649</v>
      </c>
    </row>
    <row r="46" spans="1:12" ht="15.75" customHeight="1">
      <c r="A46" s="14" t="s">
        <v>717</v>
      </c>
      <c r="B46" s="10" t="s">
        <v>640</v>
      </c>
      <c r="C46" s="11">
        <v>18097</v>
      </c>
      <c r="D46" s="10">
        <f t="shared" si="4"/>
        <v>70</v>
      </c>
      <c r="E46" s="10" t="s">
        <v>700</v>
      </c>
      <c r="F46" s="10" t="s">
        <v>634</v>
      </c>
      <c r="G46" s="12">
        <f>913577+225360</f>
        <v>1138937</v>
      </c>
    </row>
    <row r="47" spans="1:12" ht="15.75" customHeight="1">
      <c r="A47" s="20" t="s">
        <v>718</v>
      </c>
      <c r="B47" s="10" t="s">
        <v>632</v>
      </c>
      <c r="C47" s="11">
        <v>24085</v>
      </c>
      <c r="D47" s="10">
        <f t="shared" si="4"/>
        <v>54</v>
      </c>
      <c r="E47" s="10" t="s">
        <v>719</v>
      </c>
      <c r="F47" s="10"/>
      <c r="G47" s="12">
        <v>611765.67000000004</v>
      </c>
      <c r="L47" s="21" t="s">
        <v>673</v>
      </c>
    </row>
    <row r="48" spans="1:12" ht="15.75" customHeight="1">
      <c r="A48" s="23" t="s">
        <v>720</v>
      </c>
      <c r="B48" s="10" t="s">
        <v>640</v>
      </c>
      <c r="C48" s="11">
        <v>31943</v>
      </c>
      <c r="D48" s="10">
        <f t="shared" si="4"/>
        <v>32</v>
      </c>
      <c r="E48" s="10" t="s">
        <v>721</v>
      </c>
      <c r="F48" s="10" t="s">
        <v>634</v>
      </c>
      <c r="G48" s="12">
        <v>275126</v>
      </c>
    </row>
    <row r="49" spans="1:11" ht="15.75" customHeight="1">
      <c r="A49" s="23" t="s">
        <v>722</v>
      </c>
      <c r="B49" s="10" t="s">
        <v>632</v>
      </c>
      <c r="C49" s="11">
        <v>26994</v>
      </c>
      <c r="D49" s="10">
        <f t="shared" si="4"/>
        <v>46</v>
      </c>
      <c r="E49" s="10" t="s">
        <v>653</v>
      </c>
      <c r="F49" s="10" t="s">
        <v>634</v>
      </c>
      <c r="G49" s="12">
        <v>395619</v>
      </c>
    </row>
    <row r="50" spans="1:11" ht="15.75" customHeight="1">
      <c r="A50" s="23" t="s">
        <v>723</v>
      </c>
      <c r="B50" s="10" t="s">
        <v>632</v>
      </c>
      <c r="C50" s="11">
        <v>32175</v>
      </c>
      <c r="D50" s="10">
        <f t="shared" si="4"/>
        <v>31</v>
      </c>
      <c r="E50" s="10" t="s">
        <v>653</v>
      </c>
      <c r="F50" s="10" t="s">
        <v>634</v>
      </c>
      <c r="G50" s="12">
        <v>125506</v>
      </c>
      <c r="J50" s="21" t="s">
        <v>673</v>
      </c>
    </row>
    <row r="51" spans="1:11" ht="15.75" customHeight="1">
      <c r="A51" s="24" t="s">
        <v>724</v>
      </c>
      <c r="B51" s="10" t="s">
        <v>632</v>
      </c>
      <c r="C51" s="11">
        <v>29879</v>
      </c>
      <c r="D51" s="10">
        <f t="shared" si="4"/>
        <v>38</v>
      </c>
      <c r="E51" s="10" t="s">
        <v>679</v>
      </c>
      <c r="F51" s="10" t="s">
        <v>634</v>
      </c>
      <c r="G51" s="12">
        <f>165123+165077</f>
        <v>330200</v>
      </c>
      <c r="J51" s="21" t="s">
        <v>673</v>
      </c>
    </row>
    <row r="52" spans="1:11" ht="15.75" customHeight="1">
      <c r="A52" s="14" t="s">
        <v>725</v>
      </c>
      <c r="B52" s="10" t="s">
        <v>632</v>
      </c>
      <c r="C52" s="11">
        <v>22158</v>
      </c>
      <c r="D52" s="10">
        <f t="shared" si="4"/>
        <v>59</v>
      </c>
      <c r="E52" s="10" t="s">
        <v>726</v>
      </c>
      <c r="F52" s="10" t="s">
        <v>634</v>
      </c>
      <c r="G52" s="12">
        <v>167058</v>
      </c>
    </row>
    <row r="53" spans="1:11" ht="15.75" customHeight="1">
      <c r="A53" s="23" t="s">
        <v>727</v>
      </c>
      <c r="B53" s="10" t="s">
        <v>632</v>
      </c>
      <c r="C53" s="11">
        <v>13343</v>
      </c>
      <c r="D53" s="10">
        <f t="shared" si="4"/>
        <v>83</v>
      </c>
      <c r="E53" s="10" t="s">
        <v>668</v>
      </c>
      <c r="F53" s="10" t="s">
        <v>634</v>
      </c>
      <c r="G53" s="12">
        <v>119871</v>
      </c>
      <c r="J53" s="21" t="s">
        <v>673</v>
      </c>
    </row>
    <row r="54" spans="1:11" ht="15.75" customHeight="1">
      <c r="A54" s="25" t="s">
        <v>728</v>
      </c>
      <c r="B54" s="10" t="s">
        <v>640</v>
      </c>
      <c r="C54" s="11"/>
      <c r="D54" s="10"/>
      <c r="E54" s="10" t="s">
        <v>729</v>
      </c>
      <c r="F54" s="10"/>
      <c r="G54" s="12">
        <v>0</v>
      </c>
    </row>
    <row r="55" spans="1:11" ht="15.75" customHeight="1">
      <c r="A55" s="24" t="s">
        <v>730</v>
      </c>
      <c r="B55" s="10" t="s">
        <v>632</v>
      </c>
      <c r="C55" s="11">
        <v>23916</v>
      </c>
      <c r="D55" s="10">
        <f t="shared" ref="D55:D78" si="7">DATEDIF(C55,$C$121,"Y")</f>
        <v>54</v>
      </c>
      <c r="E55" s="10" t="s">
        <v>653</v>
      </c>
      <c r="F55" s="10" t="s">
        <v>634</v>
      </c>
      <c r="G55" s="12">
        <v>314725</v>
      </c>
    </row>
    <row r="56" spans="1:11" ht="15.75" customHeight="1">
      <c r="A56" s="24" t="s">
        <v>731</v>
      </c>
      <c r="B56" s="10" t="s">
        <v>632</v>
      </c>
      <c r="C56" s="11">
        <v>29508</v>
      </c>
      <c r="D56" s="10">
        <f t="shared" si="7"/>
        <v>39</v>
      </c>
      <c r="E56" s="10" t="s">
        <v>686</v>
      </c>
      <c r="F56" s="10" t="s">
        <v>634</v>
      </c>
      <c r="G56" s="12">
        <v>105215.56</v>
      </c>
    </row>
    <row r="57" spans="1:11" ht="15.75" customHeight="1">
      <c r="A57" s="23" t="s">
        <v>732</v>
      </c>
      <c r="B57" s="10" t="s">
        <v>632</v>
      </c>
      <c r="C57" s="11">
        <v>31417</v>
      </c>
      <c r="D57" s="10">
        <f t="shared" si="7"/>
        <v>33</v>
      </c>
      <c r="E57" s="10" t="s">
        <v>653</v>
      </c>
      <c r="F57" s="10" t="s">
        <v>634</v>
      </c>
      <c r="G57" s="12">
        <f>360253+251068</f>
        <v>611321</v>
      </c>
    </row>
    <row r="58" spans="1:11" ht="15.75" customHeight="1">
      <c r="A58" s="23" t="s">
        <v>733</v>
      </c>
      <c r="B58" s="10" t="s">
        <v>640</v>
      </c>
      <c r="C58" s="11">
        <v>27619</v>
      </c>
      <c r="D58" s="10">
        <f t="shared" si="7"/>
        <v>44</v>
      </c>
      <c r="E58" s="10" t="s">
        <v>662</v>
      </c>
      <c r="F58" s="10" t="s">
        <v>634</v>
      </c>
      <c r="G58" s="12">
        <v>189120</v>
      </c>
    </row>
    <row r="59" spans="1:11" ht="15.75" customHeight="1">
      <c r="A59" s="24" t="s">
        <v>734</v>
      </c>
      <c r="B59" s="10" t="s">
        <v>640</v>
      </c>
      <c r="C59" s="11">
        <v>21213</v>
      </c>
      <c r="D59" s="10">
        <f t="shared" si="7"/>
        <v>61</v>
      </c>
      <c r="E59" s="10" t="s">
        <v>644</v>
      </c>
      <c r="F59" s="10" t="s">
        <v>708</v>
      </c>
      <c r="G59" s="12">
        <v>16764.63</v>
      </c>
    </row>
    <row r="60" spans="1:11" ht="15.75" customHeight="1">
      <c r="A60" s="23" t="s">
        <v>735</v>
      </c>
      <c r="B60" s="10" t="s">
        <v>632</v>
      </c>
      <c r="C60" s="11">
        <v>20736</v>
      </c>
      <c r="D60" s="10">
        <f t="shared" si="7"/>
        <v>63</v>
      </c>
      <c r="E60" s="10"/>
      <c r="F60" s="10" t="s">
        <v>634</v>
      </c>
      <c r="G60" s="12">
        <v>129393</v>
      </c>
    </row>
    <row r="61" spans="1:11" ht="15.75" customHeight="1">
      <c r="A61" s="26" t="s">
        <v>736</v>
      </c>
      <c r="B61" s="10" t="s">
        <v>632</v>
      </c>
      <c r="C61" s="11">
        <v>21535</v>
      </c>
      <c r="D61" s="10">
        <f t="shared" si="7"/>
        <v>61</v>
      </c>
      <c r="E61" s="10" t="s">
        <v>633</v>
      </c>
      <c r="F61" s="10" t="s">
        <v>634</v>
      </c>
      <c r="G61" s="12">
        <v>69611</v>
      </c>
      <c r="K61" s="21"/>
    </row>
    <row r="62" spans="1:11" ht="15.75" customHeight="1">
      <c r="A62" s="14" t="s">
        <v>737</v>
      </c>
      <c r="B62" s="10" t="s">
        <v>640</v>
      </c>
      <c r="C62" s="11">
        <v>28071</v>
      </c>
      <c r="D62" s="10">
        <f t="shared" si="7"/>
        <v>43</v>
      </c>
      <c r="E62" s="10" t="s">
        <v>738</v>
      </c>
      <c r="F62" s="10" t="s">
        <v>634</v>
      </c>
      <c r="G62" s="12">
        <f>419503+311767</f>
        <v>731270</v>
      </c>
    </row>
    <row r="63" spans="1:11" ht="15.75" customHeight="1">
      <c r="A63" s="20" t="s">
        <v>739</v>
      </c>
      <c r="B63" s="10" t="s">
        <v>632</v>
      </c>
      <c r="C63" s="11">
        <v>27745</v>
      </c>
      <c r="D63" s="10">
        <f t="shared" si="7"/>
        <v>44</v>
      </c>
      <c r="E63" s="10" t="s">
        <v>656</v>
      </c>
      <c r="F63" s="10" t="s">
        <v>634</v>
      </c>
      <c r="G63" s="12">
        <f>994319.81+157168</f>
        <v>1151487.81</v>
      </c>
      <c r="J63" s="21" t="s">
        <v>673</v>
      </c>
    </row>
    <row r="64" spans="1:11" ht="15.75" customHeight="1">
      <c r="A64" s="14" t="s">
        <v>740</v>
      </c>
      <c r="B64" s="10" t="s">
        <v>640</v>
      </c>
      <c r="C64" s="11">
        <v>24999</v>
      </c>
      <c r="D64" s="10">
        <f t="shared" si="7"/>
        <v>51</v>
      </c>
      <c r="E64" s="10" t="s">
        <v>741</v>
      </c>
      <c r="F64" s="10" t="s">
        <v>634</v>
      </c>
      <c r="G64" s="12">
        <v>108326</v>
      </c>
      <c r="J64" s="21" t="s">
        <v>673</v>
      </c>
    </row>
    <row r="65" spans="1:12" ht="15.75" customHeight="1">
      <c r="A65" s="14" t="s">
        <v>742</v>
      </c>
      <c r="B65" s="10" t="s">
        <v>640</v>
      </c>
      <c r="C65" s="11">
        <v>18771</v>
      </c>
      <c r="D65" s="10">
        <f t="shared" si="7"/>
        <v>68</v>
      </c>
      <c r="E65" s="10" t="s">
        <v>700</v>
      </c>
      <c r="F65" s="10" t="s">
        <v>634</v>
      </c>
      <c r="G65" s="12">
        <v>92609</v>
      </c>
    </row>
    <row r="66" spans="1:12" ht="15.75" customHeight="1">
      <c r="A66" s="15" t="s">
        <v>743</v>
      </c>
      <c r="B66" s="10" t="s">
        <v>640</v>
      </c>
      <c r="C66" s="11">
        <v>27098</v>
      </c>
      <c r="D66" s="10">
        <f t="shared" si="7"/>
        <v>45</v>
      </c>
      <c r="E66" s="10" t="s">
        <v>662</v>
      </c>
      <c r="F66" s="10" t="s">
        <v>634</v>
      </c>
      <c r="G66" s="12">
        <v>44491.05</v>
      </c>
      <c r="L66" s="21" t="s">
        <v>673</v>
      </c>
    </row>
    <row r="67" spans="1:12" ht="15.75" customHeight="1">
      <c r="A67" s="14" t="s">
        <v>744</v>
      </c>
      <c r="B67" s="10" t="s">
        <v>640</v>
      </c>
      <c r="C67" s="11">
        <v>21881</v>
      </c>
      <c r="D67" s="10">
        <f t="shared" si="7"/>
        <v>60</v>
      </c>
      <c r="E67" s="10" t="s">
        <v>745</v>
      </c>
      <c r="F67" s="10" t="s">
        <v>634</v>
      </c>
      <c r="G67" s="12">
        <v>253693</v>
      </c>
      <c r="J67" s="21" t="s">
        <v>673</v>
      </c>
    </row>
    <row r="68" spans="1:12" ht="15.75" customHeight="1">
      <c r="A68" s="15" t="s">
        <v>746</v>
      </c>
      <c r="B68" s="10" t="s">
        <v>640</v>
      </c>
      <c r="C68" s="11">
        <v>20961</v>
      </c>
      <c r="D68" s="10">
        <f t="shared" si="7"/>
        <v>62</v>
      </c>
      <c r="E68" s="10" t="s">
        <v>747</v>
      </c>
      <c r="F68" s="10" t="s">
        <v>634</v>
      </c>
      <c r="G68" s="12">
        <v>268632.52</v>
      </c>
      <c r="J68" s="21" t="s">
        <v>673</v>
      </c>
    </row>
    <row r="69" spans="1:12" ht="15.75" customHeight="1">
      <c r="A69" s="22" t="s">
        <v>748</v>
      </c>
      <c r="B69" s="10" t="s">
        <v>640</v>
      </c>
      <c r="C69" s="11">
        <v>16541</v>
      </c>
      <c r="D69" s="10">
        <f t="shared" si="7"/>
        <v>74</v>
      </c>
      <c r="E69" s="10" t="s">
        <v>749</v>
      </c>
      <c r="F69" s="10" t="s">
        <v>634</v>
      </c>
      <c r="G69" s="12">
        <v>0</v>
      </c>
      <c r="L69" s="21" t="s">
        <v>673</v>
      </c>
    </row>
    <row r="70" spans="1:12" ht="15.75" customHeight="1">
      <c r="A70" s="15" t="s">
        <v>750</v>
      </c>
      <c r="B70" s="10" t="s">
        <v>640</v>
      </c>
      <c r="C70" s="11">
        <v>17371</v>
      </c>
      <c r="D70" s="10">
        <f t="shared" si="7"/>
        <v>72</v>
      </c>
      <c r="E70" s="10" t="s">
        <v>729</v>
      </c>
      <c r="F70" s="10" t="s">
        <v>708</v>
      </c>
      <c r="G70" s="12">
        <v>118173.01</v>
      </c>
    </row>
    <row r="71" spans="1:12" ht="15.75" customHeight="1">
      <c r="A71" s="14" t="s">
        <v>751</v>
      </c>
      <c r="B71" s="10" t="s">
        <v>640</v>
      </c>
      <c r="C71" s="11">
        <v>22041</v>
      </c>
      <c r="D71" s="10">
        <f t="shared" si="7"/>
        <v>59</v>
      </c>
      <c r="E71" s="10" t="s">
        <v>729</v>
      </c>
      <c r="F71" s="10" t="s">
        <v>634</v>
      </c>
      <c r="G71" s="12">
        <v>177455</v>
      </c>
      <c r="K71" s="21" t="s">
        <v>673</v>
      </c>
    </row>
    <row r="72" spans="1:12" ht="15.75" customHeight="1">
      <c r="A72" s="14" t="s">
        <v>752</v>
      </c>
      <c r="B72" s="10" t="s">
        <v>632</v>
      </c>
      <c r="C72" s="11">
        <v>28553</v>
      </c>
      <c r="D72" s="10">
        <f t="shared" si="7"/>
        <v>41</v>
      </c>
      <c r="E72" s="10" t="s">
        <v>679</v>
      </c>
      <c r="F72" s="10" t="s">
        <v>634</v>
      </c>
      <c r="G72" s="12">
        <v>115496</v>
      </c>
      <c r="J72" s="21" t="s">
        <v>673</v>
      </c>
    </row>
    <row r="73" spans="1:12" ht="15.75" customHeight="1">
      <c r="A73" s="14" t="s">
        <v>753</v>
      </c>
      <c r="B73" s="10" t="s">
        <v>632</v>
      </c>
      <c r="C73" s="11">
        <v>28738</v>
      </c>
      <c r="D73" s="10">
        <f t="shared" si="7"/>
        <v>41</v>
      </c>
      <c r="E73" s="10" t="s">
        <v>656</v>
      </c>
      <c r="F73" s="10" t="s">
        <v>634</v>
      </c>
      <c r="G73" s="12">
        <v>261709</v>
      </c>
    </row>
    <row r="74" spans="1:12" ht="15.75" customHeight="1">
      <c r="A74" s="15" t="s">
        <v>754</v>
      </c>
      <c r="B74" s="10" t="s">
        <v>632</v>
      </c>
      <c r="C74" s="11">
        <v>24095</v>
      </c>
      <c r="D74" s="10">
        <f t="shared" si="7"/>
        <v>54</v>
      </c>
      <c r="E74" s="10" t="s">
        <v>653</v>
      </c>
      <c r="F74" s="10" t="s">
        <v>634</v>
      </c>
      <c r="G74" s="12">
        <v>0</v>
      </c>
    </row>
    <row r="75" spans="1:12" ht="15.75" customHeight="1">
      <c r="A75" s="20" t="s">
        <v>755</v>
      </c>
      <c r="B75" s="10" t="s">
        <v>640</v>
      </c>
      <c r="C75" s="11">
        <v>25216</v>
      </c>
      <c r="D75" s="10">
        <f t="shared" si="7"/>
        <v>50</v>
      </c>
      <c r="E75" s="10" t="s">
        <v>756</v>
      </c>
      <c r="F75" s="10"/>
      <c r="G75" s="12">
        <v>695297.71</v>
      </c>
      <c r="J75" s="21" t="s">
        <v>673</v>
      </c>
    </row>
    <row r="76" spans="1:12" ht="15.75" customHeight="1">
      <c r="A76" s="15" t="s">
        <v>757</v>
      </c>
      <c r="B76" s="10" t="s">
        <v>632</v>
      </c>
      <c r="C76" s="11">
        <v>32329</v>
      </c>
      <c r="D76" s="10">
        <f t="shared" si="7"/>
        <v>31</v>
      </c>
      <c r="E76" s="10" t="s">
        <v>653</v>
      </c>
      <c r="F76" s="10" t="s">
        <v>634</v>
      </c>
      <c r="G76" s="12">
        <v>184409</v>
      </c>
      <c r="J76" s="21" t="s">
        <v>673</v>
      </c>
    </row>
    <row r="77" spans="1:12" ht="15.75" customHeight="1">
      <c r="A77" s="14" t="s">
        <v>758</v>
      </c>
      <c r="B77" s="10" t="s">
        <v>640</v>
      </c>
      <c r="C77" s="11">
        <v>30849</v>
      </c>
      <c r="D77" s="10">
        <f t="shared" si="7"/>
        <v>35</v>
      </c>
      <c r="E77" s="10" t="s">
        <v>662</v>
      </c>
      <c r="F77" s="10" t="s">
        <v>634</v>
      </c>
      <c r="G77" s="12">
        <v>117498</v>
      </c>
      <c r="K77" s="21" t="s">
        <v>673</v>
      </c>
    </row>
    <row r="78" spans="1:12" ht="15.75" customHeight="1">
      <c r="A78" s="14" t="s">
        <v>759</v>
      </c>
      <c r="B78" s="10" t="s">
        <v>640</v>
      </c>
      <c r="C78" s="11">
        <v>31945</v>
      </c>
      <c r="D78" s="10">
        <f t="shared" si="7"/>
        <v>32</v>
      </c>
      <c r="E78" s="10" t="s">
        <v>662</v>
      </c>
      <c r="F78" s="10" t="s">
        <v>634</v>
      </c>
      <c r="G78" s="12">
        <f>286683+108380</f>
        <v>395063</v>
      </c>
      <c r="J78" s="21" t="s">
        <v>673</v>
      </c>
    </row>
    <row r="79" spans="1:12" ht="15.75" customHeight="1">
      <c r="A79" s="14" t="s">
        <v>760</v>
      </c>
      <c r="B79" s="10" t="s">
        <v>640</v>
      </c>
      <c r="C79" s="11"/>
      <c r="D79" s="10"/>
      <c r="E79" s="10"/>
      <c r="F79" s="10" t="s">
        <v>634</v>
      </c>
      <c r="G79" s="12">
        <v>422200</v>
      </c>
    </row>
    <row r="80" spans="1:12" ht="15.75" customHeight="1">
      <c r="A80" s="20" t="s">
        <v>761</v>
      </c>
      <c r="B80" s="10" t="s">
        <v>632</v>
      </c>
      <c r="C80" s="11">
        <v>34492</v>
      </c>
      <c r="D80" s="10">
        <f t="shared" ref="D80:D83" si="8">DATEDIF(C80,$C$121,"Y")</f>
        <v>25</v>
      </c>
      <c r="E80" s="10" t="s">
        <v>679</v>
      </c>
      <c r="F80" s="10" t="s">
        <v>762</v>
      </c>
      <c r="G80" s="12">
        <v>82175.56</v>
      </c>
      <c r="K80" s="21" t="s">
        <v>673</v>
      </c>
    </row>
    <row r="81" spans="1:11" ht="15.75" customHeight="1">
      <c r="A81" s="15" t="s">
        <v>763</v>
      </c>
      <c r="B81" s="10" t="s">
        <v>632</v>
      </c>
      <c r="C81" s="11">
        <v>20947</v>
      </c>
      <c r="D81" s="10">
        <f t="shared" si="8"/>
        <v>62</v>
      </c>
      <c r="E81" s="10" t="s">
        <v>653</v>
      </c>
      <c r="F81" s="10" t="s">
        <v>764</v>
      </c>
      <c r="G81" s="12">
        <v>100737.25</v>
      </c>
    </row>
    <row r="82" spans="1:11" ht="15.75" customHeight="1">
      <c r="A82" s="20" t="s">
        <v>765</v>
      </c>
      <c r="B82" s="10" t="s">
        <v>632</v>
      </c>
      <c r="C82" s="11">
        <v>29139</v>
      </c>
      <c r="D82" s="10">
        <f t="shared" si="8"/>
        <v>40</v>
      </c>
      <c r="E82" s="10" t="s">
        <v>656</v>
      </c>
      <c r="F82" s="10"/>
      <c r="G82" s="12">
        <v>310286.32</v>
      </c>
    </row>
    <row r="83" spans="1:11" ht="15.75" customHeight="1">
      <c r="A83" s="14" t="s">
        <v>766</v>
      </c>
      <c r="B83" s="10" t="s">
        <v>632</v>
      </c>
      <c r="C83" s="11">
        <v>31630</v>
      </c>
      <c r="D83" s="10">
        <f t="shared" si="8"/>
        <v>33</v>
      </c>
      <c r="E83" s="10" t="s">
        <v>679</v>
      </c>
      <c r="F83" s="10" t="s">
        <v>634</v>
      </c>
      <c r="G83" s="12">
        <v>0</v>
      </c>
      <c r="J83" s="21" t="s">
        <v>673</v>
      </c>
    </row>
    <row r="84" spans="1:11" ht="15.75" customHeight="1">
      <c r="A84" s="14" t="s">
        <v>767</v>
      </c>
      <c r="B84" s="10" t="s">
        <v>632</v>
      </c>
      <c r="C84" s="11"/>
      <c r="D84" s="10"/>
      <c r="E84" s="10"/>
      <c r="F84" s="10" t="s">
        <v>634</v>
      </c>
      <c r="G84" s="12">
        <v>113888</v>
      </c>
      <c r="K84" s="21" t="s">
        <v>673</v>
      </c>
    </row>
    <row r="85" spans="1:11" ht="15.75" customHeight="1">
      <c r="A85" s="14" t="s">
        <v>768</v>
      </c>
      <c r="B85" s="10" t="s">
        <v>632</v>
      </c>
      <c r="C85" s="11">
        <v>28975</v>
      </c>
      <c r="D85" s="10">
        <f t="shared" ref="D85:D89" si="9">DATEDIF(C85,$C$121,"Y")</f>
        <v>40</v>
      </c>
      <c r="E85" s="10" t="s">
        <v>681</v>
      </c>
      <c r="F85" s="10" t="s">
        <v>634</v>
      </c>
      <c r="G85" s="12">
        <v>126001</v>
      </c>
    </row>
    <row r="86" spans="1:11" ht="15.75" customHeight="1">
      <c r="A86" s="14" t="s">
        <v>769</v>
      </c>
      <c r="B86" s="10" t="s">
        <v>632</v>
      </c>
      <c r="C86" s="11">
        <v>23401</v>
      </c>
      <c r="D86" s="10">
        <f t="shared" si="9"/>
        <v>55</v>
      </c>
      <c r="E86" s="10" t="s">
        <v>653</v>
      </c>
      <c r="F86" s="10" t="s">
        <v>634</v>
      </c>
      <c r="G86" s="12">
        <f>532885+733156+661796</f>
        <v>1927837</v>
      </c>
      <c r="J86" s="21" t="s">
        <v>673</v>
      </c>
    </row>
    <row r="87" spans="1:11" ht="15.75" customHeight="1">
      <c r="A87" s="14" t="s">
        <v>770</v>
      </c>
      <c r="B87" s="10" t="s">
        <v>632</v>
      </c>
      <c r="C87" s="11">
        <v>31878</v>
      </c>
      <c r="D87" s="10">
        <f t="shared" si="9"/>
        <v>32</v>
      </c>
      <c r="E87" s="10" t="s">
        <v>771</v>
      </c>
      <c r="F87" s="10" t="s">
        <v>634</v>
      </c>
      <c r="G87" s="12">
        <v>377504</v>
      </c>
      <c r="K87" s="21" t="s">
        <v>673</v>
      </c>
    </row>
    <row r="88" spans="1:11" ht="15.75" customHeight="1">
      <c r="A88" s="22" t="s">
        <v>772</v>
      </c>
      <c r="B88" s="10" t="s">
        <v>632</v>
      </c>
      <c r="C88" s="11">
        <v>31643</v>
      </c>
      <c r="D88" s="10">
        <f t="shared" si="9"/>
        <v>33</v>
      </c>
      <c r="E88" s="10" t="s">
        <v>644</v>
      </c>
      <c r="F88" s="10" t="s">
        <v>647</v>
      </c>
      <c r="G88" s="12">
        <v>0</v>
      </c>
      <c r="J88" s="21" t="s">
        <v>673</v>
      </c>
    </row>
    <row r="89" spans="1:11" ht="15.75" customHeight="1">
      <c r="A89" s="15" t="s">
        <v>773</v>
      </c>
      <c r="B89" s="10" t="s">
        <v>632</v>
      </c>
      <c r="C89" s="11">
        <v>32438</v>
      </c>
      <c r="D89" s="10">
        <f t="shared" si="9"/>
        <v>31</v>
      </c>
      <c r="E89" s="10" t="s">
        <v>693</v>
      </c>
      <c r="F89" s="10" t="s">
        <v>634</v>
      </c>
      <c r="G89" s="12">
        <v>119890</v>
      </c>
      <c r="J89" s="21" t="s">
        <v>673</v>
      </c>
    </row>
    <row r="90" spans="1:11" ht="15.75" customHeight="1">
      <c r="A90" s="15" t="s">
        <v>774</v>
      </c>
      <c r="B90" s="10" t="s">
        <v>640</v>
      </c>
      <c r="C90" s="11"/>
      <c r="D90" s="10"/>
      <c r="E90" s="10" t="s">
        <v>641</v>
      </c>
      <c r="F90" s="10"/>
      <c r="G90" s="12"/>
      <c r="J90" s="21"/>
    </row>
    <row r="91" spans="1:11" ht="15.75" customHeight="1">
      <c r="A91" s="20" t="s">
        <v>775</v>
      </c>
      <c r="B91" s="10" t="s">
        <v>632</v>
      </c>
      <c r="C91" s="11">
        <v>31537</v>
      </c>
      <c r="D91" s="10">
        <f t="shared" ref="D91:D118" si="10">DATEDIF(C91,$C$121,"Y")</f>
        <v>33</v>
      </c>
      <c r="E91" s="10" t="s">
        <v>653</v>
      </c>
      <c r="F91" s="10"/>
      <c r="G91" s="12">
        <v>403425.55</v>
      </c>
      <c r="J91" s="21" t="s">
        <v>673</v>
      </c>
    </row>
    <row r="92" spans="1:11" ht="15.75" customHeight="1">
      <c r="A92" s="14" t="s">
        <v>776</v>
      </c>
      <c r="B92" s="10" t="s">
        <v>632</v>
      </c>
      <c r="C92" s="11">
        <v>32791</v>
      </c>
      <c r="D92" s="10">
        <f t="shared" si="10"/>
        <v>30</v>
      </c>
      <c r="E92" s="10" t="s">
        <v>679</v>
      </c>
      <c r="F92" s="10" t="s">
        <v>634</v>
      </c>
      <c r="G92" s="12">
        <v>153385</v>
      </c>
      <c r="J92" s="21" t="s">
        <v>673</v>
      </c>
    </row>
    <row r="93" spans="1:11" ht="15.75" customHeight="1">
      <c r="A93" s="15" t="s">
        <v>777</v>
      </c>
      <c r="B93" s="10" t="s">
        <v>640</v>
      </c>
      <c r="C93" s="11">
        <v>32384</v>
      </c>
      <c r="D93" s="10">
        <f t="shared" si="10"/>
        <v>31</v>
      </c>
      <c r="E93" s="10" t="s">
        <v>665</v>
      </c>
      <c r="F93" s="10" t="s">
        <v>634</v>
      </c>
      <c r="G93" s="12">
        <v>96201.29</v>
      </c>
      <c r="J93" s="21" t="s">
        <v>673</v>
      </c>
      <c r="K93" s="21" t="s">
        <v>673</v>
      </c>
    </row>
    <row r="94" spans="1:11" ht="15.75" customHeight="1">
      <c r="A94" s="14" t="s">
        <v>778</v>
      </c>
      <c r="B94" s="10" t="s">
        <v>640</v>
      </c>
      <c r="C94" s="11">
        <v>25391</v>
      </c>
      <c r="D94" s="10">
        <f t="shared" si="10"/>
        <v>50</v>
      </c>
      <c r="E94" s="10" t="s">
        <v>662</v>
      </c>
      <c r="F94" s="10" t="s">
        <v>634</v>
      </c>
      <c r="G94" s="12">
        <v>59844</v>
      </c>
      <c r="J94" s="21" t="s">
        <v>673</v>
      </c>
    </row>
    <row r="95" spans="1:11" ht="15.75" customHeight="1">
      <c r="A95" s="14" t="s">
        <v>779</v>
      </c>
      <c r="B95" s="10" t="s">
        <v>632</v>
      </c>
      <c r="C95" s="11">
        <v>24203</v>
      </c>
      <c r="D95" s="10">
        <f t="shared" si="10"/>
        <v>53</v>
      </c>
      <c r="E95" s="10" t="s">
        <v>653</v>
      </c>
      <c r="F95" s="10" t="s">
        <v>634</v>
      </c>
      <c r="G95" s="12">
        <v>308040</v>
      </c>
    </row>
    <row r="96" spans="1:11" ht="15.75" customHeight="1">
      <c r="A96" s="14" t="s">
        <v>780</v>
      </c>
      <c r="B96" s="10" t="s">
        <v>632</v>
      </c>
      <c r="C96" s="11">
        <v>20888</v>
      </c>
      <c r="D96" s="10">
        <f t="shared" si="10"/>
        <v>62</v>
      </c>
      <c r="E96" s="10" t="s">
        <v>633</v>
      </c>
      <c r="F96" s="10" t="s">
        <v>634</v>
      </c>
      <c r="G96" s="12">
        <v>1017197</v>
      </c>
      <c r="J96" s="21" t="s">
        <v>673</v>
      </c>
      <c r="K96" s="21" t="s">
        <v>673</v>
      </c>
    </row>
    <row r="97" spans="1:13" ht="15.75" customHeight="1">
      <c r="A97" s="15" t="s">
        <v>781</v>
      </c>
      <c r="B97" s="10" t="s">
        <v>632</v>
      </c>
      <c r="C97" s="11">
        <v>21799</v>
      </c>
      <c r="D97" s="10">
        <f t="shared" si="10"/>
        <v>60</v>
      </c>
      <c r="E97" s="10" t="s">
        <v>681</v>
      </c>
      <c r="F97" s="10" t="s">
        <v>634</v>
      </c>
      <c r="G97" s="12">
        <v>71421.48</v>
      </c>
    </row>
    <row r="98" spans="1:13" ht="15.75" customHeight="1">
      <c r="A98" s="14" t="s">
        <v>782</v>
      </c>
      <c r="B98" s="10" t="s">
        <v>640</v>
      </c>
      <c r="C98" s="11">
        <v>21043</v>
      </c>
      <c r="D98" s="10">
        <f t="shared" si="10"/>
        <v>62</v>
      </c>
      <c r="E98" s="10" t="s">
        <v>729</v>
      </c>
      <c r="F98" s="10" t="s">
        <v>634</v>
      </c>
      <c r="G98" s="12">
        <v>67969</v>
      </c>
      <c r="J98" s="21" t="s">
        <v>673</v>
      </c>
    </row>
    <row r="99" spans="1:13" ht="15.75" customHeight="1">
      <c r="A99" s="14" t="s">
        <v>783</v>
      </c>
      <c r="B99" s="10" t="s">
        <v>632</v>
      </c>
      <c r="C99" s="11">
        <v>29136</v>
      </c>
      <c r="D99" s="10">
        <f t="shared" si="10"/>
        <v>40</v>
      </c>
      <c r="E99" s="10" t="s">
        <v>633</v>
      </c>
      <c r="F99" s="10" t="s">
        <v>634</v>
      </c>
      <c r="G99" s="12">
        <v>62757</v>
      </c>
    </row>
    <row r="100" spans="1:13" ht="15.75" customHeight="1">
      <c r="A100" s="14" t="s">
        <v>784</v>
      </c>
      <c r="B100" s="10" t="s">
        <v>632</v>
      </c>
      <c r="C100" s="11">
        <v>32029</v>
      </c>
      <c r="D100" s="10">
        <f t="shared" si="10"/>
        <v>32</v>
      </c>
      <c r="E100" s="10" t="s">
        <v>633</v>
      </c>
      <c r="F100" s="10" t="s">
        <v>634</v>
      </c>
      <c r="G100" s="12">
        <f>133946+176866</f>
        <v>310812</v>
      </c>
      <c r="J100" s="21" t="s">
        <v>673</v>
      </c>
    </row>
    <row r="101" spans="1:13" ht="15.75" customHeight="1">
      <c r="A101" s="14" t="s">
        <v>785</v>
      </c>
      <c r="B101" s="10" t="s">
        <v>632</v>
      </c>
      <c r="C101" s="11">
        <v>24485</v>
      </c>
      <c r="D101" s="10">
        <f t="shared" si="10"/>
        <v>52</v>
      </c>
      <c r="E101" s="10" t="s">
        <v>679</v>
      </c>
      <c r="F101" s="10" t="s">
        <v>634</v>
      </c>
      <c r="G101" s="12">
        <v>60784</v>
      </c>
    </row>
    <row r="102" spans="1:13" ht="15.75" customHeight="1">
      <c r="A102" s="20" t="s">
        <v>786</v>
      </c>
      <c r="B102" s="10" t="s">
        <v>640</v>
      </c>
      <c r="C102" s="11">
        <v>21939</v>
      </c>
      <c r="D102" s="10">
        <f t="shared" si="10"/>
        <v>59</v>
      </c>
      <c r="E102" s="10" t="s">
        <v>741</v>
      </c>
      <c r="F102" s="10"/>
      <c r="G102" s="12">
        <v>198476.5</v>
      </c>
    </row>
    <row r="103" spans="1:13" ht="15.75" customHeight="1">
      <c r="A103" s="20" t="s">
        <v>787</v>
      </c>
      <c r="B103" s="10" t="s">
        <v>632</v>
      </c>
      <c r="C103" s="11">
        <v>27955</v>
      </c>
      <c r="D103" s="10">
        <f t="shared" si="10"/>
        <v>43</v>
      </c>
      <c r="E103" s="10" t="s">
        <v>686</v>
      </c>
      <c r="F103" s="10" t="s">
        <v>634</v>
      </c>
      <c r="G103" s="12">
        <v>150629.56</v>
      </c>
      <c r="M103" s="21" t="s">
        <v>673</v>
      </c>
    </row>
    <row r="104" spans="1:13" ht="15.75" customHeight="1">
      <c r="A104" s="14" t="s">
        <v>788</v>
      </c>
      <c r="B104" s="10" t="s">
        <v>640</v>
      </c>
      <c r="C104" s="11">
        <v>28704</v>
      </c>
      <c r="D104" s="10">
        <f t="shared" si="10"/>
        <v>41</v>
      </c>
      <c r="E104" s="10" t="s">
        <v>644</v>
      </c>
      <c r="F104" s="10" t="s">
        <v>708</v>
      </c>
      <c r="G104" s="12">
        <v>100118.47</v>
      </c>
      <c r="H104" s="21"/>
      <c r="I104" s="21"/>
    </row>
    <row r="105" spans="1:13" ht="15.75" customHeight="1">
      <c r="A105" s="20" t="s">
        <v>789</v>
      </c>
      <c r="B105" s="10" t="s">
        <v>640</v>
      </c>
      <c r="C105" s="11">
        <v>29520</v>
      </c>
      <c r="D105" s="10">
        <f t="shared" si="10"/>
        <v>39</v>
      </c>
      <c r="E105" s="10" t="s">
        <v>790</v>
      </c>
      <c r="F105" s="10"/>
      <c r="G105" s="12">
        <v>354808.07</v>
      </c>
      <c r="L105" s="21" t="s">
        <v>673</v>
      </c>
    </row>
    <row r="106" spans="1:13" ht="15.75" customHeight="1">
      <c r="A106" s="15" t="s">
        <v>791</v>
      </c>
      <c r="B106" s="10" t="s">
        <v>640</v>
      </c>
      <c r="C106" s="11">
        <v>29544</v>
      </c>
      <c r="D106" s="10">
        <f t="shared" si="10"/>
        <v>39</v>
      </c>
      <c r="E106" s="10" t="s">
        <v>756</v>
      </c>
      <c r="F106" s="10" t="s">
        <v>634</v>
      </c>
      <c r="G106" s="12">
        <v>103186</v>
      </c>
      <c r="K106" s="21" t="s">
        <v>673</v>
      </c>
    </row>
    <row r="107" spans="1:13" ht="15.75" customHeight="1">
      <c r="A107" s="14" t="s">
        <v>792</v>
      </c>
      <c r="B107" s="10" t="s">
        <v>640</v>
      </c>
      <c r="C107" s="11">
        <v>21261</v>
      </c>
      <c r="D107" s="10">
        <f t="shared" si="10"/>
        <v>61</v>
      </c>
      <c r="E107" s="10" t="s">
        <v>793</v>
      </c>
      <c r="F107" s="10" t="s">
        <v>669</v>
      </c>
      <c r="G107" s="12">
        <v>210352</v>
      </c>
      <c r="J107" s="21" t="s">
        <v>673</v>
      </c>
    </row>
    <row r="108" spans="1:13" ht="15.75" customHeight="1">
      <c r="A108" s="20" t="s">
        <v>794</v>
      </c>
      <c r="B108" s="10" t="s">
        <v>632</v>
      </c>
      <c r="C108" s="11">
        <v>21704</v>
      </c>
      <c r="D108" s="10">
        <f t="shared" si="10"/>
        <v>60</v>
      </c>
      <c r="E108" s="10" t="s">
        <v>679</v>
      </c>
      <c r="F108" s="10"/>
      <c r="G108" s="12">
        <v>518146.65</v>
      </c>
      <c r="K108" s="21" t="s">
        <v>673</v>
      </c>
    </row>
    <row r="109" spans="1:13" ht="15.75" customHeight="1">
      <c r="A109" s="15" t="s">
        <v>795</v>
      </c>
      <c r="B109" s="10" t="s">
        <v>640</v>
      </c>
      <c r="C109" s="11">
        <v>21926</v>
      </c>
      <c r="D109" s="10">
        <f t="shared" si="10"/>
        <v>59</v>
      </c>
      <c r="E109" s="10" t="s">
        <v>700</v>
      </c>
      <c r="F109" s="10" t="s">
        <v>634</v>
      </c>
      <c r="G109" s="12">
        <v>168315</v>
      </c>
    </row>
    <row r="110" spans="1:13" ht="15.75" customHeight="1">
      <c r="A110" s="14" t="s">
        <v>796</v>
      </c>
      <c r="B110" s="10" t="s">
        <v>640</v>
      </c>
      <c r="C110" s="11">
        <v>31805</v>
      </c>
      <c r="D110" s="10">
        <f t="shared" si="10"/>
        <v>32</v>
      </c>
      <c r="E110" s="10" t="s">
        <v>797</v>
      </c>
      <c r="F110" s="10" t="s">
        <v>634</v>
      </c>
      <c r="G110" s="12">
        <v>123497</v>
      </c>
    </row>
    <row r="111" spans="1:13" ht="15.75" customHeight="1">
      <c r="A111" s="14" t="s">
        <v>798</v>
      </c>
      <c r="B111" s="10" t="s">
        <v>640</v>
      </c>
      <c r="C111" s="11">
        <v>32080</v>
      </c>
      <c r="D111" s="10">
        <f t="shared" si="10"/>
        <v>32</v>
      </c>
      <c r="E111" s="10" t="s">
        <v>662</v>
      </c>
      <c r="F111" s="10" t="s">
        <v>634</v>
      </c>
      <c r="G111" s="12">
        <v>135476</v>
      </c>
    </row>
    <row r="112" spans="1:13" ht="15.75" customHeight="1">
      <c r="A112" s="14" t="s">
        <v>799</v>
      </c>
      <c r="B112" s="10" t="s">
        <v>640</v>
      </c>
      <c r="C112" s="11">
        <v>32700</v>
      </c>
      <c r="D112" s="10">
        <f t="shared" si="10"/>
        <v>30</v>
      </c>
      <c r="E112" s="10" t="s">
        <v>800</v>
      </c>
      <c r="F112" s="10" t="s">
        <v>634</v>
      </c>
      <c r="G112" s="12">
        <v>5250</v>
      </c>
      <c r="J112" s="21" t="s">
        <v>673</v>
      </c>
    </row>
    <row r="113" spans="1:12" ht="15.75" customHeight="1">
      <c r="A113" s="14" t="s">
        <v>801</v>
      </c>
      <c r="B113" s="10" t="s">
        <v>632</v>
      </c>
      <c r="C113" s="11">
        <v>29491</v>
      </c>
      <c r="D113" s="10">
        <f t="shared" si="10"/>
        <v>39</v>
      </c>
      <c r="E113" s="10"/>
      <c r="F113" s="10" t="s">
        <v>634</v>
      </c>
      <c r="G113" s="12">
        <v>61457</v>
      </c>
      <c r="J113" s="21" t="s">
        <v>673</v>
      </c>
    </row>
    <row r="114" spans="1:12" ht="15.75" customHeight="1">
      <c r="A114" s="22" t="s">
        <v>802</v>
      </c>
      <c r="B114" s="10" t="s">
        <v>632</v>
      </c>
      <c r="C114" s="11">
        <v>20383</v>
      </c>
      <c r="D114" s="10">
        <f t="shared" si="10"/>
        <v>64</v>
      </c>
      <c r="E114" s="10" t="s">
        <v>803</v>
      </c>
      <c r="F114" s="10" t="s">
        <v>634</v>
      </c>
      <c r="G114" s="12">
        <v>185472</v>
      </c>
      <c r="J114" s="21" t="s">
        <v>673</v>
      </c>
      <c r="K114" s="21" t="s">
        <v>673</v>
      </c>
    </row>
    <row r="115" spans="1:12" ht="15.75" customHeight="1">
      <c r="A115" s="15" t="s">
        <v>804</v>
      </c>
      <c r="B115" s="10" t="s">
        <v>632</v>
      </c>
      <c r="C115" s="11">
        <v>36924</v>
      </c>
      <c r="D115" s="10">
        <f t="shared" si="10"/>
        <v>18</v>
      </c>
      <c r="E115" s="10" t="s">
        <v>653</v>
      </c>
      <c r="F115" s="10" t="s">
        <v>634</v>
      </c>
      <c r="G115" s="12">
        <v>238256</v>
      </c>
      <c r="L115" s="21" t="s">
        <v>673</v>
      </c>
    </row>
    <row r="116" spans="1:12" ht="15.75" customHeight="1">
      <c r="A116" s="14" t="s">
        <v>805</v>
      </c>
      <c r="B116" s="10" t="s">
        <v>640</v>
      </c>
      <c r="C116" s="11">
        <v>21111</v>
      </c>
      <c r="D116" s="10">
        <f t="shared" si="10"/>
        <v>62</v>
      </c>
      <c r="E116" s="10" t="s">
        <v>700</v>
      </c>
      <c r="F116" s="10" t="s">
        <v>634</v>
      </c>
      <c r="G116" s="12">
        <v>612317</v>
      </c>
    </row>
    <row r="117" spans="1:12" ht="15.75" customHeight="1">
      <c r="A117" s="14" t="s">
        <v>806</v>
      </c>
      <c r="B117" s="10" t="s">
        <v>632</v>
      </c>
      <c r="C117" s="11">
        <v>24865</v>
      </c>
      <c r="D117" s="10">
        <f t="shared" si="10"/>
        <v>51</v>
      </c>
      <c r="E117" s="10" t="s">
        <v>644</v>
      </c>
      <c r="F117" s="10" t="s">
        <v>634</v>
      </c>
      <c r="G117" s="12">
        <v>278735</v>
      </c>
    </row>
    <row r="118" spans="1:12" ht="15.75" customHeight="1">
      <c r="A118" s="20" t="s">
        <v>807</v>
      </c>
      <c r="B118" s="10" t="s">
        <v>632</v>
      </c>
      <c r="C118" s="11">
        <v>28041</v>
      </c>
      <c r="D118" s="10">
        <f t="shared" si="10"/>
        <v>43</v>
      </c>
      <c r="E118" s="10" t="s">
        <v>808</v>
      </c>
      <c r="F118" s="10"/>
      <c r="G118" s="12">
        <v>104765.52</v>
      </c>
    </row>
    <row r="119" spans="1:12" ht="15.75" customHeight="1">
      <c r="B119" s="27"/>
      <c r="C119" s="27" t="s">
        <v>809</v>
      </c>
      <c r="D119" s="27"/>
      <c r="E119" s="27" t="s">
        <v>809</v>
      </c>
      <c r="F119" s="27"/>
      <c r="G119" s="27" t="s">
        <v>635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673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810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811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812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624</v>
      </c>
      <c r="B1" s="31" t="s">
        <v>813</v>
      </c>
      <c r="C1" s="31" t="s">
        <v>814</v>
      </c>
      <c r="D1" s="31" t="s">
        <v>815</v>
      </c>
      <c r="E1" s="32"/>
      <c r="F1" s="32" t="s">
        <v>816</v>
      </c>
      <c r="G1" s="32" t="s">
        <v>817</v>
      </c>
      <c r="H1" s="32" t="s">
        <v>818</v>
      </c>
      <c r="I1" s="32" t="s">
        <v>819</v>
      </c>
      <c r="J1" s="32" t="s">
        <v>820</v>
      </c>
      <c r="K1" s="32" t="s">
        <v>821</v>
      </c>
      <c r="L1" s="32"/>
      <c r="M1" s="32" t="s">
        <v>822</v>
      </c>
      <c r="N1" s="32" t="s">
        <v>823</v>
      </c>
      <c r="O1" s="32" t="s">
        <v>824</v>
      </c>
      <c r="P1" s="32" t="s">
        <v>825</v>
      </c>
      <c r="Q1" s="32" t="s">
        <v>826</v>
      </c>
      <c r="R1" s="32" t="s">
        <v>827</v>
      </c>
    </row>
    <row r="2" spans="1:18" ht="15.75" customHeight="1">
      <c r="A2" s="15" t="s">
        <v>828</v>
      </c>
      <c r="B2" s="10">
        <v>5490529</v>
      </c>
      <c r="C2" s="10" t="s">
        <v>829</v>
      </c>
      <c r="D2" s="10" t="s">
        <v>829</v>
      </c>
      <c r="E2" s="10" t="str">
        <f>IFERROR(VLOOKUP(D2,'Cadastro de assessores'!A:B,2,FALSE),"Não Cadastrado")</f>
        <v>18986</v>
      </c>
      <c r="F2" s="33" t="s">
        <v>830</v>
      </c>
      <c r="G2" s="33" t="s">
        <v>59</v>
      </c>
      <c r="H2" s="34">
        <v>44222</v>
      </c>
      <c r="I2" s="10" t="s">
        <v>831</v>
      </c>
      <c r="J2" s="16">
        <v>0.02</v>
      </c>
      <c r="K2" s="35" t="s">
        <v>832</v>
      </c>
      <c r="L2" s="36" t="s">
        <v>86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833</v>
      </c>
      <c r="B3" s="10">
        <v>1759765</v>
      </c>
      <c r="C3" s="10" t="s">
        <v>834</v>
      </c>
      <c r="D3" s="10" t="s">
        <v>835</v>
      </c>
      <c r="E3" s="10" t="str">
        <f>IFERROR(VLOOKUP(D3,'Cadastro de assessores'!A:B,2,FALSE),"Não Cadastrado")</f>
        <v>14739</v>
      </c>
      <c r="F3" s="33" t="s">
        <v>830</v>
      </c>
      <c r="G3" s="33" t="s">
        <v>59</v>
      </c>
      <c r="H3" s="34">
        <v>44321</v>
      </c>
      <c r="I3" s="10" t="s">
        <v>105</v>
      </c>
      <c r="J3" s="16">
        <v>1.2E-2</v>
      </c>
      <c r="K3" s="35" t="s">
        <v>836</v>
      </c>
      <c r="L3" s="36" t="s">
        <v>86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815</v>
      </c>
      <c r="B1" s="84" t="s">
        <v>837</v>
      </c>
      <c r="C1" s="15" t="s">
        <v>816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838</v>
      </c>
      <c r="B2" s="84" t="s">
        <v>839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840</v>
      </c>
      <c r="B3" s="84" t="s">
        <v>841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842</v>
      </c>
      <c r="B4" s="84" t="s">
        <v>843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844</v>
      </c>
      <c r="B5" s="84" t="s">
        <v>845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846</v>
      </c>
      <c r="B6" s="84" t="s">
        <v>847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848</v>
      </c>
      <c r="B7" s="84" t="s">
        <v>849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850</v>
      </c>
      <c r="B8" s="84" t="s">
        <v>851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852</v>
      </c>
      <c r="B9" s="84" t="s">
        <v>853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854</v>
      </c>
      <c r="B10" s="84" t="s">
        <v>855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829</v>
      </c>
      <c r="B11" s="84" t="s">
        <v>856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857</v>
      </c>
      <c r="B12" s="84" t="s">
        <v>858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859</v>
      </c>
      <c r="B13" s="84" t="s">
        <v>860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861</v>
      </c>
      <c r="B14" s="84" t="s">
        <v>862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863</v>
      </c>
      <c r="B15" s="84" t="s">
        <v>864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865</v>
      </c>
      <c r="B16" s="84" t="s">
        <v>866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867</v>
      </c>
      <c r="B17" s="84" t="s">
        <v>868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869</v>
      </c>
      <c r="B18" s="84" t="s">
        <v>870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871</v>
      </c>
      <c r="B19" s="84" t="s">
        <v>872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873</v>
      </c>
      <c r="B20" s="84" t="s">
        <v>874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875</v>
      </c>
      <c r="B21" s="84" t="s">
        <v>876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877</v>
      </c>
      <c r="B22" s="84" t="s">
        <v>878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879</v>
      </c>
      <c r="B23" s="84" t="s">
        <v>880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881</v>
      </c>
      <c r="B24" s="84" t="s">
        <v>882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883</v>
      </c>
      <c r="B25" s="84" t="s">
        <v>884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885</v>
      </c>
      <c r="B26" s="84" t="s">
        <v>886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887</v>
      </c>
      <c r="B27" s="84" t="s">
        <v>888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889</v>
      </c>
      <c r="B28" s="84" t="s">
        <v>890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891</v>
      </c>
      <c r="B29" s="84" t="s">
        <v>892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893</v>
      </c>
      <c r="B30" s="84" t="s">
        <v>894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895</v>
      </c>
      <c r="B31" s="84" t="s">
        <v>896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897</v>
      </c>
      <c r="B32" s="84" t="s">
        <v>898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899</v>
      </c>
      <c r="B33" s="84" t="s">
        <v>900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901</v>
      </c>
      <c r="B34" s="84" t="s">
        <v>902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903</v>
      </c>
      <c r="B35" s="84" t="s">
        <v>904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905</v>
      </c>
      <c r="B36" s="84" t="s">
        <v>906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907</v>
      </c>
      <c r="B37" s="84" t="s">
        <v>908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909</v>
      </c>
      <c r="B38" s="84" t="s">
        <v>910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911</v>
      </c>
      <c r="B39" s="84" t="s">
        <v>912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913</v>
      </c>
      <c r="B40" s="84" t="s">
        <v>914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915</v>
      </c>
      <c r="B41" s="84" t="s">
        <v>916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917</v>
      </c>
      <c r="B42" s="84" t="s">
        <v>918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919</v>
      </c>
      <c r="B43" s="84" t="s">
        <v>920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921</v>
      </c>
      <c r="B44" s="84" t="s">
        <v>922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923</v>
      </c>
      <c r="B45" s="84" t="s">
        <v>924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835</v>
      </c>
      <c r="B46" s="84" t="s">
        <v>925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926</v>
      </c>
      <c r="B47" s="84" t="s">
        <v>927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928</v>
      </c>
      <c r="B48" s="84" t="s">
        <v>929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930</v>
      </c>
      <c r="B49" s="84" t="s">
        <v>931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932</v>
      </c>
      <c r="B50" s="84" t="s">
        <v>933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934</v>
      </c>
      <c r="B51" s="84" t="s">
        <v>935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936</v>
      </c>
      <c r="B52" s="84" t="s">
        <v>937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938</v>
      </c>
      <c r="B53" s="84" t="s">
        <v>939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940</v>
      </c>
      <c r="B54" s="84" t="s">
        <v>941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942</v>
      </c>
      <c r="B55" s="84" t="s">
        <v>943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944</v>
      </c>
      <c r="B56" s="84" t="s">
        <v>945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946</v>
      </c>
      <c r="B57" s="84" t="s">
        <v>947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948</v>
      </c>
      <c r="B58" s="84" t="s">
        <v>949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950</v>
      </c>
      <c r="B59" s="84" t="s">
        <v>951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952</v>
      </c>
      <c r="B60" s="84" t="s">
        <v>953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954</v>
      </c>
      <c r="B61" s="84" t="s">
        <v>955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956</v>
      </c>
      <c r="B62" s="84" t="s">
        <v>957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958</v>
      </c>
      <c r="B63" s="84" t="s">
        <v>959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960</v>
      </c>
      <c r="B64" s="84" t="s">
        <v>961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962</v>
      </c>
      <c r="B65" s="84" t="s">
        <v>963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964</v>
      </c>
      <c r="B66" s="84" t="s">
        <v>965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966</v>
      </c>
      <c r="B67" s="84" t="s">
        <v>967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968</v>
      </c>
      <c r="B68" s="84" t="s">
        <v>969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970</v>
      </c>
      <c r="B69" s="84" t="s">
        <v>971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972</v>
      </c>
      <c r="B70" s="84" t="s">
        <v>973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974</v>
      </c>
      <c r="B71" s="84" t="s">
        <v>975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976</v>
      </c>
      <c r="B72" s="84" t="s">
        <v>977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978</v>
      </c>
      <c r="B73" s="84" t="s">
        <v>979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980</v>
      </c>
      <c r="B74" s="84" t="s">
        <v>981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982</v>
      </c>
      <c r="B75" s="84" t="s">
        <v>983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984</v>
      </c>
      <c r="B76" s="84" t="s">
        <v>985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986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987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988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989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990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991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992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993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994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995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996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997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998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999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850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1000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1001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1002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1003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1004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1005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1006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1007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1008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1009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1010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1011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1012</v>
      </c>
      <c r="B104" s="85">
        <v>12356</v>
      </c>
      <c r="C104" s="21" t="s">
        <v>1013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1014</v>
      </c>
      <c r="B105" s="85">
        <v>12357</v>
      </c>
      <c r="C105" s="21" t="s">
        <v>1013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1015</v>
      </c>
      <c r="B106" s="85">
        <v>12358</v>
      </c>
      <c r="C106" s="21" t="s">
        <v>1013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1016</v>
      </c>
      <c r="B107" s="85">
        <v>12359</v>
      </c>
      <c r="C107" s="21" t="s">
        <v>1013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1017</v>
      </c>
      <c r="B108" s="85">
        <v>12360</v>
      </c>
      <c r="C108" s="21" t="s">
        <v>1013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1018</v>
      </c>
      <c r="B109" s="85">
        <v>12361</v>
      </c>
      <c r="C109" s="21" t="s">
        <v>1013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1019</v>
      </c>
      <c r="B110" s="85">
        <v>12362</v>
      </c>
      <c r="C110" s="21" t="s">
        <v>1013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1020</v>
      </c>
      <c r="B111" s="85">
        <v>12363</v>
      </c>
      <c r="C111" s="21" t="s">
        <v>1013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1021</v>
      </c>
      <c r="B1" s="87" t="s">
        <v>7</v>
      </c>
      <c r="C1" s="86" t="s">
        <v>0</v>
      </c>
      <c r="D1" s="86" t="s">
        <v>1022</v>
      </c>
      <c r="E1" s="88" t="s">
        <v>1023</v>
      </c>
      <c r="F1" s="86" t="s">
        <v>624</v>
      </c>
      <c r="G1" s="86" t="s">
        <v>814</v>
      </c>
      <c r="H1" s="86" t="s">
        <v>8</v>
      </c>
      <c r="I1" s="86" t="s">
        <v>815</v>
      </c>
      <c r="J1" s="89" t="s">
        <v>818</v>
      </c>
      <c r="K1" s="86" t="s">
        <v>1024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1025</v>
      </c>
      <c r="C2" s="33" t="s">
        <v>1026</v>
      </c>
      <c r="D2" s="33" t="s">
        <v>1027</v>
      </c>
      <c r="E2" s="90">
        <v>0</v>
      </c>
      <c r="F2" s="33" t="s">
        <v>1028</v>
      </c>
      <c r="G2" s="44" t="s">
        <v>829</v>
      </c>
      <c r="H2" s="44" t="s">
        <v>86</v>
      </c>
      <c r="I2" s="44" t="s">
        <v>877</v>
      </c>
      <c r="J2" s="44">
        <v>43567</v>
      </c>
      <c r="K2" s="91" t="s">
        <v>1029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1030</v>
      </c>
      <c r="C3" s="33" t="s">
        <v>1026</v>
      </c>
      <c r="D3" s="33" t="s">
        <v>1027</v>
      </c>
      <c r="E3" s="90">
        <v>0</v>
      </c>
      <c r="F3" s="33" t="s">
        <v>1031</v>
      </c>
      <c r="G3" s="44" t="s">
        <v>829</v>
      </c>
      <c r="H3" s="44" t="s">
        <v>86</v>
      </c>
      <c r="I3" s="44" t="s">
        <v>968</v>
      </c>
      <c r="J3" s="44">
        <v>43567</v>
      </c>
      <c r="K3" s="91" t="s">
        <v>1032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1033</v>
      </c>
      <c r="C4" s="33" t="s">
        <v>1026</v>
      </c>
      <c r="D4" s="33" t="s">
        <v>1027</v>
      </c>
      <c r="E4" s="90">
        <v>0</v>
      </c>
      <c r="F4" s="33" t="s">
        <v>1034</v>
      </c>
      <c r="G4" s="44" t="s">
        <v>834</v>
      </c>
      <c r="H4" s="44" t="s">
        <v>86</v>
      </c>
      <c r="I4" s="44" t="s">
        <v>919</v>
      </c>
      <c r="J4" s="44">
        <v>43461</v>
      </c>
      <c r="K4" s="91" t="s">
        <v>1032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1035</v>
      </c>
      <c r="C5" s="46" t="s">
        <v>1026</v>
      </c>
      <c r="D5" s="33" t="s">
        <v>1036</v>
      </c>
      <c r="E5" s="90">
        <v>25000</v>
      </c>
      <c r="F5" s="33" t="s">
        <v>1037</v>
      </c>
      <c r="G5" s="44" t="s">
        <v>829</v>
      </c>
      <c r="H5" s="44" t="s">
        <v>86</v>
      </c>
      <c r="I5" s="44" t="s">
        <v>877</v>
      </c>
      <c r="J5" s="44">
        <v>43675</v>
      </c>
      <c r="K5" s="91" t="s">
        <v>1032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1038</v>
      </c>
      <c r="C6" s="46" t="s">
        <v>1026</v>
      </c>
      <c r="D6" s="33" t="s">
        <v>1036</v>
      </c>
      <c r="E6" s="90">
        <v>6000</v>
      </c>
      <c r="F6" s="33" t="s">
        <v>1039</v>
      </c>
      <c r="G6" s="44" t="s">
        <v>829</v>
      </c>
      <c r="H6" s="44" t="s">
        <v>86</v>
      </c>
      <c r="I6" s="44" t="s">
        <v>968</v>
      </c>
      <c r="J6" s="44">
        <v>43620</v>
      </c>
      <c r="K6" s="91" t="s">
        <v>1040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1041</v>
      </c>
      <c r="C7" s="46" t="s">
        <v>47</v>
      </c>
      <c r="D7" s="33" t="s">
        <v>1036</v>
      </c>
      <c r="E7" s="90">
        <v>50000</v>
      </c>
      <c r="F7" s="33" t="s">
        <v>775</v>
      </c>
      <c r="G7" s="33" t="s">
        <v>829</v>
      </c>
      <c r="H7" s="33" t="s">
        <v>86</v>
      </c>
      <c r="I7" s="33" t="s">
        <v>829</v>
      </c>
      <c r="J7" s="44">
        <v>43749</v>
      </c>
      <c r="K7" s="92" t="s">
        <v>1032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1035</v>
      </c>
      <c r="C8" s="46" t="s">
        <v>1026</v>
      </c>
      <c r="D8" s="33" t="s">
        <v>1036</v>
      </c>
      <c r="E8" s="90">
        <v>9500</v>
      </c>
      <c r="F8" s="33" t="s">
        <v>1037</v>
      </c>
      <c r="G8" s="44" t="s">
        <v>829</v>
      </c>
      <c r="H8" s="44" t="s">
        <v>86</v>
      </c>
      <c r="I8" s="44" t="s">
        <v>877</v>
      </c>
      <c r="J8" s="44">
        <v>43675</v>
      </c>
      <c r="K8" s="91" t="s">
        <v>1032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1042</v>
      </c>
      <c r="C9" s="46" t="s">
        <v>1026</v>
      </c>
      <c r="D9" s="33" t="s">
        <v>1036</v>
      </c>
      <c r="E9" s="90">
        <v>5000</v>
      </c>
      <c r="F9" s="33" t="s">
        <v>1043</v>
      </c>
      <c r="G9" s="44" t="s">
        <v>829</v>
      </c>
      <c r="H9" s="44" t="s">
        <v>86</v>
      </c>
      <c r="I9" s="44" t="s">
        <v>877</v>
      </c>
      <c r="J9" s="44">
        <v>43700</v>
      </c>
      <c r="K9" s="91" t="s">
        <v>1032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1044</v>
      </c>
      <c r="C10" s="46" t="s">
        <v>1026</v>
      </c>
      <c r="D10" s="33" t="s">
        <v>1036</v>
      </c>
      <c r="E10" s="90">
        <v>3700</v>
      </c>
      <c r="F10" s="33" t="s">
        <v>1045</v>
      </c>
      <c r="G10" s="44" t="s">
        <v>834</v>
      </c>
      <c r="H10" s="44" t="s">
        <v>86</v>
      </c>
      <c r="I10" s="44" t="s">
        <v>919</v>
      </c>
      <c r="J10" s="44">
        <v>43510</v>
      </c>
      <c r="K10" s="91" t="s">
        <v>1046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1047</v>
      </c>
      <c r="C11" s="46" t="s">
        <v>1026</v>
      </c>
      <c r="D11" s="33" t="s">
        <v>1036</v>
      </c>
      <c r="E11" s="90">
        <v>14000</v>
      </c>
      <c r="F11" s="33" t="s">
        <v>1048</v>
      </c>
      <c r="G11" s="44" t="s">
        <v>829</v>
      </c>
      <c r="H11" s="44" t="s">
        <v>86</v>
      </c>
      <c r="I11" s="44" t="s">
        <v>877</v>
      </c>
      <c r="J11" s="44">
        <v>43703</v>
      </c>
      <c r="K11" s="91" t="s">
        <v>1032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1049</v>
      </c>
      <c r="C12" s="46" t="s">
        <v>1026</v>
      </c>
      <c r="D12" s="33" t="s">
        <v>1036</v>
      </c>
      <c r="E12" s="90">
        <v>10000</v>
      </c>
      <c r="F12" s="33" t="s">
        <v>1050</v>
      </c>
      <c r="G12" s="44" t="s">
        <v>829</v>
      </c>
      <c r="H12" s="44" t="s">
        <v>86</v>
      </c>
      <c r="I12" s="44" t="s">
        <v>877</v>
      </c>
      <c r="J12" s="44">
        <v>43567</v>
      </c>
      <c r="K12" s="91" t="s">
        <v>1040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1051</v>
      </c>
      <c r="C13" s="46" t="s">
        <v>1026</v>
      </c>
      <c r="D13" s="33" t="s">
        <v>1036</v>
      </c>
      <c r="E13" s="90">
        <v>193205.23</v>
      </c>
      <c r="F13" s="33" t="s">
        <v>1052</v>
      </c>
      <c r="G13" s="44" t="s">
        <v>829</v>
      </c>
      <c r="H13" s="44" t="s">
        <v>86</v>
      </c>
      <c r="I13" s="44" t="s">
        <v>877</v>
      </c>
      <c r="J13" s="44">
        <v>43605</v>
      </c>
      <c r="K13" s="91" t="s">
        <v>1053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1054</v>
      </c>
      <c r="C14" s="46" t="s">
        <v>47</v>
      </c>
      <c r="D14" s="33" t="s">
        <v>1036</v>
      </c>
      <c r="E14" s="90">
        <v>10000</v>
      </c>
      <c r="F14" s="33" t="s">
        <v>786</v>
      </c>
      <c r="G14" s="33" t="s">
        <v>829</v>
      </c>
      <c r="H14" s="33" t="s">
        <v>86</v>
      </c>
      <c r="I14" s="33" t="s">
        <v>829</v>
      </c>
      <c r="J14" s="44">
        <v>43924</v>
      </c>
      <c r="K14" s="92" t="s">
        <v>1040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1055</v>
      </c>
      <c r="C15" s="46" t="s">
        <v>1026</v>
      </c>
      <c r="D15" s="33" t="s">
        <v>1036</v>
      </c>
      <c r="E15" s="90">
        <v>25000</v>
      </c>
      <c r="F15" s="33" t="s">
        <v>1056</v>
      </c>
      <c r="G15" s="44" t="s">
        <v>829</v>
      </c>
      <c r="H15" s="44" t="s">
        <v>86</v>
      </c>
      <c r="I15" s="44" t="s">
        <v>877</v>
      </c>
      <c r="J15" s="44">
        <v>43822</v>
      </c>
      <c r="K15" s="91" t="s">
        <v>1053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1047</v>
      </c>
      <c r="C16" s="46" t="s">
        <v>1026</v>
      </c>
      <c r="D16" s="33" t="s">
        <v>1036</v>
      </c>
      <c r="E16" s="90">
        <v>7000</v>
      </c>
      <c r="F16" s="33" t="s">
        <v>1048</v>
      </c>
      <c r="G16" s="44" t="s">
        <v>829</v>
      </c>
      <c r="H16" s="44" t="s">
        <v>86</v>
      </c>
      <c r="I16" s="44" t="s">
        <v>877</v>
      </c>
      <c r="J16" s="44">
        <v>43703</v>
      </c>
      <c r="K16" s="91" t="s">
        <v>1032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1057</v>
      </c>
      <c r="C17" s="46" t="s">
        <v>47</v>
      </c>
      <c r="D17" s="33" t="s">
        <v>1036</v>
      </c>
      <c r="E17" s="90">
        <v>95799.8</v>
      </c>
      <c r="F17" s="33" t="s">
        <v>1058</v>
      </c>
      <c r="G17" s="33" t="s">
        <v>829</v>
      </c>
      <c r="H17" s="33" t="s">
        <v>86</v>
      </c>
      <c r="I17" s="33" t="s">
        <v>829</v>
      </c>
      <c r="J17" s="44">
        <v>44252</v>
      </c>
      <c r="K17" s="92" t="s">
        <v>1053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1059</v>
      </c>
      <c r="C18" s="33" t="s">
        <v>1026</v>
      </c>
      <c r="D18" s="33" t="s">
        <v>1027</v>
      </c>
      <c r="E18" s="90">
        <v>0</v>
      </c>
      <c r="F18" s="33" t="s">
        <v>1060</v>
      </c>
      <c r="G18" s="44" t="s">
        <v>829</v>
      </c>
      <c r="H18" s="44" t="s">
        <v>86</v>
      </c>
      <c r="I18" s="44" t="s">
        <v>968</v>
      </c>
      <c r="J18" s="44">
        <v>43699</v>
      </c>
      <c r="K18" s="91" t="s">
        <v>1032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1051</v>
      </c>
      <c r="C19" s="46" t="s">
        <v>1026</v>
      </c>
      <c r="D19" s="33" t="s">
        <v>1036</v>
      </c>
      <c r="E19" s="90">
        <v>0</v>
      </c>
      <c r="F19" s="33" t="s">
        <v>1052</v>
      </c>
      <c r="G19" s="44" t="s">
        <v>829</v>
      </c>
      <c r="H19" s="44" t="s">
        <v>86</v>
      </c>
      <c r="I19" s="44" t="s">
        <v>877</v>
      </c>
      <c r="J19" s="44">
        <v>43605</v>
      </c>
      <c r="K19" s="91" t="s">
        <v>1053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1047</v>
      </c>
      <c r="C20" s="46" t="s">
        <v>1026</v>
      </c>
      <c r="D20" s="33" t="s">
        <v>1036</v>
      </c>
      <c r="E20" s="90">
        <v>80000</v>
      </c>
      <c r="F20" s="33" t="s">
        <v>1048</v>
      </c>
      <c r="G20" s="44" t="s">
        <v>829</v>
      </c>
      <c r="H20" s="44" t="s">
        <v>86</v>
      </c>
      <c r="I20" s="44" t="s">
        <v>877</v>
      </c>
      <c r="J20" s="44">
        <v>43703</v>
      </c>
      <c r="K20" s="91" t="s">
        <v>1032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1054</v>
      </c>
      <c r="C21" s="46" t="s">
        <v>47</v>
      </c>
      <c r="D21" s="33" t="s">
        <v>1061</v>
      </c>
      <c r="E21" s="90">
        <v>10000</v>
      </c>
      <c r="F21" s="33" t="s">
        <v>786</v>
      </c>
      <c r="G21" s="33" t="s">
        <v>829</v>
      </c>
      <c r="H21" s="33" t="s">
        <v>86</v>
      </c>
      <c r="I21" s="33" t="s">
        <v>829</v>
      </c>
      <c r="J21" s="44">
        <v>43924</v>
      </c>
      <c r="K21" s="92" t="s">
        <v>1040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1062</v>
      </c>
      <c r="C22" s="46" t="s">
        <v>1026</v>
      </c>
      <c r="D22" s="33" t="s">
        <v>1036</v>
      </c>
      <c r="E22" s="90">
        <v>80000</v>
      </c>
      <c r="F22" s="33" t="s">
        <v>1063</v>
      </c>
      <c r="G22" s="44" t="s">
        <v>829</v>
      </c>
      <c r="H22" s="44" t="s">
        <v>86</v>
      </c>
      <c r="I22" s="44" t="s">
        <v>968</v>
      </c>
      <c r="J22" s="44">
        <v>43664</v>
      </c>
      <c r="K22" s="91" t="s">
        <v>1032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1041</v>
      </c>
      <c r="C23" s="46" t="s">
        <v>47</v>
      </c>
      <c r="D23" s="33" t="s">
        <v>1036</v>
      </c>
      <c r="E23" s="90">
        <v>25000</v>
      </c>
      <c r="F23" s="33" t="s">
        <v>775</v>
      </c>
      <c r="G23" s="33" t="s">
        <v>829</v>
      </c>
      <c r="H23" s="33" t="s">
        <v>86</v>
      </c>
      <c r="I23" s="33" t="s">
        <v>829</v>
      </c>
      <c r="J23" s="44">
        <v>43749</v>
      </c>
      <c r="K23" s="92" t="s">
        <v>1032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1064</v>
      </c>
      <c r="C24" s="46" t="s">
        <v>1026</v>
      </c>
      <c r="D24" s="33" t="s">
        <v>1036</v>
      </c>
      <c r="E24" s="90">
        <v>20000</v>
      </c>
      <c r="F24" s="33" t="s">
        <v>1065</v>
      </c>
      <c r="G24" s="44" t="s">
        <v>829</v>
      </c>
      <c r="H24" s="44" t="s">
        <v>86</v>
      </c>
      <c r="I24" s="44" t="s">
        <v>968</v>
      </c>
      <c r="J24" s="44">
        <v>43559</v>
      </c>
      <c r="K24" s="91" t="s">
        <v>1032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1066</v>
      </c>
      <c r="C25" s="33" t="s">
        <v>1026</v>
      </c>
      <c r="D25" s="33" t="s">
        <v>1027</v>
      </c>
      <c r="E25" s="90">
        <v>95799.8</v>
      </c>
      <c r="F25" s="33" t="s">
        <v>1067</v>
      </c>
      <c r="G25" s="44" t="s">
        <v>829</v>
      </c>
      <c r="H25" s="44" t="s">
        <v>86</v>
      </c>
      <c r="I25" s="44" t="s">
        <v>877</v>
      </c>
      <c r="J25" s="44">
        <v>43563</v>
      </c>
      <c r="K25" s="91" t="s">
        <v>1029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1066</v>
      </c>
      <c r="C26" s="46" t="s">
        <v>1026</v>
      </c>
      <c r="D26" s="33" t="s">
        <v>1061</v>
      </c>
      <c r="E26" s="90">
        <v>50000</v>
      </c>
      <c r="F26" s="33" t="s">
        <v>1067</v>
      </c>
      <c r="G26" s="44" t="s">
        <v>829</v>
      </c>
      <c r="H26" s="44" t="s">
        <v>86</v>
      </c>
      <c r="I26" s="44" t="s">
        <v>877</v>
      </c>
      <c r="J26" s="44">
        <v>43563</v>
      </c>
      <c r="K26" s="91" t="s">
        <v>1029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1068</v>
      </c>
      <c r="C27" s="46" t="s">
        <v>1026</v>
      </c>
      <c r="D27" s="33" t="s">
        <v>1061</v>
      </c>
      <c r="E27" s="90">
        <v>30000</v>
      </c>
      <c r="F27" s="33" t="s">
        <v>1069</v>
      </c>
      <c r="G27" s="44" t="s">
        <v>829</v>
      </c>
      <c r="H27" s="44" t="s">
        <v>86</v>
      </c>
      <c r="I27" s="44" t="s">
        <v>877</v>
      </c>
      <c r="J27" s="44">
        <v>43453</v>
      </c>
      <c r="K27" s="91" t="s">
        <v>1029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1047</v>
      </c>
      <c r="C28" s="46" t="s">
        <v>1026</v>
      </c>
      <c r="D28" s="33" t="s">
        <v>1036</v>
      </c>
      <c r="E28" s="90">
        <v>14000</v>
      </c>
      <c r="F28" s="33" t="s">
        <v>1048</v>
      </c>
      <c r="G28" s="44" t="s">
        <v>829</v>
      </c>
      <c r="H28" s="44" t="s">
        <v>86</v>
      </c>
      <c r="I28" s="44" t="s">
        <v>877</v>
      </c>
      <c r="J28" s="44">
        <v>43703</v>
      </c>
      <c r="K28" s="91" t="s">
        <v>1032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1054</v>
      </c>
      <c r="C29" s="33" t="s">
        <v>47</v>
      </c>
      <c r="D29" s="33" t="s">
        <v>1027</v>
      </c>
      <c r="E29" s="90">
        <v>0</v>
      </c>
      <c r="F29" s="33" t="s">
        <v>786</v>
      </c>
      <c r="G29" s="33" t="s">
        <v>829</v>
      </c>
      <c r="H29" s="33" t="s">
        <v>86</v>
      </c>
      <c r="I29" s="33" t="s">
        <v>829</v>
      </c>
      <c r="J29" s="44">
        <v>43684</v>
      </c>
      <c r="K29" s="92" t="s">
        <v>1040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1070</v>
      </c>
      <c r="C30" s="46" t="s">
        <v>47</v>
      </c>
      <c r="D30" s="33" t="s">
        <v>1036</v>
      </c>
      <c r="E30" s="90">
        <v>20000</v>
      </c>
      <c r="F30" s="33" t="s">
        <v>1071</v>
      </c>
      <c r="G30" s="33" t="s">
        <v>829</v>
      </c>
      <c r="H30" s="33" t="s">
        <v>86</v>
      </c>
      <c r="I30" s="33" t="s">
        <v>829</v>
      </c>
      <c r="J30" s="44">
        <v>43872</v>
      </c>
      <c r="K30" s="92" t="s">
        <v>1040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1072</v>
      </c>
      <c r="C31" s="46" t="s">
        <v>1026</v>
      </c>
      <c r="D31" s="33" t="s">
        <v>1036</v>
      </c>
      <c r="E31" s="90">
        <v>8000</v>
      </c>
      <c r="F31" s="33" t="s">
        <v>1073</v>
      </c>
      <c r="G31" s="44" t="s">
        <v>829</v>
      </c>
      <c r="H31" s="44" t="s">
        <v>86</v>
      </c>
      <c r="I31" s="44" t="s">
        <v>877</v>
      </c>
      <c r="J31" s="44">
        <v>43738</v>
      </c>
      <c r="K31" s="91" t="s">
        <v>1029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1074</v>
      </c>
      <c r="C32" s="46" t="s">
        <v>1075</v>
      </c>
      <c r="D32" s="33" t="s">
        <v>1036</v>
      </c>
      <c r="E32" s="90">
        <v>5000</v>
      </c>
      <c r="F32" s="33" t="s">
        <v>1076</v>
      </c>
      <c r="G32" s="44" t="s">
        <v>834</v>
      </c>
      <c r="H32" s="44" t="s">
        <v>86</v>
      </c>
      <c r="I32" s="44" t="s">
        <v>844</v>
      </c>
      <c r="J32" s="44">
        <v>43797</v>
      </c>
      <c r="K32" s="91" t="s">
        <v>1053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1077</v>
      </c>
      <c r="C33" s="46" t="s">
        <v>47</v>
      </c>
      <c r="D33" s="33" t="s">
        <v>1036</v>
      </c>
      <c r="E33" s="90">
        <v>2000</v>
      </c>
      <c r="F33" s="33" t="s">
        <v>1078</v>
      </c>
      <c r="G33" s="33" t="s">
        <v>829</v>
      </c>
      <c r="H33" s="33" t="s">
        <v>86</v>
      </c>
      <c r="I33" s="33" t="s">
        <v>829</v>
      </c>
      <c r="J33" s="44">
        <v>44225</v>
      </c>
      <c r="K33" s="92" t="s">
        <v>1040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1051</v>
      </c>
      <c r="C34" s="46" t="s">
        <v>1026</v>
      </c>
      <c r="D34" s="33" t="s">
        <v>1036</v>
      </c>
      <c r="E34" s="90">
        <v>3000</v>
      </c>
      <c r="F34" s="33" t="s">
        <v>1052</v>
      </c>
      <c r="G34" s="44" t="s">
        <v>829</v>
      </c>
      <c r="H34" s="44" t="s">
        <v>86</v>
      </c>
      <c r="I34" s="44" t="s">
        <v>877</v>
      </c>
      <c r="J34" s="44">
        <v>43605</v>
      </c>
      <c r="K34" s="91" t="s">
        <v>1053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1047</v>
      </c>
      <c r="C35" s="46" t="s">
        <v>1026</v>
      </c>
      <c r="D35" s="33" t="s">
        <v>1036</v>
      </c>
      <c r="E35" s="90">
        <v>10000</v>
      </c>
      <c r="F35" s="33" t="s">
        <v>1048</v>
      </c>
      <c r="G35" s="44" t="s">
        <v>829</v>
      </c>
      <c r="H35" s="44" t="s">
        <v>86</v>
      </c>
      <c r="I35" s="44" t="s">
        <v>877</v>
      </c>
      <c r="J35" s="44">
        <v>43703</v>
      </c>
      <c r="K35" s="91" t="s">
        <v>1032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1051</v>
      </c>
      <c r="C36" s="46" t="s">
        <v>1026</v>
      </c>
      <c r="D36" s="33" t="s">
        <v>1036</v>
      </c>
      <c r="E36" s="90">
        <v>2000</v>
      </c>
      <c r="F36" s="33" t="s">
        <v>1052</v>
      </c>
      <c r="G36" s="44" t="s">
        <v>829</v>
      </c>
      <c r="H36" s="44" t="s">
        <v>86</v>
      </c>
      <c r="I36" s="44" t="s">
        <v>877</v>
      </c>
      <c r="J36" s="44">
        <v>43605</v>
      </c>
      <c r="K36" s="91" t="s">
        <v>1053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1041</v>
      </c>
      <c r="C37" s="46" t="s">
        <v>47</v>
      </c>
      <c r="D37" s="33" t="s">
        <v>1036</v>
      </c>
      <c r="E37" s="90">
        <v>15000</v>
      </c>
      <c r="F37" s="33" t="s">
        <v>775</v>
      </c>
      <c r="G37" s="33" t="s">
        <v>829</v>
      </c>
      <c r="H37" s="33" t="s">
        <v>86</v>
      </c>
      <c r="I37" s="33" t="s">
        <v>829</v>
      </c>
      <c r="J37" s="44">
        <v>43749</v>
      </c>
      <c r="K37" s="92" t="s">
        <v>1032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1062</v>
      </c>
      <c r="C38" s="46" t="s">
        <v>1026</v>
      </c>
      <c r="D38" s="33" t="s">
        <v>1036</v>
      </c>
      <c r="E38" s="90">
        <v>100000</v>
      </c>
      <c r="F38" s="33" t="s">
        <v>1063</v>
      </c>
      <c r="G38" s="44" t="s">
        <v>829</v>
      </c>
      <c r="H38" s="44" t="s">
        <v>86</v>
      </c>
      <c r="I38" s="44" t="s">
        <v>968</v>
      </c>
      <c r="J38" s="44">
        <v>43664</v>
      </c>
      <c r="K38" s="91" t="s">
        <v>1032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1064</v>
      </c>
      <c r="C39" s="46" t="s">
        <v>1026</v>
      </c>
      <c r="D39" s="33" t="s">
        <v>1036</v>
      </c>
      <c r="E39" s="90">
        <v>20000</v>
      </c>
      <c r="F39" s="33" t="s">
        <v>1065</v>
      </c>
      <c r="G39" s="44" t="s">
        <v>829</v>
      </c>
      <c r="H39" s="44" t="s">
        <v>86</v>
      </c>
      <c r="I39" s="44" t="s">
        <v>968</v>
      </c>
      <c r="J39" s="44">
        <v>43559</v>
      </c>
      <c r="K39" s="91" t="s">
        <v>1032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1079</v>
      </c>
      <c r="C40" s="46" t="s">
        <v>1026</v>
      </c>
      <c r="D40" s="33" t="s">
        <v>1036</v>
      </c>
      <c r="E40" s="90">
        <v>75000</v>
      </c>
      <c r="F40" s="33" t="s">
        <v>1080</v>
      </c>
      <c r="G40" s="44" t="s">
        <v>829</v>
      </c>
      <c r="H40" s="44" t="s">
        <v>86</v>
      </c>
      <c r="I40" s="44" t="s">
        <v>877</v>
      </c>
      <c r="J40" s="44">
        <v>43699</v>
      </c>
      <c r="K40" s="91" t="s">
        <v>1032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1064</v>
      </c>
      <c r="C41" s="46" t="s">
        <v>1026</v>
      </c>
      <c r="D41" s="33" t="s">
        <v>1036</v>
      </c>
      <c r="E41" s="90">
        <v>2000</v>
      </c>
      <c r="F41" s="33" t="s">
        <v>1065</v>
      </c>
      <c r="G41" s="44" t="s">
        <v>829</v>
      </c>
      <c r="H41" s="44" t="s">
        <v>86</v>
      </c>
      <c r="I41" s="44" t="s">
        <v>968</v>
      </c>
      <c r="J41" s="44">
        <v>43559</v>
      </c>
      <c r="K41" s="91" t="s">
        <v>1032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1081</v>
      </c>
      <c r="C42" s="46" t="s">
        <v>1026</v>
      </c>
      <c r="D42" s="33" t="s">
        <v>1036</v>
      </c>
      <c r="E42" s="90">
        <v>2000</v>
      </c>
      <c r="F42" s="33" t="s">
        <v>1082</v>
      </c>
      <c r="G42" s="44" t="s">
        <v>829</v>
      </c>
      <c r="H42" s="44" t="s">
        <v>86</v>
      </c>
      <c r="I42" s="44" t="s">
        <v>877</v>
      </c>
      <c r="J42" s="44">
        <v>43717</v>
      </c>
      <c r="K42" s="91" t="s">
        <v>1032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1083</v>
      </c>
      <c r="C43" s="46" t="s">
        <v>1026</v>
      </c>
      <c r="D43" s="33" t="s">
        <v>1036</v>
      </c>
      <c r="E43" s="94">
        <v>1000</v>
      </c>
      <c r="F43" s="33" t="s">
        <v>1084</v>
      </c>
      <c r="G43" s="44" t="s">
        <v>829</v>
      </c>
      <c r="H43" s="44" t="s">
        <v>86</v>
      </c>
      <c r="I43" s="44" t="s">
        <v>877</v>
      </c>
      <c r="J43" s="44">
        <v>43894</v>
      </c>
      <c r="K43" s="91" t="s">
        <v>1053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1072</v>
      </c>
      <c r="C44" s="46" t="s">
        <v>1026</v>
      </c>
      <c r="D44" s="33" t="s">
        <v>1036</v>
      </c>
      <c r="E44" s="90">
        <v>60000</v>
      </c>
      <c r="F44" s="33" t="s">
        <v>1073</v>
      </c>
      <c r="G44" s="44" t="s">
        <v>829</v>
      </c>
      <c r="H44" s="44" t="s">
        <v>86</v>
      </c>
      <c r="I44" s="44" t="s">
        <v>877</v>
      </c>
      <c r="J44" s="44">
        <v>43738</v>
      </c>
      <c r="K44" s="91" t="s">
        <v>1029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1085</v>
      </c>
      <c r="C45" s="46" t="s">
        <v>1026</v>
      </c>
      <c r="D45" s="33" t="s">
        <v>1036</v>
      </c>
      <c r="E45" s="90">
        <v>20000</v>
      </c>
      <c r="F45" s="33" t="s">
        <v>1086</v>
      </c>
      <c r="G45" s="44" t="s">
        <v>829</v>
      </c>
      <c r="H45" s="44" t="s">
        <v>86</v>
      </c>
      <c r="I45" s="44" t="s">
        <v>968</v>
      </c>
      <c r="J45" s="44">
        <v>43913</v>
      </c>
      <c r="K45" s="91" t="s">
        <v>1040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1077</v>
      </c>
      <c r="C46" s="46" t="s">
        <v>47</v>
      </c>
      <c r="D46" s="33" t="s">
        <v>1036</v>
      </c>
      <c r="E46" s="90">
        <v>20000</v>
      </c>
      <c r="F46" s="33" t="s">
        <v>1078</v>
      </c>
      <c r="G46" s="33" t="s">
        <v>829</v>
      </c>
      <c r="H46" s="33" t="s">
        <v>86</v>
      </c>
      <c r="I46" s="33" t="s">
        <v>829</v>
      </c>
      <c r="J46" s="44">
        <v>44225</v>
      </c>
      <c r="K46" s="92" t="s">
        <v>1040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1072</v>
      </c>
      <c r="C47" s="46" t="s">
        <v>1026</v>
      </c>
      <c r="D47" s="33" t="s">
        <v>1036</v>
      </c>
      <c r="E47" s="90">
        <v>6000</v>
      </c>
      <c r="F47" s="33" t="s">
        <v>1073</v>
      </c>
      <c r="G47" s="44" t="s">
        <v>829</v>
      </c>
      <c r="H47" s="44" t="s">
        <v>86</v>
      </c>
      <c r="I47" s="44" t="s">
        <v>877</v>
      </c>
      <c r="J47" s="44">
        <v>43738</v>
      </c>
      <c r="K47" s="91" t="s">
        <v>1029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1047</v>
      </c>
      <c r="C48" s="46" t="s">
        <v>1026</v>
      </c>
      <c r="D48" s="33" t="s">
        <v>1036</v>
      </c>
      <c r="E48" s="90">
        <v>10000</v>
      </c>
      <c r="F48" s="33" t="s">
        <v>1048</v>
      </c>
      <c r="G48" s="44" t="s">
        <v>829</v>
      </c>
      <c r="H48" s="44" t="s">
        <v>86</v>
      </c>
      <c r="I48" s="44" t="s">
        <v>877</v>
      </c>
      <c r="J48" s="44">
        <v>43703</v>
      </c>
      <c r="K48" s="91" t="s">
        <v>1032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1083</v>
      </c>
      <c r="C49" s="46" t="s">
        <v>1026</v>
      </c>
      <c r="D49" s="33" t="s">
        <v>1036</v>
      </c>
      <c r="E49" s="90">
        <v>7000</v>
      </c>
      <c r="F49" s="33" t="s">
        <v>1084</v>
      </c>
      <c r="G49" s="44" t="s">
        <v>829</v>
      </c>
      <c r="H49" s="44" t="s">
        <v>86</v>
      </c>
      <c r="I49" s="44" t="s">
        <v>877</v>
      </c>
      <c r="J49" s="44">
        <v>43894</v>
      </c>
      <c r="K49" s="91" t="s">
        <v>1053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1083</v>
      </c>
      <c r="C50" s="46" t="s">
        <v>1026</v>
      </c>
      <c r="D50" s="33" t="s">
        <v>1036</v>
      </c>
      <c r="E50" s="90">
        <v>10000</v>
      </c>
      <c r="F50" s="33" t="s">
        <v>1084</v>
      </c>
      <c r="G50" s="44" t="s">
        <v>829</v>
      </c>
      <c r="H50" s="44" t="s">
        <v>86</v>
      </c>
      <c r="I50" s="44" t="s">
        <v>877</v>
      </c>
      <c r="J50" s="44">
        <v>43894</v>
      </c>
      <c r="K50" s="91" t="s">
        <v>1053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1087</v>
      </c>
      <c r="C51" s="46" t="s">
        <v>1026</v>
      </c>
      <c r="D51" s="33" t="s">
        <v>1036</v>
      </c>
      <c r="E51" s="90">
        <v>1000</v>
      </c>
      <c r="F51" s="33" t="s">
        <v>1088</v>
      </c>
      <c r="G51" s="44" t="s">
        <v>829</v>
      </c>
      <c r="H51" s="44" t="s">
        <v>86</v>
      </c>
      <c r="I51" s="44" t="s">
        <v>877</v>
      </c>
      <c r="J51" s="44">
        <v>43867</v>
      </c>
      <c r="K51" s="91" t="s">
        <v>1040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1041</v>
      </c>
      <c r="C52" s="46" t="s">
        <v>47</v>
      </c>
      <c r="D52" s="33" t="s">
        <v>1036</v>
      </c>
      <c r="E52" s="90">
        <v>7500</v>
      </c>
      <c r="F52" s="33" t="s">
        <v>775</v>
      </c>
      <c r="G52" s="33" t="s">
        <v>829</v>
      </c>
      <c r="H52" s="33" t="s">
        <v>86</v>
      </c>
      <c r="I52" s="33" t="s">
        <v>829</v>
      </c>
      <c r="J52" s="44">
        <v>43749</v>
      </c>
      <c r="K52" s="92" t="s">
        <v>1032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1079</v>
      </c>
      <c r="C53" s="46" t="s">
        <v>1026</v>
      </c>
      <c r="D53" s="33" t="s">
        <v>1036</v>
      </c>
      <c r="E53" s="90">
        <v>50000</v>
      </c>
      <c r="F53" s="33" t="s">
        <v>1080</v>
      </c>
      <c r="G53" s="44" t="s">
        <v>829</v>
      </c>
      <c r="H53" s="44" t="s">
        <v>86</v>
      </c>
      <c r="I53" s="44" t="s">
        <v>877</v>
      </c>
      <c r="J53" s="44">
        <v>43699</v>
      </c>
      <c r="K53" s="91" t="s">
        <v>1032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1057</v>
      </c>
      <c r="C54" s="46" t="s">
        <v>47</v>
      </c>
      <c r="D54" s="33" t="s">
        <v>1036</v>
      </c>
      <c r="E54" s="90">
        <v>20000</v>
      </c>
      <c r="F54" s="33" t="s">
        <v>1058</v>
      </c>
      <c r="G54" s="33" t="s">
        <v>829</v>
      </c>
      <c r="H54" s="33" t="s">
        <v>86</v>
      </c>
      <c r="I54" s="33" t="s">
        <v>829</v>
      </c>
      <c r="J54" s="44">
        <v>44252</v>
      </c>
      <c r="K54" s="92" t="s">
        <v>1053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1074</v>
      </c>
      <c r="C55" s="46" t="s">
        <v>1089</v>
      </c>
      <c r="D55" s="33" t="s">
        <v>1036</v>
      </c>
      <c r="E55" s="90">
        <v>10000</v>
      </c>
      <c r="F55" s="33" t="s">
        <v>1076</v>
      </c>
      <c r="G55" s="33" t="s">
        <v>834</v>
      </c>
      <c r="H55" s="33" t="s">
        <v>86</v>
      </c>
      <c r="I55" s="33" t="s">
        <v>844</v>
      </c>
      <c r="J55" s="44">
        <v>43797</v>
      </c>
      <c r="K55" s="91" t="s">
        <v>1053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1064</v>
      </c>
      <c r="C56" s="46" t="s">
        <v>1026</v>
      </c>
      <c r="D56" s="33" t="s">
        <v>1036</v>
      </c>
      <c r="E56" s="90">
        <v>973440.75</v>
      </c>
      <c r="F56" s="33" t="s">
        <v>1065</v>
      </c>
      <c r="G56" s="44" t="s">
        <v>829</v>
      </c>
      <c r="H56" s="44" t="s">
        <v>86</v>
      </c>
      <c r="I56" s="44" t="s">
        <v>968</v>
      </c>
      <c r="J56" s="44">
        <v>43559</v>
      </c>
      <c r="K56" s="91" t="s">
        <v>1032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1047</v>
      </c>
      <c r="C57" s="46" t="s">
        <v>1026</v>
      </c>
      <c r="D57" s="33" t="s">
        <v>1036</v>
      </c>
      <c r="E57" s="90">
        <v>7000</v>
      </c>
      <c r="F57" s="33" t="s">
        <v>1048</v>
      </c>
      <c r="G57" s="44" t="s">
        <v>829</v>
      </c>
      <c r="H57" s="44" t="s">
        <v>86</v>
      </c>
      <c r="I57" s="44" t="s">
        <v>877</v>
      </c>
      <c r="J57" s="44">
        <v>43703</v>
      </c>
      <c r="K57" s="91" t="s">
        <v>1032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1083</v>
      </c>
      <c r="C58" s="46" t="s">
        <v>1026</v>
      </c>
      <c r="D58" s="33" t="s">
        <v>1036</v>
      </c>
      <c r="E58" s="90">
        <v>180000</v>
      </c>
      <c r="F58" s="33" t="s">
        <v>1084</v>
      </c>
      <c r="G58" s="44" t="s">
        <v>829</v>
      </c>
      <c r="H58" s="44" t="s">
        <v>86</v>
      </c>
      <c r="I58" s="44" t="s">
        <v>877</v>
      </c>
      <c r="J58" s="44">
        <v>43894</v>
      </c>
      <c r="K58" s="91" t="s">
        <v>1053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1062</v>
      </c>
      <c r="C59" s="46" t="s">
        <v>1026</v>
      </c>
      <c r="D59" s="33" t="s">
        <v>1036</v>
      </c>
      <c r="E59" s="90">
        <v>10701</v>
      </c>
      <c r="F59" s="33" t="s">
        <v>1063</v>
      </c>
      <c r="G59" s="44" t="s">
        <v>829</v>
      </c>
      <c r="H59" s="44" t="s">
        <v>86</v>
      </c>
      <c r="I59" s="44" t="s">
        <v>968</v>
      </c>
      <c r="J59" s="44">
        <v>43664</v>
      </c>
      <c r="K59" s="91" t="s">
        <v>1032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1087</v>
      </c>
      <c r="C60" s="46" t="s">
        <v>1026</v>
      </c>
      <c r="D60" s="33" t="s">
        <v>1036</v>
      </c>
      <c r="E60" s="90">
        <v>2000</v>
      </c>
      <c r="F60" s="33" t="s">
        <v>1088</v>
      </c>
      <c r="G60" s="44" t="s">
        <v>829</v>
      </c>
      <c r="H60" s="44" t="s">
        <v>86</v>
      </c>
      <c r="I60" s="44" t="s">
        <v>877</v>
      </c>
      <c r="J60" s="44">
        <v>43867</v>
      </c>
      <c r="K60" s="91" t="s">
        <v>1040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1079</v>
      </c>
      <c r="C61" s="46" t="s">
        <v>1026</v>
      </c>
      <c r="D61" s="33" t="s">
        <v>1036</v>
      </c>
      <c r="E61" s="90">
        <v>200000</v>
      </c>
      <c r="F61" s="33" t="s">
        <v>1080</v>
      </c>
      <c r="G61" s="44" t="s">
        <v>829</v>
      </c>
      <c r="H61" s="44" t="s">
        <v>86</v>
      </c>
      <c r="I61" s="44" t="s">
        <v>877</v>
      </c>
      <c r="J61" s="44">
        <v>43699</v>
      </c>
      <c r="K61" s="91" t="s">
        <v>1032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1047</v>
      </c>
      <c r="C62" s="46" t="s">
        <v>1026</v>
      </c>
      <c r="D62" s="33" t="s">
        <v>1036</v>
      </c>
      <c r="E62" s="90">
        <v>6000</v>
      </c>
      <c r="F62" s="33" t="s">
        <v>1048</v>
      </c>
      <c r="G62" s="44" t="s">
        <v>829</v>
      </c>
      <c r="H62" s="44" t="s">
        <v>86</v>
      </c>
      <c r="I62" s="44" t="s">
        <v>877</v>
      </c>
      <c r="J62" s="44">
        <v>43703</v>
      </c>
      <c r="K62" s="91" t="s">
        <v>1032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1064</v>
      </c>
      <c r="C63" s="46" t="s">
        <v>1026</v>
      </c>
      <c r="D63" s="33" t="s">
        <v>1036</v>
      </c>
      <c r="E63" s="90">
        <v>10000</v>
      </c>
      <c r="F63" s="33" t="s">
        <v>1065</v>
      </c>
      <c r="G63" s="44" t="s">
        <v>829</v>
      </c>
      <c r="H63" s="44" t="s">
        <v>86</v>
      </c>
      <c r="I63" s="44" t="s">
        <v>968</v>
      </c>
      <c r="J63" s="44">
        <v>43559</v>
      </c>
      <c r="K63" s="91" t="s">
        <v>1032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1090</v>
      </c>
      <c r="C64" s="46" t="s">
        <v>1026</v>
      </c>
      <c r="D64" s="33" t="s">
        <v>1036</v>
      </c>
      <c r="E64" s="90">
        <v>20000</v>
      </c>
      <c r="F64" s="33" t="s">
        <v>1091</v>
      </c>
      <c r="G64" s="44" t="s">
        <v>829</v>
      </c>
      <c r="H64" s="44" t="s">
        <v>86</v>
      </c>
      <c r="I64" s="44" t="s">
        <v>968</v>
      </c>
      <c r="J64" s="44">
        <v>43607</v>
      </c>
      <c r="K64" s="91" t="s">
        <v>1032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1092</v>
      </c>
      <c r="C65" s="46" t="s">
        <v>1026</v>
      </c>
      <c r="D65" s="33" t="s">
        <v>1036</v>
      </c>
      <c r="E65" s="90">
        <v>6000</v>
      </c>
      <c r="F65" s="33" t="s">
        <v>1093</v>
      </c>
      <c r="G65" s="44" t="s">
        <v>829</v>
      </c>
      <c r="H65" s="44" t="s">
        <v>86</v>
      </c>
      <c r="I65" s="44" t="s">
        <v>877</v>
      </c>
      <c r="J65" s="44">
        <v>43564</v>
      </c>
      <c r="K65" s="91" t="s">
        <v>1029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1083</v>
      </c>
      <c r="C66" s="46" t="s">
        <v>1026</v>
      </c>
      <c r="D66" s="33" t="s">
        <v>1036</v>
      </c>
      <c r="E66" s="90">
        <v>3000</v>
      </c>
      <c r="F66" s="33" t="s">
        <v>1084</v>
      </c>
      <c r="G66" s="44" t="s">
        <v>829</v>
      </c>
      <c r="H66" s="44" t="s">
        <v>86</v>
      </c>
      <c r="I66" s="44" t="s">
        <v>877</v>
      </c>
      <c r="J66" s="44">
        <v>43894</v>
      </c>
      <c r="K66" s="91" t="s">
        <v>1053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1094</v>
      </c>
      <c r="C67" s="46" t="s">
        <v>47</v>
      </c>
      <c r="D67" s="33" t="s">
        <v>1036</v>
      </c>
      <c r="E67" s="90">
        <v>14000</v>
      </c>
      <c r="F67" s="33" t="s">
        <v>1095</v>
      </c>
      <c r="G67" s="33" t="s">
        <v>829</v>
      </c>
      <c r="H67" s="33" t="s">
        <v>86</v>
      </c>
      <c r="I67" s="33" t="s">
        <v>829</v>
      </c>
      <c r="J67" s="44">
        <v>44216</v>
      </c>
      <c r="K67" s="92" t="s">
        <v>1040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1068</v>
      </c>
      <c r="C68" s="33" t="s">
        <v>1026</v>
      </c>
      <c r="D68" s="33" t="s">
        <v>1027</v>
      </c>
      <c r="E68" s="90">
        <v>0</v>
      </c>
      <c r="F68" s="33" t="s">
        <v>1069</v>
      </c>
      <c r="G68" s="44" t="s">
        <v>829</v>
      </c>
      <c r="H68" s="44" t="s">
        <v>86</v>
      </c>
      <c r="I68" s="44" t="s">
        <v>877</v>
      </c>
      <c r="J68" s="44">
        <v>43453</v>
      </c>
      <c r="K68" s="91" t="s">
        <v>1029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1096</v>
      </c>
      <c r="C69" s="33" t="s">
        <v>1026</v>
      </c>
      <c r="D69" s="33" t="s">
        <v>1027</v>
      </c>
      <c r="E69" s="90">
        <v>76468.36</v>
      </c>
      <c r="F69" s="33" t="s">
        <v>1097</v>
      </c>
      <c r="G69" s="44" t="s">
        <v>829</v>
      </c>
      <c r="H69" s="44" t="s">
        <v>86</v>
      </c>
      <c r="I69" s="44" t="s">
        <v>968</v>
      </c>
      <c r="J69" s="44">
        <v>43853</v>
      </c>
      <c r="K69" s="91" t="s">
        <v>1053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1098</v>
      </c>
      <c r="C70" s="33" t="s">
        <v>1026</v>
      </c>
      <c r="D70" s="33" t="s">
        <v>1027</v>
      </c>
      <c r="E70" s="90">
        <v>36013.410000000003</v>
      </c>
      <c r="F70" s="33" t="s">
        <v>1069</v>
      </c>
      <c r="G70" s="44" t="s">
        <v>829</v>
      </c>
      <c r="H70" s="44" t="s">
        <v>86</v>
      </c>
      <c r="I70" s="44" t="s">
        <v>877</v>
      </c>
      <c r="J70" s="44">
        <v>43997</v>
      </c>
      <c r="K70" s="91" t="s">
        <v>1040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1081</v>
      </c>
      <c r="C71" s="46" t="s">
        <v>1026</v>
      </c>
      <c r="D71" s="33" t="s">
        <v>1036</v>
      </c>
      <c r="E71" s="90">
        <v>100000</v>
      </c>
      <c r="F71" s="33" t="s">
        <v>1082</v>
      </c>
      <c r="G71" s="44" t="s">
        <v>829</v>
      </c>
      <c r="H71" s="44" t="s">
        <v>86</v>
      </c>
      <c r="I71" s="44" t="s">
        <v>877</v>
      </c>
      <c r="J71" s="44">
        <v>43717</v>
      </c>
      <c r="K71" s="91" t="s">
        <v>1032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1079</v>
      </c>
      <c r="C72" s="46" t="s">
        <v>1026</v>
      </c>
      <c r="D72" s="33" t="s">
        <v>1036</v>
      </c>
      <c r="E72" s="90">
        <v>10000</v>
      </c>
      <c r="F72" s="33" t="s">
        <v>1080</v>
      </c>
      <c r="G72" s="44" t="s">
        <v>829</v>
      </c>
      <c r="H72" s="44" t="s">
        <v>86</v>
      </c>
      <c r="I72" s="44" t="s">
        <v>877</v>
      </c>
      <c r="J72" s="44">
        <v>43699</v>
      </c>
      <c r="K72" s="91" t="s">
        <v>1032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1092</v>
      </c>
      <c r="C73" s="46" t="s">
        <v>1026</v>
      </c>
      <c r="D73" s="33" t="s">
        <v>1036</v>
      </c>
      <c r="E73" s="90">
        <v>7000</v>
      </c>
      <c r="F73" s="33" t="s">
        <v>1093</v>
      </c>
      <c r="G73" s="44" t="s">
        <v>829</v>
      </c>
      <c r="H73" s="44" t="s">
        <v>86</v>
      </c>
      <c r="I73" s="44" t="s">
        <v>877</v>
      </c>
      <c r="J73" s="44">
        <v>43564</v>
      </c>
      <c r="K73" s="91" t="s">
        <v>1029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1092</v>
      </c>
      <c r="C74" s="46" t="s">
        <v>1026</v>
      </c>
      <c r="D74" s="33" t="s">
        <v>1036</v>
      </c>
      <c r="E74" s="90">
        <v>9000</v>
      </c>
      <c r="F74" s="33" t="s">
        <v>1093</v>
      </c>
      <c r="G74" s="44" t="s">
        <v>829</v>
      </c>
      <c r="H74" s="44" t="s">
        <v>86</v>
      </c>
      <c r="I74" s="44" t="s">
        <v>877</v>
      </c>
      <c r="J74" s="44">
        <v>43564</v>
      </c>
      <c r="K74" s="91" t="s">
        <v>1029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1064</v>
      </c>
      <c r="C75" s="46" t="s">
        <v>1026</v>
      </c>
      <c r="D75" s="33" t="s">
        <v>1036</v>
      </c>
      <c r="E75" s="90">
        <v>10000</v>
      </c>
      <c r="F75" s="33" t="s">
        <v>1065</v>
      </c>
      <c r="G75" s="44" t="s">
        <v>829</v>
      </c>
      <c r="H75" s="44" t="s">
        <v>86</v>
      </c>
      <c r="I75" s="44" t="s">
        <v>968</v>
      </c>
      <c r="J75" s="44">
        <v>43559</v>
      </c>
      <c r="K75" s="91" t="s">
        <v>1032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1099</v>
      </c>
      <c r="C76" s="33" t="s">
        <v>1026</v>
      </c>
      <c r="D76" s="33" t="s">
        <v>1027</v>
      </c>
      <c r="E76" s="90">
        <v>120144.24</v>
      </c>
      <c r="F76" s="33" t="s">
        <v>1100</v>
      </c>
      <c r="G76" s="44" t="s">
        <v>829</v>
      </c>
      <c r="H76" s="44" t="s">
        <v>86</v>
      </c>
      <c r="I76" s="44" t="s">
        <v>968</v>
      </c>
      <c r="J76" s="44">
        <v>43822</v>
      </c>
      <c r="K76" s="91" t="s">
        <v>1040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1083</v>
      </c>
      <c r="C77" s="46" t="s">
        <v>1026</v>
      </c>
      <c r="D77" s="33" t="s">
        <v>1036</v>
      </c>
      <c r="E77" s="90">
        <v>160000</v>
      </c>
      <c r="F77" s="33" t="s">
        <v>1084</v>
      </c>
      <c r="G77" s="44" t="s">
        <v>829</v>
      </c>
      <c r="H77" s="44" t="s">
        <v>86</v>
      </c>
      <c r="I77" s="44" t="s">
        <v>877</v>
      </c>
      <c r="J77" s="44">
        <v>43894</v>
      </c>
      <c r="K77" s="91" t="s">
        <v>1053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1051</v>
      </c>
      <c r="C78" s="46" t="s">
        <v>1026</v>
      </c>
      <c r="D78" s="33" t="s">
        <v>1036</v>
      </c>
      <c r="E78" s="90">
        <v>2500</v>
      </c>
      <c r="F78" s="33" t="s">
        <v>1052</v>
      </c>
      <c r="G78" s="44" t="s">
        <v>829</v>
      </c>
      <c r="H78" s="44" t="s">
        <v>86</v>
      </c>
      <c r="I78" s="44" t="s">
        <v>877</v>
      </c>
      <c r="J78" s="44">
        <v>43605</v>
      </c>
      <c r="K78" s="91" t="s">
        <v>1053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1047</v>
      </c>
      <c r="C79" s="46" t="s">
        <v>1026</v>
      </c>
      <c r="D79" s="33" t="s">
        <v>1036</v>
      </c>
      <c r="E79" s="90">
        <v>11000</v>
      </c>
      <c r="F79" s="33" t="s">
        <v>1048</v>
      </c>
      <c r="G79" s="44" t="s">
        <v>829</v>
      </c>
      <c r="H79" s="44" t="s">
        <v>86</v>
      </c>
      <c r="I79" s="44" t="s">
        <v>877</v>
      </c>
      <c r="J79" s="44">
        <v>43703</v>
      </c>
      <c r="K79" s="91" t="s">
        <v>1032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1094</v>
      </c>
      <c r="C80" s="33" t="s">
        <v>47</v>
      </c>
      <c r="D80" s="33" t="s">
        <v>1027</v>
      </c>
      <c r="E80" s="90">
        <v>0</v>
      </c>
      <c r="F80" s="33" t="s">
        <v>1095</v>
      </c>
      <c r="G80" s="33" t="s">
        <v>829</v>
      </c>
      <c r="H80" s="33" t="s">
        <v>86</v>
      </c>
      <c r="I80" s="33" t="s">
        <v>829</v>
      </c>
      <c r="J80" s="44">
        <v>44216</v>
      </c>
      <c r="K80" s="92" t="s">
        <v>1040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1101</v>
      </c>
      <c r="C81" s="46" t="s">
        <v>1026</v>
      </c>
      <c r="D81" s="33" t="s">
        <v>1036</v>
      </c>
      <c r="E81" s="90">
        <v>36000</v>
      </c>
      <c r="F81" s="33" t="s">
        <v>1102</v>
      </c>
      <c r="G81" s="44" t="s">
        <v>829</v>
      </c>
      <c r="H81" s="44" t="s">
        <v>86</v>
      </c>
      <c r="I81" s="44" t="s">
        <v>877</v>
      </c>
      <c r="J81" s="44">
        <v>43888</v>
      </c>
      <c r="K81" s="91" t="s">
        <v>1040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1064</v>
      </c>
      <c r="C82" s="46" t="s">
        <v>1026</v>
      </c>
      <c r="D82" s="33" t="s">
        <v>1036</v>
      </c>
      <c r="E82" s="90">
        <v>100000</v>
      </c>
      <c r="F82" s="33" t="s">
        <v>1065</v>
      </c>
      <c r="G82" s="44" t="s">
        <v>829</v>
      </c>
      <c r="H82" s="44" t="s">
        <v>86</v>
      </c>
      <c r="I82" s="44" t="s">
        <v>968</v>
      </c>
      <c r="J82" s="44">
        <v>43559</v>
      </c>
      <c r="K82" s="91" t="s">
        <v>1032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1074</v>
      </c>
      <c r="C83" s="46" t="s">
        <v>1075</v>
      </c>
      <c r="D83" s="33" t="s">
        <v>1036</v>
      </c>
      <c r="E83" s="90">
        <v>100000</v>
      </c>
      <c r="F83" s="33" t="s">
        <v>1076</v>
      </c>
      <c r="G83" s="44" t="s">
        <v>834</v>
      </c>
      <c r="H83" s="44" t="s">
        <v>86</v>
      </c>
      <c r="I83" s="44" t="s">
        <v>844</v>
      </c>
      <c r="J83" s="44">
        <v>43797</v>
      </c>
      <c r="K83" s="91" t="s">
        <v>1053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1103</v>
      </c>
      <c r="C84" s="46" t="s">
        <v>1026</v>
      </c>
      <c r="D84" s="33" t="s">
        <v>1036</v>
      </c>
      <c r="E84" s="90">
        <v>40078.019999999997</v>
      </c>
      <c r="F84" s="33" t="s">
        <v>1104</v>
      </c>
      <c r="G84" s="44" t="s">
        <v>829</v>
      </c>
      <c r="H84" s="44" t="s">
        <v>86</v>
      </c>
      <c r="I84" s="44" t="s">
        <v>877</v>
      </c>
      <c r="J84" s="44">
        <v>43840</v>
      </c>
      <c r="K84" s="91" t="s">
        <v>1053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1105</v>
      </c>
      <c r="C85" s="46" t="s">
        <v>1026</v>
      </c>
      <c r="D85" s="33" t="s">
        <v>1036</v>
      </c>
      <c r="E85" s="90">
        <v>46758.86</v>
      </c>
      <c r="F85" s="33" t="s">
        <v>1106</v>
      </c>
      <c r="G85" s="44" t="s">
        <v>829</v>
      </c>
      <c r="H85" s="44" t="s">
        <v>86</v>
      </c>
      <c r="I85" s="44" t="s">
        <v>877</v>
      </c>
      <c r="J85" s="44">
        <v>43620</v>
      </c>
      <c r="K85" s="91" t="s">
        <v>1029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1107</v>
      </c>
      <c r="C86" s="33" t="s">
        <v>1026</v>
      </c>
      <c r="D86" s="33" t="s">
        <v>1027</v>
      </c>
      <c r="E86" s="90">
        <v>0</v>
      </c>
      <c r="F86" s="33" t="s">
        <v>1108</v>
      </c>
      <c r="G86" s="44" t="s">
        <v>829</v>
      </c>
      <c r="H86" s="44" t="s">
        <v>86</v>
      </c>
      <c r="I86" s="44" t="s">
        <v>877</v>
      </c>
      <c r="J86" s="44">
        <v>43538</v>
      </c>
      <c r="K86" s="91" t="s">
        <v>1032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1109</v>
      </c>
      <c r="C87" s="33" t="s">
        <v>1026</v>
      </c>
      <c r="D87" s="33" t="s">
        <v>1027</v>
      </c>
      <c r="E87" s="90">
        <v>0</v>
      </c>
      <c r="F87" s="33" t="s">
        <v>1108</v>
      </c>
      <c r="G87" s="44" t="s">
        <v>829</v>
      </c>
      <c r="H87" s="44" t="s">
        <v>86</v>
      </c>
      <c r="I87" s="44" t="s">
        <v>877</v>
      </c>
      <c r="J87" s="44">
        <v>43538</v>
      </c>
      <c r="K87" s="91" t="s">
        <v>1029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1083</v>
      </c>
      <c r="C88" s="46" t="s">
        <v>1026</v>
      </c>
      <c r="D88" s="33" t="s">
        <v>1036</v>
      </c>
      <c r="E88" s="90">
        <v>60000</v>
      </c>
      <c r="F88" s="33" t="s">
        <v>1084</v>
      </c>
      <c r="G88" s="44" t="s">
        <v>829</v>
      </c>
      <c r="H88" s="44" t="s">
        <v>86</v>
      </c>
      <c r="I88" s="44" t="s">
        <v>877</v>
      </c>
      <c r="J88" s="44">
        <v>43894</v>
      </c>
      <c r="K88" s="91" t="s">
        <v>1053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1051</v>
      </c>
      <c r="C89" s="46" t="s">
        <v>1026</v>
      </c>
      <c r="D89" s="33" t="s">
        <v>1036</v>
      </c>
      <c r="E89" s="90">
        <v>211079.19</v>
      </c>
      <c r="F89" s="33" t="s">
        <v>1052</v>
      </c>
      <c r="G89" s="44" t="s">
        <v>829</v>
      </c>
      <c r="H89" s="44" t="s">
        <v>86</v>
      </c>
      <c r="I89" s="44" t="s">
        <v>877</v>
      </c>
      <c r="J89" s="44">
        <v>43605</v>
      </c>
      <c r="K89" s="91" t="s">
        <v>1053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1110</v>
      </c>
      <c r="C90" s="46" t="s">
        <v>1026</v>
      </c>
      <c r="D90" s="33" t="s">
        <v>1036</v>
      </c>
      <c r="E90" s="90">
        <v>7000</v>
      </c>
      <c r="F90" s="33" t="s">
        <v>1111</v>
      </c>
      <c r="G90" s="44" t="s">
        <v>829</v>
      </c>
      <c r="H90" s="44" t="s">
        <v>86</v>
      </c>
      <c r="I90" s="44" t="s">
        <v>877</v>
      </c>
      <c r="J90" s="44">
        <v>43732</v>
      </c>
      <c r="K90" s="91" t="s">
        <v>1032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1112</v>
      </c>
      <c r="C91" s="46" t="s">
        <v>1026</v>
      </c>
      <c r="D91" s="33" t="s">
        <v>1036</v>
      </c>
      <c r="E91" s="90">
        <v>14000</v>
      </c>
      <c r="F91" s="33" t="s">
        <v>1113</v>
      </c>
      <c r="G91" s="44" t="s">
        <v>829</v>
      </c>
      <c r="H91" s="44" t="s">
        <v>86</v>
      </c>
      <c r="I91" s="44" t="s">
        <v>877</v>
      </c>
      <c r="J91" s="44">
        <v>43620</v>
      </c>
      <c r="K91" s="91" t="s">
        <v>1040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1114</v>
      </c>
      <c r="C92" s="46" t="s">
        <v>47</v>
      </c>
      <c r="D92" s="33" t="s">
        <v>1036</v>
      </c>
      <c r="E92" s="90">
        <v>10000</v>
      </c>
      <c r="F92" s="33" t="s">
        <v>1113</v>
      </c>
      <c r="G92" s="33" t="s">
        <v>829</v>
      </c>
      <c r="H92" s="33" t="s">
        <v>86</v>
      </c>
      <c r="I92" s="33" t="s">
        <v>829</v>
      </c>
      <c r="J92" s="44">
        <v>43700</v>
      </c>
      <c r="K92" s="92" t="s">
        <v>1040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1085</v>
      </c>
      <c r="C93" s="46" t="s">
        <v>1026</v>
      </c>
      <c r="D93" s="33" t="s">
        <v>1061</v>
      </c>
      <c r="E93" s="90">
        <v>30000</v>
      </c>
      <c r="F93" s="33" t="s">
        <v>1086</v>
      </c>
      <c r="G93" s="44" t="s">
        <v>829</v>
      </c>
      <c r="H93" s="44" t="s">
        <v>86</v>
      </c>
      <c r="I93" s="44" t="s">
        <v>968</v>
      </c>
      <c r="J93" s="44">
        <v>43913</v>
      </c>
      <c r="K93" s="91" t="s">
        <v>1040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1115</v>
      </c>
      <c r="C94" s="46" t="s">
        <v>1026</v>
      </c>
      <c r="D94" s="33" t="s">
        <v>1061</v>
      </c>
      <c r="E94" s="90">
        <v>20000</v>
      </c>
      <c r="F94" s="33" t="s">
        <v>1116</v>
      </c>
      <c r="G94" s="44" t="s">
        <v>976</v>
      </c>
      <c r="H94" s="44" t="s">
        <v>86</v>
      </c>
      <c r="I94" s="44" t="s">
        <v>976</v>
      </c>
      <c r="J94" s="44">
        <v>43441</v>
      </c>
      <c r="K94" s="91" t="s">
        <v>1029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1112</v>
      </c>
      <c r="C95" s="46" t="s">
        <v>1026</v>
      </c>
      <c r="D95" s="33" t="s">
        <v>1036</v>
      </c>
      <c r="E95" s="90">
        <v>3500</v>
      </c>
      <c r="F95" s="33" t="s">
        <v>1113</v>
      </c>
      <c r="G95" s="44" t="s">
        <v>829</v>
      </c>
      <c r="H95" s="44" t="s">
        <v>86</v>
      </c>
      <c r="I95" s="44" t="s">
        <v>877</v>
      </c>
      <c r="J95" s="44">
        <v>43620</v>
      </c>
      <c r="K95" s="91" t="s">
        <v>1040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1105</v>
      </c>
      <c r="C96" s="46" t="s">
        <v>1026</v>
      </c>
      <c r="D96" s="33" t="s">
        <v>1061</v>
      </c>
      <c r="E96" s="90">
        <v>7000</v>
      </c>
      <c r="F96" s="33" t="s">
        <v>1106</v>
      </c>
      <c r="G96" s="44" t="s">
        <v>829</v>
      </c>
      <c r="H96" s="44" t="s">
        <v>86</v>
      </c>
      <c r="I96" s="44" t="s">
        <v>877</v>
      </c>
      <c r="J96" s="44">
        <v>43620</v>
      </c>
      <c r="K96" s="91" t="s">
        <v>1029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1103</v>
      </c>
      <c r="C97" s="46" t="s">
        <v>1026</v>
      </c>
      <c r="D97" s="33" t="s">
        <v>1036</v>
      </c>
      <c r="E97" s="90">
        <v>20000</v>
      </c>
      <c r="F97" s="33" t="s">
        <v>1104</v>
      </c>
      <c r="G97" s="44" t="s">
        <v>829</v>
      </c>
      <c r="H97" s="44" t="s">
        <v>86</v>
      </c>
      <c r="I97" s="44" t="s">
        <v>877</v>
      </c>
      <c r="J97" s="44">
        <v>43840</v>
      </c>
      <c r="K97" s="91" t="s">
        <v>1053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1051</v>
      </c>
      <c r="C98" s="46" t="s">
        <v>1026</v>
      </c>
      <c r="D98" s="33" t="s">
        <v>1036</v>
      </c>
      <c r="E98" s="90">
        <v>5000</v>
      </c>
      <c r="F98" s="33" t="s">
        <v>1052</v>
      </c>
      <c r="G98" s="44" t="s">
        <v>829</v>
      </c>
      <c r="H98" s="44" t="s">
        <v>86</v>
      </c>
      <c r="I98" s="44" t="s">
        <v>877</v>
      </c>
      <c r="J98" s="44">
        <v>43605</v>
      </c>
      <c r="K98" s="91" t="s">
        <v>1053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1047</v>
      </c>
      <c r="C99" s="46" t="s">
        <v>1026</v>
      </c>
      <c r="D99" s="33" t="s">
        <v>1036</v>
      </c>
      <c r="E99" s="90">
        <v>10000</v>
      </c>
      <c r="F99" s="33" t="s">
        <v>1048</v>
      </c>
      <c r="G99" s="44" t="s">
        <v>829</v>
      </c>
      <c r="H99" s="44" t="s">
        <v>86</v>
      </c>
      <c r="I99" s="44" t="s">
        <v>877</v>
      </c>
      <c r="J99" s="44">
        <v>43703</v>
      </c>
      <c r="K99" s="91" t="s">
        <v>1032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1117</v>
      </c>
      <c r="C100" s="33" t="s">
        <v>1026</v>
      </c>
      <c r="D100" s="33" t="s">
        <v>1027</v>
      </c>
      <c r="E100" s="90">
        <v>0</v>
      </c>
      <c r="F100" s="33" t="s">
        <v>1118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1101</v>
      </c>
      <c r="C101" s="46" t="s">
        <v>1026</v>
      </c>
      <c r="D101" s="33" t="s">
        <v>1036</v>
      </c>
      <c r="E101" s="90">
        <v>151239.98000000001</v>
      </c>
      <c r="F101" s="33" t="s">
        <v>1102</v>
      </c>
      <c r="G101" s="44" t="s">
        <v>829</v>
      </c>
      <c r="H101" s="44" t="s">
        <v>86</v>
      </c>
      <c r="I101" s="44" t="s">
        <v>877</v>
      </c>
      <c r="J101" s="44">
        <v>43888</v>
      </c>
      <c r="K101" s="91" t="s">
        <v>1040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1119</v>
      </c>
      <c r="C102" s="46" t="s">
        <v>1075</v>
      </c>
      <c r="D102" s="33" t="s">
        <v>1036</v>
      </c>
      <c r="E102" s="90">
        <v>10000</v>
      </c>
      <c r="F102" s="33" t="s">
        <v>1120</v>
      </c>
      <c r="G102" s="44" t="s">
        <v>834</v>
      </c>
      <c r="H102" s="44" t="s">
        <v>86</v>
      </c>
      <c r="I102" s="44" t="s">
        <v>919</v>
      </c>
      <c r="J102" s="44">
        <v>43934</v>
      </c>
      <c r="K102" s="91" t="s">
        <v>1121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1122</v>
      </c>
      <c r="C103" s="33" t="s">
        <v>47</v>
      </c>
      <c r="D103" s="33" t="s">
        <v>1027</v>
      </c>
      <c r="E103" s="90">
        <v>0</v>
      </c>
      <c r="F103" s="33" t="s">
        <v>1123</v>
      </c>
      <c r="G103" s="33" t="s">
        <v>829</v>
      </c>
      <c r="H103" s="33" t="s">
        <v>86</v>
      </c>
      <c r="I103" s="33" t="s">
        <v>829</v>
      </c>
      <c r="J103" s="44">
        <v>43838</v>
      </c>
      <c r="K103" s="92" t="s">
        <v>1124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1125</v>
      </c>
      <c r="C104" s="46" t="s">
        <v>1075</v>
      </c>
      <c r="D104" s="33" t="s">
        <v>1036</v>
      </c>
      <c r="E104" s="90">
        <v>10000</v>
      </c>
      <c r="F104" s="33" t="s">
        <v>1126</v>
      </c>
      <c r="G104" s="44" t="s">
        <v>834</v>
      </c>
      <c r="H104" s="44" t="s">
        <v>86</v>
      </c>
      <c r="I104" s="44" t="s">
        <v>919</v>
      </c>
      <c r="J104" s="44">
        <v>43635</v>
      </c>
      <c r="K104" s="91" t="s">
        <v>1032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1127</v>
      </c>
      <c r="C105" s="33" t="s">
        <v>1026</v>
      </c>
      <c r="D105" s="33" t="s">
        <v>1027</v>
      </c>
      <c r="E105" s="90">
        <v>151239.98000000001</v>
      </c>
      <c r="F105" s="33" t="s">
        <v>1128</v>
      </c>
      <c r="G105" s="44" t="s">
        <v>829</v>
      </c>
      <c r="H105" s="44" t="s">
        <v>86</v>
      </c>
      <c r="I105" s="44" t="s">
        <v>877</v>
      </c>
      <c r="J105" s="44">
        <v>43668</v>
      </c>
      <c r="K105" s="91" t="s">
        <v>1032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1064</v>
      </c>
      <c r="C106" s="46" t="s">
        <v>1026</v>
      </c>
      <c r="D106" s="33" t="s">
        <v>1036</v>
      </c>
      <c r="E106" s="90">
        <v>3000</v>
      </c>
      <c r="F106" s="33" t="s">
        <v>1065</v>
      </c>
      <c r="G106" s="44" t="s">
        <v>829</v>
      </c>
      <c r="H106" s="44" t="s">
        <v>86</v>
      </c>
      <c r="I106" s="44" t="s">
        <v>968</v>
      </c>
      <c r="J106" s="44">
        <v>43559</v>
      </c>
      <c r="K106" s="91" t="s">
        <v>1032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1035</v>
      </c>
      <c r="C107" s="46" t="s">
        <v>1026</v>
      </c>
      <c r="D107" s="33" t="s">
        <v>1036</v>
      </c>
      <c r="E107" s="90">
        <v>6500</v>
      </c>
      <c r="F107" s="33" t="s">
        <v>1037</v>
      </c>
      <c r="G107" s="44" t="s">
        <v>829</v>
      </c>
      <c r="H107" s="44" t="s">
        <v>86</v>
      </c>
      <c r="I107" s="44" t="s">
        <v>877</v>
      </c>
      <c r="J107" s="44">
        <v>43675</v>
      </c>
      <c r="K107" s="91" t="s">
        <v>1032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1057</v>
      </c>
      <c r="C108" s="46" t="s">
        <v>47</v>
      </c>
      <c r="D108" s="33" t="s">
        <v>1036</v>
      </c>
      <c r="E108" s="90">
        <v>10000</v>
      </c>
      <c r="F108" s="33" t="s">
        <v>1058</v>
      </c>
      <c r="G108" s="33" t="s">
        <v>829</v>
      </c>
      <c r="H108" s="33" t="s">
        <v>86</v>
      </c>
      <c r="I108" s="33" t="s">
        <v>829</v>
      </c>
      <c r="J108" s="44">
        <v>44252</v>
      </c>
      <c r="K108" s="92" t="s">
        <v>1053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1079</v>
      </c>
      <c r="C109" s="46" t="s">
        <v>1026</v>
      </c>
      <c r="D109" s="33" t="s">
        <v>1036</v>
      </c>
      <c r="E109" s="90">
        <v>33000</v>
      </c>
      <c r="F109" s="33" t="s">
        <v>1080</v>
      </c>
      <c r="G109" s="44" t="s">
        <v>829</v>
      </c>
      <c r="H109" s="44" t="s">
        <v>86</v>
      </c>
      <c r="I109" s="44" t="s">
        <v>877</v>
      </c>
      <c r="J109" s="44">
        <v>43699</v>
      </c>
      <c r="K109" s="91" t="s">
        <v>1032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1127</v>
      </c>
      <c r="C110" s="46" t="s">
        <v>1026</v>
      </c>
      <c r="D110" s="33" t="s">
        <v>1061</v>
      </c>
      <c r="E110" s="90">
        <v>5000</v>
      </c>
      <c r="F110" s="33" t="s">
        <v>1128</v>
      </c>
      <c r="G110" s="44" t="s">
        <v>829</v>
      </c>
      <c r="H110" s="44" t="s">
        <v>86</v>
      </c>
      <c r="I110" s="44" t="s">
        <v>877</v>
      </c>
      <c r="J110" s="44">
        <v>43668</v>
      </c>
      <c r="K110" s="91" t="s">
        <v>1032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1101</v>
      </c>
      <c r="C111" s="46" t="s">
        <v>1026</v>
      </c>
      <c r="D111" s="33" t="s">
        <v>1036</v>
      </c>
      <c r="E111" s="90">
        <v>99216.1</v>
      </c>
      <c r="F111" s="33" t="s">
        <v>1102</v>
      </c>
      <c r="G111" s="44" t="s">
        <v>829</v>
      </c>
      <c r="H111" s="44" t="s">
        <v>86</v>
      </c>
      <c r="I111" s="44" t="s">
        <v>877</v>
      </c>
      <c r="J111" s="44">
        <v>43888</v>
      </c>
      <c r="K111" s="91" t="s">
        <v>1040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1047</v>
      </c>
      <c r="C112" s="46" t="s">
        <v>1026</v>
      </c>
      <c r="D112" s="33" t="s">
        <v>1036</v>
      </c>
      <c r="E112" s="90">
        <v>14000</v>
      </c>
      <c r="F112" s="33" t="s">
        <v>1048</v>
      </c>
      <c r="G112" s="44" t="s">
        <v>829</v>
      </c>
      <c r="H112" s="44" t="s">
        <v>86</v>
      </c>
      <c r="I112" s="44" t="s">
        <v>877</v>
      </c>
      <c r="J112" s="44">
        <v>43703</v>
      </c>
      <c r="K112" s="91" t="s">
        <v>1032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1083</v>
      </c>
      <c r="C113" s="46" t="s">
        <v>1026</v>
      </c>
      <c r="D113" s="33" t="s">
        <v>1036</v>
      </c>
      <c r="E113" s="90">
        <v>9000</v>
      </c>
      <c r="F113" s="33" t="s">
        <v>1084</v>
      </c>
      <c r="G113" s="44" t="s">
        <v>829</v>
      </c>
      <c r="H113" s="44" t="s">
        <v>86</v>
      </c>
      <c r="I113" s="44" t="s">
        <v>877</v>
      </c>
      <c r="J113" s="44">
        <v>43894</v>
      </c>
      <c r="K113" s="91" t="s">
        <v>1053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1062</v>
      </c>
      <c r="C114" s="46" t="s">
        <v>1026</v>
      </c>
      <c r="D114" s="33" t="s">
        <v>1036</v>
      </c>
      <c r="E114" s="90">
        <v>20000</v>
      </c>
      <c r="F114" s="33" t="s">
        <v>1063</v>
      </c>
      <c r="G114" s="44" t="s">
        <v>829</v>
      </c>
      <c r="H114" s="44" t="s">
        <v>86</v>
      </c>
      <c r="I114" s="44" t="s">
        <v>968</v>
      </c>
      <c r="J114" s="44">
        <v>43664</v>
      </c>
      <c r="K114" s="91" t="s">
        <v>1032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1072</v>
      </c>
      <c r="C115" s="33" t="s">
        <v>1026</v>
      </c>
      <c r="D115" s="33" t="s">
        <v>1027</v>
      </c>
      <c r="E115" s="90">
        <v>0</v>
      </c>
      <c r="F115" s="33" t="s">
        <v>1073</v>
      </c>
      <c r="G115" s="44" t="s">
        <v>829</v>
      </c>
      <c r="H115" s="44" t="s">
        <v>86</v>
      </c>
      <c r="I115" s="44" t="s">
        <v>877</v>
      </c>
      <c r="J115" s="44">
        <v>43738</v>
      </c>
      <c r="K115" s="91" t="s">
        <v>1029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1081</v>
      </c>
      <c r="C116" s="46" t="s">
        <v>1026</v>
      </c>
      <c r="D116" s="33" t="s">
        <v>1036</v>
      </c>
      <c r="E116" s="90">
        <v>200000</v>
      </c>
      <c r="F116" s="33" t="s">
        <v>1082</v>
      </c>
      <c r="G116" s="44" t="s">
        <v>829</v>
      </c>
      <c r="H116" s="44" t="s">
        <v>86</v>
      </c>
      <c r="I116" s="44" t="s">
        <v>877</v>
      </c>
      <c r="J116" s="44">
        <v>43717</v>
      </c>
      <c r="K116" s="91" t="s">
        <v>1032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1092</v>
      </c>
      <c r="C117" s="46" t="s">
        <v>1026</v>
      </c>
      <c r="D117" s="33" t="s">
        <v>1036</v>
      </c>
      <c r="E117" s="90">
        <v>6300</v>
      </c>
      <c r="F117" s="33" t="s">
        <v>1093</v>
      </c>
      <c r="G117" s="44" t="s">
        <v>829</v>
      </c>
      <c r="H117" s="44" t="s">
        <v>86</v>
      </c>
      <c r="I117" s="44" t="s">
        <v>877</v>
      </c>
      <c r="J117" s="44">
        <v>43564</v>
      </c>
      <c r="K117" s="91" t="s">
        <v>1029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1042</v>
      </c>
      <c r="C118" s="33" t="s">
        <v>1026</v>
      </c>
      <c r="D118" s="33" t="s">
        <v>1027</v>
      </c>
      <c r="E118" s="90">
        <v>394570.05</v>
      </c>
      <c r="F118" s="33" t="s">
        <v>1043</v>
      </c>
      <c r="G118" s="44" t="s">
        <v>829</v>
      </c>
      <c r="H118" s="44" t="s">
        <v>86</v>
      </c>
      <c r="I118" s="44" t="s">
        <v>877</v>
      </c>
      <c r="J118" s="44">
        <v>43700</v>
      </c>
      <c r="K118" s="91" t="s">
        <v>1032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1103</v>
      </c>
      <c r="C119" s="46" t="s">
        <v>1026</v>
      </c>
      <c r="D119" s="33" t="s">
        <v>1036</v>
      </c>
      <c r="E119" s="90">
        <v>7000</v>
      </c>
      <c r="F119" s="33" t="s">
        <v>1104</v>
      </c>
      <c r="G119" s="44" t="s">
        <v>829</v>
      </c>
      <c r="H119" s="44" t="s">
        <v>86</v>
      </c>
      <c r="I119" s="44" t="s">
        <v>877</v>
      </c>
      <c r="J119" s="44">
        <v>43840</v>
      </c>
      <c r="K119" s="91" t="s">
        <v>1053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1129</v>
      </c>
      <c r="C120" s="33" t="s">
        <v>1026</v>
      </c>
      <c r="D120" s="33" t="s">
        <v>1027</v>
      </c>
      <c r="E120" s="90">
        <v>99216.1</v>
      </c>
      <c r="F120" s="33" t="s">
        <v>1130</v>
      </c>
      <c r="G120" s="44" t="s">
        <v>829</v>
      </c>
      <c r="H120" s="44" t="s">
        <v>86</v>
      </c>
      <c r="I120" s="44" t="s">
        <v>877</v>
      </c>
      <c r="J120" s="44">
        <v>43675</v>
      </c>
      <c r="K120" s="91" t="s">
        <v>1032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1051</v>
      </c>
      <c r="C121" s="46" t="s">
        <v>1026</v>
      </c>
      <c r="D121" s="33" t="s">
        <v>1036</v>
      </c>
      <c r="E121" s="90">
        <v>130000</v>
      </c>
      <c r="F121" s="33" t="s">
        <v>1052</v>
      </c>
      <c r="G121" s="44" t="s">
        <v>829</v>
      </c>
      <c r="H121" s="44" t="s">
        <v>86</v>
      </c>
      <c r="I121" s="44" t="s">
        <v>877</v>
      </c>
      <c r="J121" s="44">
        <v>43605</v>
      </c>
      <c r="K121" s="91" t="s">
        <v>1053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1064</v>
      </c>
      <c r="C122" s="46" t="s">
        <v>1026</v>
      </c>
      <c r="D122" s="33" t="s">
        <v>1036</v>
      </c>
      <c r="E122" s="90">
        <v>5000</v>
      </c>
      <c r="F122" s="33" t="s">
        <v>1065</v>
      </c>
      <c r="G122" s="44" t="s">
        <v>829</v>
      </c>
      <c r="H122" s="44" t="s">
        <v>86</v>
      </c>
      <c r="I122" s="44" t="s">
        <v>968</v>
      </c>
      <c r="J122" s="44">
        <v>43559</v>
      </c>
      <c r="K122" s="91" t="s">
        <v>1032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1041</v>
      </c>
      <c r="C123" s="46" t="s">
        <v>47</v>
      </c>
      <c r="D123" s="33" t="s">
        <v>1036</v>
      </c>
      <c r="E123" s="90">
        <v>1800</v>
      </c>
      <c r="F123" s="33" t="s">
        <v>775</v>
      </c>
      <c r="G123" s="33" t="s">
        <v>829</v>
      </c>
      <c r="H123" s="33" t="s">
        <v>86</v>
      </c>
      <c r="I123" s="33" t="s">
        <v>829</v>
      </c>
      <c r="J123" s="44">
        <v>43749</v>
      </c>
      <c r="K123" s="92" t="s">
        <v>1032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1047</v>
      </c>
      <c r="C124" s="46" t="s">
        <v>1026</v>
      </c>
      <c r="D124" s="33" t="s">
        <v>1036</v>
      </c>
      <c r="E124" s="90">
        <v>20000</v>
      </c>
      <c r="F124" s="33" t="s">
        <v>1048</v>
      </c>
      <c r="G124" s="44" t="s">
        <v>829</v>
      </c>
      <c r="H124" s="44" t="s">
        <v>86</v>
      </c>
      <c r="I124" s="44" t="s">
        <v>877</v>
      </c>
      <c r="J124" s="44">
        <v>43703</v>
      </c>
      <c r="K124" s="91" t="s">
        <v>1032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1062</v>
      </c>
      <c r="C125" s="46" t="s">
        <v>1026</v>
      </c>
      <c r="D125" s="33" t="s">
        <v>1036</v>
      </c>
      <c r="E125" s="94">
        <v>150000</v>
      </c>
      <c r="F125" s="33" t="s">
        <v>1063</v>
      </c>
      <c r="G125" s="44" t="s">
        <v>829</v>
      </c>
      <c r="H125" s="44" t="s">
        <v>86</v>
      </c>
      <c r="I125" s="44" t="s">
        <v>968</v>
      </c>
      <c r="J125" s="44">
        <v>43664</v>
      </c>
      <c r="K125" s="91" t="s">
        <v>1032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1051</v>
      </c>
      <c r="C126" s="46" t="s">
        <v>1026</v>
      </c>
      <c r="D126" s="33" t="s">
        <v>1036</v>
      </c>
      <c r="E126" s="90">
        <v>20000</v>
      </c>
      <c r="F126" s="33" t="s">
        <v>1052</v>
      </c>
      <c r="G126" s="44" t="s">
        <v>829</v>
      </c>
      <c r="H126" s="44" t="s">
        <v>86</v>
      </c>
      <c r="I126" s="44" t="s">
        <v>877</v>
      </c>
      <c r="J126" s="44">
        <v>43605</v>
      </c>
      <c r="K126" s="91" t="s">
        <v>1053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1103</v>
      </c>
      <c r="C127" s="46" t="s">
        <v>1026</v>
      </c>
      <c r="D127" s="33" t="s">
        <v>1036</v>
      </c>
      <c r="E127" s="90">
        <v>194670.06</v>
      </c>
      <c r="F127" s="33" t="s">
        <v>1104</v>
      </c>
      <c r="G127" s="44" t="s">
        <v>829</v>
      </c>
      <c r="H127" s="44" t="s">
        <v>86</v>
      </c>
      <c r="I127" s="44" t="s">
        <v>877</v>
      </c>
      <c r="J127" s="44">
        <v>43840</v>
      </c>
      <c r="K127" s="91" t="s">
        <v>1053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1131</v>
      </c>
      <c r="C128" s="46" t="s">
        <v>1026</v>
      </c>
      <c r="D128" s="33" t="s">
        <v>1036</v>
      </c>
      <c r="E128" s="94">
        <v>5000</v>
      </c>
      <c r="F128" s="33" t="s">
        <v>1132</v>
      </c>
      <c r="G128" s="44" t="s">
        <v>829</v>
      </c>
      <c r="H128" s="44" t="s">
        <v>86</v>
      </c>
      <c r="I128" s="44" t="s">
        <v>968</v>
      </c>
      <c r="J128" s="44">
        <v>43564</v>
      </c>
      <c r="K128" s="91" t="s">
        <v>1121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1064</v>
      </c>
      <c r="C129" s="46" t="s">
        <v>1026</v>
      </c>
      <c r="D129" s="33" t="s">
        <v>1036</v>
      </c>
      <c r="E129" s="90">
        <v>14000</v>
      </c>
      <c r="F129" s="33" t="s">
        <v>1065</v>
      </c>
      <c r="G129" s="44" t="s">
        <v>829</v>
      </c>
      <c r="H129" s="44" t="s">
        <v>86</v>
      </c>
      <c r="I129" s="44" t="s">
        <v>968</v>
      </c>
      <c r="J129" s="44">
        <v>43559</v>
      </c>
      <c r="K129" s="91" t="s">
        <v>1032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1057</v>
      </c>
      <c r="C130" s="46" t="s">
        <v>47</v>
      </c>
      <c r="D130" s="33" t="s">
        <v>1036</v>
      </c>
      <c r="E130" s="90">
        <v>20000</v>
      </c>
      <c r="F130" s="33" t="s">
        <v>1058</v>
      </c>
      <c r="G130" s="33" t="s">
        <v>829</v>
      </c>
      <c r="H130" s="33" t="s">
        <v>86</v>
      </c>
      <c r="I130" s="33" t="s">
        <v>829</v>
      </c>
      <c r="J130" s="44">
        <v>44252</v>
      </c>
      <c r="K130" s="92" t="s">
        <v>1053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1101</v>
      </c>
      <c r="C131" s="46" t="s">
        <v>1026</v>
      </c>
      <c r="D131" s="33" t="s">
        <v>1036</v>
      </c>
      <c r="E131" s="90">
        <v>85486</v>
      </c>
      <c r="F131" s="33" t="s">
        <v>1102</v>
      </c>
      <c r="G131" s="44" t="s">
        <v>829</v>
      </c>
      <c r="H131" s="44" t="s">
        <v>86</v>
      </c>
      <c r="I131" s="44" t="s">
        <v>877</v>
      </c>
      <c r="J131" s="44">
        <v>43888</v>
      </c>
      <c r="K131" s="91" t="s">
        <v>1040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1133</v>
      </c>
      <c r="C132" s="46" t="s">
        <v>1026</v>
      </c>
      <c r="D132" s="33" t="s">
        <v>1036</v>
      </c>
      <c r="E132" s="94">
        <v>3350000</v>
      </c>
      <c r="F132" s="33" t="s">
        <v>1134</v>
      </c>
      <c r="G132" s="44" t="s">
        <v>829</v>
      </c>
      <c r="H132" s="44" t="s">
        <v>86</v>
      </c>
      <c r="I132" s="44" t="s">
        <v>968</v>
      </c>
      <c r="J132" s="44">
        <v>43903</v>
      </c>
      <c r="K132" s="91" t="s">
        <v>1040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1135</v>
      </c>
      <c r="C133" s="33" t="s">
        <v>47</v>
      </c>
      <c r="D133" s="33" t="s">
        <v>1027</v>
      </c>
      <c r="E133" s="90">
        <v>0</v>
      </c>
      <c r="F133" s="33" t="s">
        <v>1086</v>
      </c>
      <c r="G133" s="33" t="s">
        <v>829</v>
      </c>
      <c r="H133" s="33" t="s">
        <v>86</v>
      </c>
      <c r="I133" s="33" t="s">
        <v>829</v>
      </c>
      <c r="J133" s="44">
        <v>44043</v>
      </c>
      <c r="K133" s="92" t="s">
        <v>1040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1136</v>
      </c>
      <c r="C134" s="46" t="s">
        <v>47</v>
      </c>
      <c r="D134" s="33" t="s">
        <v>1036</v>
      </c>
      <c r="E134" s="90">
        <v>277581.55</v>
      </c>
      <c r="F134" s="33" t="s">
        <v>1137</v>
      </c>
      <c r="G134" s="33" t="s">
        <v>829</v>
      </c>
      <c r="H134" s="33" t="s">
        <v>86</v>
      </c>
      <c r="I134" s="33" t="s">
        <v>829</v>
      </c>
      <c r="J134" s="44">
        <v>44068</v>
      </c>
      <c r="K134" s="92" t="s">
        <v>1040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1135</v>
      </c>
      <c r="C135" s="46" t="s">
        <v>47</v>
      </c>
      <c r="D135" s="33" t="s">
        <v>1061</v>
      </c>
      <c r="E135" s="90">
        <v>110000</v>
      </c>
      <c r="F135" s="33" t="s">
        <v>1086</v>
      </c>
      <c r="G135" s="33" t="s">
        <v>829</v>
      </c>
      <c r="H135" s="33" t="s">
        <v>86</v>
      </c>
      <c r="I135" s="33" t="s">
        <v>829</v>
      </c>
      <c r="J135" s="44">
        <v>44043</v>
      </c>
      <c r="K135" s="92" t="s">
        <v>1040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1085</v>
      </c>
      <c r="C136" s="33" t="s">
        <v>1026</v>
      </c>
      <c r="D136" s="33" t="s">
        <v>1027</v>
      </c>
      <c r="E136" s="90">
        <v>0</v>
      </c>
      <c r="F136" s="33" t="s">
        <v>1086</v>
      </c>
      <c r="G136" s="44" t="s">
        <v>829</v>
      </c>
      <c r="H136" s="44" t="s">
        <v>86</v>
      </c>
      <c r="I136" s="44" t="s">
        <v>968</v>
      </c>
      <c r="J136" s="44">
        <v>43913</v>
      </c>
      <c r="K136" s="91" t="s">
        <v>1040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1057</v>
      </c>
      <c r="C137" s="46" t="s">
        <v>47</v>
      </c>
      <c r="D137" s="33" t="s">
        <v>1036</v>
      </c>
      <c r="E137" s="90">
        <v>27000</v>
      </c>
      <c r="F137" s="33" t="s">
        <v>1058</v>
      </c>
      <c r="G137" s="33" t="s">
        <v>829</v>
      </c>
      <c r="H137" s="33" t="s">
        <v>86</v>
      </c>
      <c r="I137" s="33" t="s">
        <v>829</v>
      </c>
      <c r="J137" s="44">
        <v>44252</v>
      </c>
      <c r="K137" s="92" t="s">
        <v>1053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1049</v>
      </c>
      <c r="C138" s="46" t="s">
        <v>1026</v>
      </c>
      <c r="D138" s="33" t="s">
        <v>1036</v>
      </c>
      <c r="E138" s="90">
        <v>50000</v>
      </c>
      <c r="F138" s="33" t="s">
        <v>1050</v>
      </c>
      <c r="G138" s="44" t="s">
        <v>829</v>
      </c>
      <c r="H138" s="44" t="s">
        <v>86</v>
      </c>
      <c r="I138" s="44" t="s">
        <v>877</v>
      </c>
      <c r="J138" s="44">
        <v>43567</v>
      </c>
      <c r="K138" s="91" t="s">
        <v>1040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1079</v>
      </c>
      <c r="C139" s="46" t="s">
        <v>1026</v>
      </c>
      <c r="D139" s="33" t="s">
        <v>1036</v>
      </c>
      <c r="E139" s="90">
        <v>7000</v>
      </c>
      <c r="F139" s="33" t="s">
        <v>1080</v>
      </c>
      <c r="G139" s="44" t="s">
        <v>829</v>
      </c>
      <c r="H139" s="44" t="s">
        <v>86</v>
      </c>
      <c r="I139" s="44" t="s">
        <v>877</v>
      </c>
      <c r="J139" s="44">
        <v>43699</v>
      </c>
      <c r="K139" s="91" t="s">
        <v>1032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1092</v>
      </c>
      <c r="C140" s="46" t="s">
        <v>1026</v>
      </c>
      <c r="D140" s="33" t="s">
        <v>1036</v>
      </c>
      <c r="E140" s="90">
        <v>14000</v>
      </c>
      <c r="F140" s="33" t="s">
        <v>1093</v>
      </c>
      <c r="G140" s="44" t="s">
        <v>829</v>
      </c>
      <c r="H140" s="44" t="s">
        <v>86</v>
      </c>
      <c r="I140" s="44" t="s">
        <v>877</v>
      </c>
      <c r="J140" s="44">
        <v>43564</v>
      </c>
      <c r="K140" s="91" t="s">
        <v>1029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1138</v>
      </c>
      <c r="C141" s="46" t="s">
        <v>1026</v>
      </c>
      <c r="D141" s="33" t="s">
        <v>1036</v>
      </c>
      <c r="E141" s="90">
        <v>50000</v>
      </c>
      <c r="F141" s="33" t="s">
        <v>1139</v>
      </c>
      <c r="G141" s="44" t="s">
        <v>829</v>
      </c>
      <c r="H141" s="44" t="s">
        <v>86</v>
      </c>
      <c r="I141" s="44" t="s">
        <v>877</v>
      </c>
      <c r="J141" s="44">
        <v>44041</v>
      </c>
      <c r="K141" s="91" t="s">
        <v>1040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1140</v>
      </c>
      <c r="C142" s="33" t="s">
        <v>47</v>
      </c>
      <c r="D142" s="33" t="s">
        <v>1027</v>
      </c>
      <c r="E142" s="90">
        <v>0</v>
      </c>
      <c r="F142" s="33" t="s">
        <v>711</v>
      </c>
      <c r="G142" s="33" t="s">
        <v>829</v>
      </c>
      <c r="H142" s="33" t="s">
        <v>86</v>
      </c>
      <c r="I142" s="33" t="s">
        <v>829</v>
      </c>
      <c r="J142" s="44">
        <v>43696</v>
      </c>
      <c r="K142" s="92" t="s">
        <v>1040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1140</v>
      </c>
      <c r="C143" s="46" t="s">
        <v>47</v>
      </c>
      <c r="D143" s="33" t="s">
        <v>1061</v>
      </c>
      <c r="E143" s="90">
        <v>6400</v>
      </c>
      <c r="F143" s="33" t="s">
        <v>711</v>
      </c>
      <c r="G143" s="33" t="s">
        <v>829</v>
      </c>
      <c r="H143" s="33" t="s">
        <v>86</v>
      </c>
      <c r="I143" s="33" t="s">
        <v>829</v>
      </c>
      <c r="J143" s="44">
        <v>43696</v>
      </c>
      <c r="K143" s="92" t="s">
        <v>1040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1136</v>
      </c>
      <c r="C144" s="46" t="s">
        <v>47</v>
      </c>
      <c r="D144" s="33" t="s">
        <v>1036</v>
      </c>
      <c r="E144" s="90">
        <v>0</v>
      </c>
      <c r="F144" s="33" t="s">
        <v>1137</v>
      </c>
      <c r="G144" s="33" t="s">
        <v>829</v>
      </c>
      <c r="H144" s="33" t="s">
        <v>86</v>
      </c>
      <c r="I144" s="33" t="s">
        <v>829</v>
      </c>
      <c r="J144" s="44">
        <v>44068</v>
      </c>
      <c r="K144" s="92" t="s">
        <v>1040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1141</v>
      </c>
      <c r="C145" s="46" t="s">
        <v>1026</v>
      </c>
      <c r="D145" s="33" t="s">
        <v>1036</v>
      </c>
      <c r="E145" s="90">
        <v>27000</v>
      </c>
      <c r="F145" s="33" t="s">
        <v>1142</v>
      </c>
      <c r="G145" s="44" t="s">
        <v>829</v>
      </c>
      <c r="H145" s="44" t="s">
        <v>86</v>
      </c>
      <c r="I145" s="44" t="s">
        <v>877</v>
      </c>
      <c r="J145" s="44">
        <v>43711</v>
      </c>
      <c r="K145" s="91" t="s">
        <v>1032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1143</v>
      </c>
      <c r="C146" s="46" t="s">
        <v>47</v>
      </c>
      <c r="D146" s="33" t="s">
        <v>1036</v>
      </c>
      <c r="E146" s="90">
        <v>9000</v>
      </c>
      <c r="F146" s="33" t="s">
        <v>1144</v>
      </c>
      <c r="G146" s="33" t="s">
        <v>829</v>
      </c>
      <c r="H146" s="33" t="s">
        <v>86</v>
      </c>
      <c r="I146" s="33" t="s">
        <v>829</v>
      </c>
      <c r="J146" s="44">
        <v>44043</v>
      </c>
      <c r="K146" s="92" t="s">
        <v>1040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1064</v>
      </c>
      <c r="C147" s="46" t="s">
        <v>1026</v>
      </c>
      <c r="D147" s="33" t="s">
        <v>1036</v>
      </c>
      <c r="E147" s="90">
        <v>20000</v>
      </c>
      <c r="F147" s="33" t="s">
        <v>1065</v>
      </c>
      <c r="G147" s="44" t="s">
        <v>829</v>
      </c>
      <c r="H147" s="44" t="s">
        <v>86</v>
      </c>
      <c r="I147" s="44" t="s">
        <v>968</v>
      </c>
      <c r="J147" s="44">
        <v>43559</v>
      </c>
      <c r="K147" s="91" t="s">
        <v>1032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1051</v>
      </c>
      <c r="C148" s="46" t="s">
        <v>1026</v>
      </c>
      <c r="D148" s="33" t="s">
        <v>1036</v>
      </c>
      <c r="E148" s="90">
        <v>25000</v>
      </c>
      <c r="F148" s="33" t="s">
        <v>1052</v>
      </c>
      <c r="G148" s="44" t="s">
        <v>829</v>
      </c>
      <c r="H148" s="44" t="s">
        <v>86</v>
      </c>
      <c r="I148" s="44" t="s">
        <v>877</v>
      </c>
      <c r="J148" s="44">
        <v>43605</v>
      </c>
      <c r="K148" s="91" t="s">
        <v>1053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1041</v>
      </c>
      <c r="C149" s="46" t="s">
        <v>47</v>
      </c>
      <c r="D149" s="33" t="s">
        <v>1036</v>
      </c>
      <c r="E149" s="90">
        <v>10000</v>
      </c>
      <c r="F149" s="33" t="s">
        <v>775</v>
      </c>
      <c r="G149" s="33" t="s">
        <v>829</v>
      </c>
      <c r="H149" s="33" t="s">
        <v>86</v>
      </c>
      <c r="I149" s="33" t="s">
        <v>829</v>
      </c>
      <c r="J149" s="44">
        <v>43749</v>
      </c>
      <c r="K149" s="92" t="s">
        <v>1032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1062</v>
      </c>
      <c r="C150" s="46" t="s">
        <v>1026</v>
      </c>
      <c r="D150" s="33" t="s">
        <v>1036</v>
      </c>
      <c r="E150" s="90">
        <v>10000</v>
      </c>
      <c r="F150" s="33" t="s">
        <v>1063</v>
      </c>
      <c r="G150" s="44" t="s">
        <v>829</v>
      </c>
      <c r="H150" s="44" t="s">
        <v>86</v>
      </c>
      <c r="I150" s="44" t="s">
        <v>968</v>
      </c>
      <c r="J150" s="44">
        <v>43664</v>
      </c>
      <c r="K150" s="91" t="s">
        <v>1032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1145</v>
      </c>
      <c r="C151" s="46" t="s">
        <v>1075</v>
      </c>
      <c r="D151" s="33" t="s">
        <v>1061</v>
      </c>
      <c r="E151" s="90">
        <v>7000</v>
      </c>
      <c r="F151" s="33" t="s">
        <v>1146</v>
      </c>
      <c r="G151" s="44" t="s">
        <v>834</v>
      </c>
      <c r="H151" s="44" t="s">
        <v>86</v>
      </c>
      <c r="I151" s="44" t="s">
        <v>936</v>
      </c>
      <c r="J151" s="44">
        <v>43742</v>
      </c>
      <c r="K151" s="91" t="s">
        <v>1032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1147</v>
      </c>
      <c r="C152" s="46" t="s">
        <v>1026</v>
      </c>
      <c r="D152" s="33" t="s">
        <v>1036</v>
      </c>
      <c r="E152" s="90">
        <v>10000</v>
      </c>
      <c r="F152" s="33" t="s">
        <v>1148</v>
      </c>
      <c r="G152" s="44" t="s">
        <v>829</v>
      </c>
      <c r="H152" s="44" t="s">
        <v>86</v>
      </c>
      <c r="I152" s="44" t="s">
        <v>877</v>
      </c>
      <c r="J152" s="44">
        <v>43707</v>
      </c>
      <c r="K152" s="91" t="s">
        <v>1029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1149</v>
      </c>
      <c r="C153" s="46" t="s">
        <v>47</v>
      </c>
      <c r="D153" s="33" t="s">
        <v>1036</v>
      </c>
      <c r="E153" s="90">
        <v>4000</v>
      </c>
      <c r="F153" s="33" t="s">
        <v>1150</v>
      </c>
      <c r="G153" s="33" t="s">
        <v>829</v>
      </c>
      <c r="H153" s="33" t="s">
        <v>86</v>
      </c>
      <c r="I153" s="33" t="s">
        <v>829</v>
      </c>
      <c r="J153" s="44">
        <v>43901</v>
      </c>
      <c r="K153" s="92" t="s">
        <v>1121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1047</v>
      </c>
      <c r="C154" s="46" t="s">
        <v>1026</v>
      </c>
      <c r="D154" s="33" t="s">
        <v>1036</v>
      </c>
      <c r="E154" s="90">
        <v>6000</v>
      </c>
      <c r="F154" s="33" t="s">
        <v>1048</v>
      </c>
      <c r="G154" s="44" t="s">
        <v>829</v>
      </c>
      <c r="H154" s="44" t="s">
        <v>86</v>
      </c>
      <c r="I154" s="44" t="s">
        <v>877</v>
      </c>
      <c r="J154" s="44">
        <v>43703</v>
      </c>
      <c r="K154" s="91" t="s">
        <v>1032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1035</v>
      </c>
      <c r="C155" s="46" t="s">
        <v>1026</v>
      </c>
      <c r="D155" s="33" t="s">
        <v>1036</v>
      </c>
      <c r="E155" s="90">
        <v>1500</v>
      </c>
      <c r="F155" s="33" t="s">
        <v>1037</v>
      </c>
      <c r="G155" s="44" t="s">
        <v>829</v>
      </c>
      <c r="H155" s="44" t="s">
        <v>86</v>
      </c>
      <c r="I155" s="44" t="s">
        <v>877</v>
      </c>
      <c r="J155" s="44">
        <v>43675</v>
      </c>
      <c r="K155" s="91" t="s">
        <v>1032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1079</v>
      </c>
      <c r="C156" s="33" t="s">
        <v>1026</v>
      </c>
      <c r="D156" s="33" t="s">
        <v>1027</v>
      </c>
      <c r="E156" s="90">
        <v>17805.25</v>
      </c>
      <c r="F156" s="33" t="s">
        <v>1080</v>
      </c>
      <c r="G156" s="44" t="s">
        <v>829</v>
      </c>
      <c r="H156" s="44" t="s">
        <v>86</v>
      </c>
      <c r="I156" s="44" t="s">
        <v>877</v>
      </c>
      <c r="J156" s="44">
        <v>43699</v>
      </c>
      <c r="K156" s="91" t="s">
        <v>1032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1114</v>
      </c>
      <c r="C157" s="33" t="s">
        <v>47</v>
      </c>
      <c r="D157" s="33" t="s">
        <v>1027</v>
      </c>
      <c r="E157" s="90">
        <v>0</v>
      </c>
      <c r="F157" s="33" t="s">
        <v>1113</v>
      </c>
      <c r="G157" s="33" t="s">
        <v>829</v>
      </c>
      <c r="H157" s="33" t="s">
        <v>86</v>
      </c>
      <c r="I157" s="33" t="s">
        <v>829</v>
      </c>
      <c r="J157" s="44">
        <v>43700</v>
      </c>
      <c r="K157" s="92" t="s">
        <v>1040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1151</v>
      </c>
      <c r="C158" s="33" t="s">
        <v>47</v>
      </c>
      <c r="D158" s="33" t="s">
        <v>1027</v>
      </c>
      <c r="E158" s="90">
        <v>0</v>
      </c>
      <c r="F158" s="33" t="s">
        <v>789</v>
      </c>
      <c r="G158" s="33" t="s">
        <v>834</v>
      </c>
      <c r="H158" s="33" t="s">
        <v>86</v>
      </c>
      <c r="I158" s="33" t="s">
        <v>887</v>
      </c>
      <c r="J158" s="44">
        <v>43777</v>
      </c>
      <c r="K158" s="92" t="s">
        <v>1152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1103</v>
      </c>
      <c r="C159" s="46" t="s">
        <v>1026</v>
      </c>
      <c r="D159" s="33" t="s">
        <v>1036</v>
      </c>
      <c r="E159" s="90">
        <v>20000</v>
      </c>
      <c r="F159" s="33" t="s">
        <v>1104</v>
      </c>
      <c r="G159" s="44" t="s">
        <v>829</v>
      </c>
      <c r="H159" s="44" t="s">
        <v>86</v>
      </c>
      <c r="I159" s="44" t="s">
        <v>877</v>
      </c>
      <c r="J159" s="44">
        <v>43840</v>
      </c>
      <c r="K159" s="91" t="s">
        <v>1053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1153</v>
      </c>
      <c r="C160" s="33" t="s">
        <v>1026</v>
      </c>
      <c r="D160" s="33" t="s">
        <v>1027</v>
      </c>
      <c r="E160" s="90">
        <v>379116.63</v>
      </c>
      <c r="F160" s="33" t="s">
        <v>1154</v>
      </c>
      <c r="G160" s="44" t="s">
        <v>976</v>
      </c>
      <c r="H160" s="44" t="s">
        <v>86</v>
      </c>
      <c r="I160" s="44" t="s">
        <v>976</v>
      </c>
      <c r="J160" s="44">
        <v>43426</v>
      </c>
      <c r="K160" s="91" t="s">
        <v>1029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1136</v>
      </c>
      <c r="C161" s="46" t="s">
        <v>47</v>
      </c>
      <c r="D161" s="33" t="s">
        <v>1036</v>
      </c>
      <c r="E161" s="90">
        <v>10000</v>
      </c>
      <c r="F161" s="33" t="s">
        <v>1137</v>
      </c>
      <c r="G161" s="33" t="s">
        <v>829</v>
      </c>
      <c r="H161" s="33" t="s">
        <v>86</v>
      </c>
      <c r="I161" s="33" t="s">
        <v>829</v>
      </c>
      <c r="J161" s="44">
        <v>44068</v>
      </c>
      <c r="K161" s="92" t="s">
        <v>1040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1051</v>
      </c>
      <c r="C162" s="46" t="s">
        <v>1026</v>
      </c>
      <c r="D162" s="33" t="s">
        <v>1036</v>
      </c>
      <c r="E162" s="90">
        <v>10000</v>
      </c>
      <c r="F162" s="33" t="s">
        <v>1052</v>
      </c>
      <c r="G162" s="44" t="s">
        <v>829</v>
      </c>
      <c r="H162" s="44" t="s">
        <v>86</v>
      </c>
      <c r="I162" s="44" t="s">
        <v>877</v>
      </c>
      <c r="J162" s="44">
        <v>43605</v>
      </c>
      <c r="K162" s="91" t="s">
        <v>1053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1092</v>
      </c>
      <c r="C163" s="46" t="s">
        <v>1026</v>
      </c>
      <c r="D163" s="33" t="s">
        <v>1036</v>
      </c>
      <c r="E163" s="90">
        <v>14000</v>
      </c>
      <c r="F163" s="33" t="s">
        <v>1093</v>
      </c>
      <c r="G163" s="44" t="s">
        <v>829</v>
      </c>
      <c r="H163" s="44" t="s">
        <v>86</v>
      </c>
      <c r="I163" s="44" t="s">
        <v>877</v>
      </c>
      <c r="J163" s="44">
        <v>43564</v>
      </c>
      <c r="K163" s="91" t="s">
        <v>1029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1081</v>
      </c>
      <c r="C164" s="46" t="s">
        <v>1026</v>
      </c>
      <c r="D164" s="33" t="s">
        <v>1036</v>
      </c>
      <c r="E164" s="90">
        <v>7000</v>
      </c>
      <c r="F164" s="33" t="s">
        <v>1082</v>
      </c>
      <c r="G164" s="44" t="s">
        <v>829</v>
      </c>
      <c r="H164" s="44" t="s">
        <v>86</v>
      </c>
      <c r="I164" s="44" t="s">
        <v>877</v>
      </c>
      <c r="J164" s="44">
        <v>43717</v>
      </c>
      <c r="K164" s="91" t="s">
        <v>1032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1136</v>
      </c>
      <c r="C165" s="46" t="s">
        <v>47</v>
      </c>
      <c r="D165" s="33" t="s">
        <v>1036</v>
      </c>
      <c r="E165" s="90">
        <v>8000</v>
      </c>
      <c r="F165" s="33" t="s">
        <v>1137</v>
      </c>
      <c r="G165" s="33" t="s">
        <v>829</v>
      </c>
      <c r="H165" s="33" t="s">
        <v>86</v>
      </c>
      <c r="I165" s="33" t="s">
        <v>829</v>
      </c>
      <c r="J165" s="44">
        <v>44068</v>
      </c>
      <c r="K165" s="92" t="s">
        <v>1040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1083</v>
      </c>
      <c r="C166" s="46" t="s">
        <v>1026</v>
      </c>
      <c r="D166" s="33" t="s">
        <v>1036</v>
      </c>
      <c r="E166" s="90">
        <v>140000</v>
      </c>
      <c r="F166" s="33" t="s">
        <v>1084</v>
      </c>
      <c r="G166" s="44" t="s">
        <v>829</v>
      </c>
      <c r="H166" s="44" t="s">
        <v>86</v>
      </c>
      <c r="I166" s="44" t="s">
        <v>877</v>
      </c>
      <c r="J166" s="44">
        <v>43894</v>
      </c>
      <c r="K166" s="91" t="s">
        <v>1053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1155</v>
      </c>
      <c r="C167" s="46" t="s">
        <v>1026</v>
      </c>
      <c r="D167" s="33" t="s">
        <v>1036</v>
      </c>
      <c r="E167" s="90">
        <v>10000</v>
      </c>
      <c r="F167" s="33" t="s">
        <v>1156</v>
      </c>
      <c r="G167" s="44" t="s">
        <v>829</v>
      </c>
      <c r="H167" s="44" t="s">
        <v>86</v>
      </c>
      <c r="I167" s="44" t="s">
        <v>968</v>
      </c>
      <c r="J167" s="44">
        <v>43622</v>
      </c>
      <c r="K167" s="91" t="s">
        <v>1053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1057</v>
      </c>
      <c r="C168" s="46" t="s">
        <v>47</v>
      </c>
      <c r="D168" s="33" t="s">
        <v>1036</v>
      </c>
      <c r="E168" s="90">
        <v>130000</v>
      </c>
      <c r="F168" s="33" t="s">
        <v>1058</v>
      </c>
      <c r="G168" s="33" t="s">
        <v>829</v>
      </c>
      <c r="H168" s="33" t="s">
        <v>86</v>
      </c>
      <c r="I168" s="33" t="s">
        <v>829</v>
      </c>
      <c r="J168" s="44">
        <v>44252</v>
      </c>
      <c r="K168" s="92" t="s">
        <v>1053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1092</v>
      </c>
      <c r="C169" s="46" t="s">
        <v>1026</v>
      </c>
      <c r="D169" s="33" t="s">
        <v>1036</v>
      </c>
      <c r="E169" s="90">
        <v>12000</v>
      </c>
      <c r="F169" s="33" t="s">
        <v>1093</v>
      </c>
      <c r="G169" s="44" t="s">
        <v>829</v>
      </c>
      <c r="H169" s="44" t="s">
        <v>86</v>
      </c>
      <c r="I169" s="44" t="s">
        <v>877</v>
      </c>
      <c r="J169" s="44">
        <v>43564</v>
      </c>
      <c r="K169" s="91" t="s">
        <v>1029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1051</v>
      </c>
      <c r="C170" s="46" t="s">
        <v>1026</v>
      </c>
      <c r="D170" s="33" t="s">
        <v>1036</v>
      </c>
      <c r="E170" s="90">
        <v>34182</v>
      </c>
      <c r="F170" s="33" t="s">
        <v>1052</v>
      </c>
      <c r="G170" s="44" t="s">
        <v>829</v>
      </c>
      <c r="H170" s="44" t="s">
        <v>86</v>
      </c>
      <c r="I170" s="44" t="s">
        <v>877</v>
      </c>
      <c r="J170" s="44">
        <v>43605</v>
      </c>
      <c r="K170" s="91" t="s">
        <v>1053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1136</v>
      </c>
      <c r="C171" s="46" t="s">
        <v>47</v>
      </c>
      <c r="D171" s="33" t="s">
        <v>1036</v>
      </c>
      <c r="E171" s="90">
        <v>20000</v>
      </c>
      <c r="F171" s="33" t="s">
        <v>1137</v>
      </c>
      <c r="G171" s="33" t="s">
        <v>829</v>
      </c>
      <c r="H171" s="33" t="s">
        <v>86</v>
      </c>
      <c r="I171" s="33" t="s">
        <v>829</v>
      </c>
      <c r="J171" s="44">
        <v>44068</v>
      </c>
      <c r="K171" s="92" t="s">
        <v>1040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1103</v>
      </c>
      <c r="C172" s="46" t="s">
        <v>1026</v>
      </c>
      <c r="D172" s="33" t="s">
        <v>1036</v>
      </c>
      <c r="E172" s="90">
        <v>20000</v>
      </c>
      <c r="F172" s="33" t="s">
        <v>1104</v>
      </c>
      <c r="G172" s="44" t="s">
        <v>829</v>
      </c>
      <c r="H172" s="44" t="s">
        <v>86</v>
      </c>
      <c r="I172" s="44" t="s">
        <v>877</v>
      </c>
      <c r="J172" s="44">
        <v>43840</v>
      </c>
      <c r="K172" s="91" t="s">
        <v>1053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1087</v>
      </c>
      <c r="C173" s="46" t="s">
        <v>1026</v>
      </c>
      <c r="D173" s="33" t="s">
        <v>1036</v>
      </c>
      <c r="E173" s="90">
        <v>3000</v>
      </c>
      <c r="F173" s="33" t="s">
        <v>1088</v>
      </c>
      <c r="G173" s="44" t="s">
        <v>829</v>
      </c>
      <c r="H173" s="44" t="s">
        <v>86</v>
      </c>
      <c r="I173" s="44" t="s">
        <v>877</v>
      </c>
      <c r="J173" s="44">
        <v>43867</v>
      </c>
      <c r="K173" s="91" t="s">
        <v>1040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1047</v>
      </c>
      <c r="C174" s="46" t="s">
        <v>1026</v>
      </c>
      <c r="D174" s="33" t="s">
        <v>1036</v>
      </c>
      <c r="E174" s="90">
        <v>7000</v>
      </c>
      <c r="F174" s="33" t="s">
        <v>1048</v>
      </c>
      <c r="G174" s="44" t="s">
        <v>829</v>
      </c>
      <c r="H174" s="44" t="s">
        <v>86</v>
      </c>
      <c r="I174" s="44" t="s">
        <v>877</v>
      </c>
      <c r="J174" s="44">
        <v>43703</v>
      </c>
      <c r="K174" s="91" t="s">
        <v>1032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1110</v>
      </c>
      <c r="C175" s="46" t="s">
        <v>1026</v>
      </c>
      <c r="D175" s="33" t="s">
        <v>1036</v>
      </c>
      <c r="E175" s="90">
        <v>10000</v>
      </c>
      <c r="F175" s="33" t="s">
        <v>1111</v>
      </c>
      <c r="G175" s="44" t="s">
        <v>829</v>
      </c>
      <c r="H175" s="44" t="s">
        <v>86</v>
      </c>
      <c r="I175" s="44" t="s">
        <v>877</v>
      </c>
      <c r="J175" s="44">
        <v>43732</v>
      </c>
      <c r="K175" s="91" t="s">
        <v>1032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1157</v>
      </c>
      <c r="C176" s="33" t="s">
        <v>1026</v>
      </c>
      <c r="D176" s="33" t="s">
        <v>1027</v>
      </c>
      <c r="E176" s="90">
        <v>191544.71</v>
      </c>
      <c r="F176" s="33" t="s">
        <v>1158</v>
      </c>
      <c r="G176" s="44" t="s">
        <v>976</v>
      </c>
      <c r="H176" s="44" t="s">
        <v>86</v>
      </c>
      <c r="I176" s="44" t="s">
        <v>976</v>
      </c>
      <c r="J176" s="44">
        <v>43494</v>
      </c>
      <c r="K176" s="91" t="s">
        <v>1029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1159</v>
      </c>
      <c r="C177" s="46" t="s">
        <v>1026</v>
      </c>
      <c r="D177" s="33" t="s">
        <v>1036</v>
      </c>
      <c r="E177" s="90">
        <v>9600</v>
      </c>
      <c r="F177" s="33" t="s">
        <v>1160</v>
      </c>
      <c r="G177" s="44" t="s">
        <v>829</v>
      </c>
      <c r="H177" s="44" t="s">
        <v>86</v>
      </c>
      <c r="I177" s="44" t="s">
        <v>877</v>
      </c>
      <c r="J177" s="44">
        <v>43873</v>
      </c>
      <c r="K177" s="91" t="s">
        <v>1040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1051</v>
      </c>
      <c r="C178" s="46" t="s">
        <v>1026</v>
      </c>
      <c r="D178" s="33" t="s">
        <v>1036</v>
      </c>
      <c r="E178" s="90">
        <v>8000</v>
      </c>
      <c r="F178" s="33" t="s">
        <v>1052</v>
      </c>
      <c r="G178" s="44" t="s">
        <v>829</v>
      </c>
      <c r="H178" s="44" t="s">
        <v>86</v>
      </c>
      <c r="I178" s="44" t="s">
        <v>877</v>
      </c>
      <c r="J178" s="44">
        <v>43605</v>
      </c>
      <c r="K178" s="91" t="s">
        <v>1053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1035</v>
      </c>
      <c r="C179" s="46" t="s">
        <v>1026</v>
      </c>
      <c r="D179" s="33" t="s">
        <v>1036</v>
      </c>
      <c r="E179" s="90">
        <v>100000</v>
      </c>
      <c r="F179" s="33" t="s">
        <v>1037</v>
      </c>
      <c r="G179" s="44" t="s">
        <v>829</v>
      </c>
      <c r="H179" s="44" t="s">
        <v>86</v>
      </c>
      <c r="I179" s="44" t="s">
        <v>877</v>
      </c>
      <c r="J179" s="44">
        <v>43675</v>
      </c>
      <c r="K179" s="91" t="s">
        <v>1032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1101</v>
      </c>
      <c r="C180" s="46" t="s">
        <v>1026</v>
      </c>
      <c r="D180" s="33" t="s">
        <v>1036</v>
      </c>
      <c r="E180" s="90">
        <v>30000</v>
      </c>
      <c r="F180" s="33" t="s">
        <v>1102</v>
      </c>
      <c r="G180" s="44" t="s">
        <v>829</v>
      </c>
      <c r="H180" s="44" t="s">
        <v>86</v>
      </c>
      <c r="I180" s="44" t="s">
        <v>877</v>
      </c>
      <c r="J180" s="44">
        <v>43888</v>
      </c>
      <c r="K180" s="91" t="s">
        <v>1040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1051</v>
      </c>
      <c r="C181" s="46" t="s">
        <v>1026</v>
      </c>
      <c r="D181" s="33" t="s">
        <v>1036</v>
      </c>
      <c r="E181" s="90">
        <v>6000</v>
      </c>
      <c r="F181" s="33" t="s">
        <v>1052</v>
      </c>
      <c r="G181" s="44" t="s">
        <v>829</v>
      </c>
      <c r="H181" s="44" t="s">
        <v>86</v>
      </c>
      <c r="I181" s="44" t="s">
        <v>877</v>
      </c>
      <c r="J181" s="44">
        <v>43605</v>
      </c>
      <c r="K181" s="91" t="s">
        <v>1053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1064</v>
      </c>
      <c r="C182" s="46" t="s">
        <v>1026</v>
      </c>
      <c r="D182" s="33" t="s">
        <v>1036</v>
      </c>
      <c r="E182" s="90">
        <v>6000</v>
      </c>
      <c r="F182" s="33" t="s">
        <v>1065</v>
      </c>
      <c r="G182" s="44" t="s">
        <v>829</v>
      </c>
      <c r="H182" s="44" t="s">
        <v>86</v>
      </c>
      <c r="I182" s="44" t="s">
        <v>968</v>
      </c>
      <c r="J182" s="44">
        <v>43559</v>
      </c>
      <c r="K182" s="91" t="s">
        <v>1032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1047</v>
      </c>
      <c r="C183" s="46" t="s">
        <v>1026</v>
      </c>
      <c r="D183" s="33" t="s">
        <v>1036</v>
      </c>
      <c r="E183" s="90">
        <v>6300</v>
      </c>
      <c r="F183" s="33" t="s">
        <v>1048</v>
      </c>
      <c r="G183" s="44" t="s">
        <v>829</v>
      </c>
      <c r="H183" s="44" t="s">
        <v>86</v>
      </c>
      <c r="I183" s="44" t="s">
        <v>877</v>
      </c>
      <c r="J183" s="44">
        <v>43703</v>
      </c>
      <c r="K183" s="91" t="s">
        <v>1032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1047</v>
      </c>
      <c r="C184" s="46" t="s">
        <v>1026</v>
      </c>
      <c r="D184" s="33" t="s">
        <v>1036</v>
      </c>
      <c r="E184" s="90">
        <v>10000</v>
      </c>
      <c r="F184" s="33" t="s">
        <v>1048</v>
      </c>
      <c r="G184" s="44" t="s">
        <v>829</v>
      </c>
      <c r="H184" s="44" t="s">
        <v>86</v>
      </c>
      <c r="I184" s="44" t="s">
        <v>877</v>
      </c>
      <c r="J184" s="44">
        <v>43703</v>
      </c>
      <c r="K184" s="91" t="s">
        <v>1032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1136</v>
      </c>
      <c r="C185" s="46" t="s">
        <v>47</v>
      </c>
      <c r="D185" s="33" t="s">
        <v>1036</v>
      </c>
      <c r="E185" s="90">
        <v>5000</v>
      </c>
      <c r="F185" s="33" t="s">
        <v>1137</v>
      </c>
      <c r="G185" s="33" t="s">
        <v>829</v>
      </c>
      <c r="H185" s="33" t="s">
        <v>86</v>
      </c>
      <c r="I185" s="33" t="s">
        <v>829</v>
      </c>
      <c r="J185" s="44">
        <v>44068</v>
      </c>
      <c r="K185" s="92" t="s">
        <v>1040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1161</v>
      </c>
      <c r="C186" s="46" t="s">
        <v>1026</v>
      </c>
      <c r="D186" s="33" t="s">
        <v>1036</v>
      </c>
      <c r="E186" s="90">
        <v>10000</v>
      </c>
      <c r="F186" s="33" t="s">
        <v>1162</v>
      </c>
      <c r="G186" s="44" t="s">
        <v>829</v>
      </c>
      <c r="H186" s="44" t="s">
        <v>86</v>
      </c>
      <c r="I186" s="44" t="s">
        <v>877</v>
      </c>
      <c r="J186" s="44">
        <v>43875</v>
      </c>
      <c r="K186" s="91" t="s">
        <v>1053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1155</v>
      </c>
      <c r="C187" s="46" t="s">
        <v>1026</v>
      </c>
      <c r="D187" s="33" t="s">
        <v>1036</v>
      </c>
      <c r="E187" s="90">
        <v>20000</v>
      </c>
      <c r="F187" s="33" t="s">
        <v>1156</v>
      </c>
      <c r="G187" s="44" t="s">
        <v>829</v>
      </c>
      <c r="H187" s="44" t="s">
        <v>86</v>
      </c>
      <c r="I187" s="44" t="s">
        <v>968</v>
      </c>
      <c r="J187" s="44">
        <v>43622</v>
      </c>
      <c r="K187" s="91" t="s">
        <v>1053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1163</v>
      </c>
      <c r="C188" s="46" t="s">
        <v>1075</v>
      </c>
      <c r="D188" s="33" t="s">
        <v>1036</v>
      </c>
      <c r="E188" s="90">
        <v>30000</v>
      </c>
      <c r="F188" s="33" t="s">
        <v>1164</v>
      </c>
      <c r="G188" s="44" t="s">
        <v>834</v>
      </c>
      <c r="H188" s="44" t="s">
        <v>86</v>
      </c>
      <c r="I188" s="44" t="s">
        <v>834</v>
      </c>
      <c r="J188" s="44">
        <v>44062</v>
      </c>
      <c r="K188" s="91" t="s">
        <v>1040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1125</v>
      </c>
      <c r="C189" s="46" t="s">
        <v>1075</v>
      </c>
      <c r="D189" s="33" t="s">
        <v>1036</v>
      </c>
      <c r="E189" s="90">
        <v>28000</v>
      </c>
      <c r="F189" s="33" t="s">
        <v>1126</v>
      </c>
      <c r="G189" s="44" t="s">
        <v>834</v>
      </c>
      <c r="H189" s="44" t="s">
        <v>86</v>
      </c>
      <c r="I189" s="44" t="s">
        <v>919</v>
      </c>
      <c r="J189" s="44">
        <v>43635</v>
      </c>
      <c r="K189" s="91" t="s">
        <v>1032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1062</v>
      </c>
      <c r="C190" s="46" t="s">
        <v>1026</v>
      </c>
      <c r="D190" s="33" t="s">
        <v>1036</v>
      </c>
      <c r="E190" s="90">
        <v>1800000</v>
      </c>
      <c r="F190" s="33" t="s">
        <v>1063</v>
      </c>
      <c r="G190" s="44" t="s">
        <v>829</v>
      </c>
      <c r="H190" s="44" t="s">
        <v>86</v>
      </c>
      <c r="I190" s="44" t="s">
        <v>968</v>
      </c>
      <c r="J190" s="44">
        <v>43664</v>
      </c>
      <c r="K190" s="91" t="s">
        <v>1032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1051</v>
      </c>
      <c r="C191" s="46" t="s">
        <v>1026</v>
      </c>
      <c r="D191" s="33" t="s">
        <v>1036</v>
      </c>
      <c r="E191" s="90">
        <v>15000</v>
      </c>
      <c r="F191" s="33" t="s">
        <v>1052</v>
      </c>
      <c r="G191" s="44" t="s">
        <v>829</v>
      </c>
      <c r="H191" s="44" t="s">
        <v>86</v>
      </c>
      <c r="I191" s="44" t="s">
        <v>877</v>
      </c>
      <c r="J191" s="44">
        <v>43605</v>
      </c>
      <c r="K191" s="91" t="s">
        <v>1053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1081</v>
      </c>
      <c r="C192" s="46" t="s">
        <v>1026</v>
      </c>
      <c r="D192" s="33" t="s">
        <v>1036</v>
      </c>
      <c r="E192" s="90">
        <v>7000</v>
      </c>
      <c r="F192" s="33" t="s">
        <v>1082</v>
      </c>
      <c r="G192" s="44" t="s">
        <v>829</v>
      </c>
      <c r="H192" s="44" t="s">
        <v>86</v>
      </c>
      <c r="I192" s="44" t="s">
        <v>877</v>
      </c>
      <c r="J192" s="44">
        <v>43717</v>
      </c>
      <c r="K192" s="91" t="s">
        <v>1032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1101</v>
      </c>
      <c r="C193" s="46" t="s">
        <v>1026</v>
      </c>
      <c r="D193" s="33" t="s">
        <v>1036</v>
      </c>
      <c r="E193" s="90">
        <v>90562.43</v>
      </c>
      <c r="F193" s="33" t="s">
        <v>1102</v>
      </c>
      <c r="G193" s="44" t="s">
        <v>829</v>
      </c>
      <c r="H193" s="44" t="s">
        <v>86</v>
      </c>
      <c r="I193" s="44" t="s">
        <v>877</v>
      </c>
      <c r="J193" s="44">
        <v>43888</v>
      </c>
      <c r="K193" s="91" t="s">
        <v>1040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1041</v>
      </c>
      <c r="C194" s="46" t="s">
        <v>47</v>
      </c>
      <c r="D194" s="33" t="s">
        <v>1036</v>
      </c>
      <c r="E194" s="90">
        <v>45400</v>
      </c>
      <c r="F194" s="33" t="s">
        <v>775</v>
      </c>
      <c r="G194" s="33" t="s">
        <v>829</v>
      </c>
      <c r="H194" s="33" t="s">
        <v>86</v>
      </c>
      <c r="I194" s="33" t="s">
        <v>829</v>
      </c>
      <c r="J194" s="44">
        <v>43749</v>
      </c>
      <c r="K194" s="92" t="s">
        <v>1032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1049</v>
      </c>
      <c r="C195" s="46" t="s">
        <v>1026</v>
      </c>
      <c r="D195" s="33" t="s">
        <v>1036</v>
      </c>
      <c r="E195" s="90">
        <v>10000</v>
      </c>
      <c r="F195" s="33" t="s">
        <v>1050</v>
      </c>
      <c r="G195" s="44" t="s">
        <v>829</v>
      </c>
      <c r="H195" s="44" t="s">
        <v>86</v>
      </c>
      <c r="I195" s="44" t="s">
        <v>877</v>
      </c>
      <c r="J195" s="44">
        <v>43567</v>
      </c>
      <c r="K195" s="91" t="s">
        <v>1040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1165</v>
      </c>
      <c r="C196" s="46" t="s">
        <v>47</v>
      </c>
      <c r="D196" s="33" t="s">
        <v>1036</v>
      </c>
      <c r="E196" s="90">
        <v>20000</v>
      </c>
      <c r="F196" s="33" t="s">
        <v>1166</v>
      </c>
      <c r="G196" s="33" t="s">
        <v>829</v>
      </c>
      <c r="H196" s="33" t="s">
        <v>86</v>
      </c>
      <c r="I196" s="33" t="s">
        <v>829</v>
      </c>
      <c r="J196" s="44">
        <v>43717</v>
      </c>
      <c r="K196" s="92" t="s">
        <v>1032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1138</v>
      </c>
      <c r="C197" s="46" t="s">
        <v>1026</v>
      </c>
      <c r="D197" s="33" t="s">
        <v>1036</v>
      </c>
      <c r="E197" s="90">
        <v>50000</v>
      </c>
      <c r="F197" s="33" t="s">
        <v>1139</v>
      </c>
      <c r="G197" s="44" t="s">
        <v>829</v>
      </c>
      <c r="H197" s="44" t="s">
        <v>86</v>
      </c>
      <c r="I197" s="44" t="s">
        <v>877</v>
      </c>
      <c r="J197" s="44">
        <v>44041</v>
      </c>
      <c r="K197" s="91" t="s">
        <v>1040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1074</v>
      </c>
      <c r="C198" s="46" t="s">
        <v>1075</v>
      </c>
      <c r="D198" s="33" t="s">
        <v>1036</v>
      </c>
      <c r="E198" s="90">
        <v>6000</v>
      </c>
      <c r="F198" s="33" t="s">
        <v>1076</v>
      </c>
      <c r="G198" s="44" t="s">
        <v>834</v>
      </c>
      <c r="H198" s="44" t="s">
        <v>86</v>
      </c>
      <c r="I198" s="44" t="s">
        <v>844</v>
      </c>
      <c r="J198" s="44">
        <v>43797</v>
      </c>
      <c r="K198" s="91" t="s">
        <v>1053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1136</v>
      </c>
      <c r="C199" s="46" t="s">
        <v>47</v>
      </c>
      <c r="D199" s="33" t="s">
        <v>1036</v>
      </c>
      <c r="E199" s="90">
        <v>20000</v>
      </c>
      <c r="F199" s="33" t="s">
        <v>1137</v>
      </c>
      <c r="G199" s="33" t="s">
        <v>829</v>
      </c>
      <c r="H199" s="33" t="s">
        <v>86</v>
      </c>
      <c r="I199" s="33" t="s">
        <v>829</v>
      </c>
      <c r="J199" s="44">
        <v>44068</v>
      </c>
      <c r="K199" s="92" t="s">
        <v>1040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1103</v>
      </c>
      <c r="C200" s="33" t="s">
        <v>1026</v>
      </c>
      <c r="D200" s="33" t="s">
        <v>1027</v>
      </c>
      <c r="E200" s="90">
        <v>90562.43</v>
      </c>
      <c r="F200" s="33" t="s">
        <v>1104</v>
      </c>
      <c r="G200" s="44" t="s">
        <v>829</v>
      </c>
      <c r="H200" s="44" t="s">
        <v>86</v>
      </c>
      <c r="I200" s="44" t="s">
        <v>877</v>
      </c>
      <c r="J200" s="44">
        <v>43840</v>
      </c>
      <c r="K200" s="91" t="s">
        <v>1053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1103</v>
      </c>
      <c r="C201" s="46" t="s">
        <v>1026</v>
      </c>
      <c r="D201" s="33" t="s">
        <v>1036</v>
      </c>
      <c r="E201" s="94">
        <v>30000</v>
      </c>
      <c r="F201" s="33" t="s">
        <v>1104</v>
      </c>
      <c r="G201" s="44" t="s">
        <v>829</v>
      </c>
      <c r="H201" s="44" t="s">
        <v>86</v>
      </c>
      <c r="I201" s="44" t="s">
        <v>877</v>
      </c>
      <c r="J201" s="44">
        <v>43840</v>
      </c>
      <c r="K201" s="91" t="s">
        <v>1053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1051</v>
      </c>
      <c r="C202" s="46" t="s">
        <v>1026</v>
      </c>
      <c r="D202" s="33" t="s">
        <v>1036</v>
      </c>
      <c r="E202" s="90">
        <v>7000</v>
      </c>
      <c r="F202" s="33" t="s">
        <v>1052</v>
      </c>
      <c r="G202" s="44" t="s">
        <v>829</v>
      </c>
      <c r="H202" s="44" t="s">
        <v>86</v>
      </c>
      <c r="I202" s="44" t="s">
        <v>877</v>
      </c>
      <c r="J202" s="44">
        <v>43605</v>
      </c>
      <c r="K202" s="91" t="s">
        <v>1053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1047</v>
      </c>
      <c r="C203" s="46" t="s">
        <v>1026</v>
      </c>
      <c r="D203" s="33" t="s">
        <v>1036</v>
      </c>
      <c r="E203" s="90">
        <v>112433.37</v>
      </c>
      <c r="F203" s="33" t="s">
        <v>1048</v>
      </c>
      <c r="G203" s="44" t="s">
        <v>829</v>
      </c>
      <c r="H203" s="44" t="s">
        <v>86</v>
      </c>
      <c r="I203" s="44" t="s">
        <v>877</v>
      </c>
      <c r="J203" s="44">
        <v>43703</v>
      </c>
      <c r="K203" s="91" t="s">
        <v>1032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1136</v>
      </c>
      <c r="C204" s="46" t="s">
        <v>47</v>
      </c>
      <c r="D204" s="33" t="s">
        <v>1036</v>
      </c>
      <c r="E204" s="90">
        <v>286876.15999999997</v>
      </c>
      <c r="F204" s="33" t="s">
        <v>1137</v>
      </c>
      <c r="G204" s="33" t="s">
        <v>829</v>
      </c>
      <c r="H204" s="33" t="s">
        <v>86</v>
      </c>
      <c r="I204" s="33" t="s">
        <v>829</v>
      </c>
      <c r="J204" s="44">
        <v>44068</v>
      </c>
      <c r="K204" s="92" t="s">
        <v>1040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1049</v>
      </c>
      <c r="C205" s="46" t="s">
        <v>1026</v>
      </c>
      <c r="D205" s="33" t="s">
        <v>1036</v>
      </c>
      <c r="E205" s="90">
        <v>34941.81</v>
      </c>
      <c r="F205" s="33" t="s">
        <v>1050</v>
      </c>
      <c r="G205" s="44" t="s">
        <v>829</v>
      </c>
      <c r="H205" s="44" t="s">
        <v>86</v>
      </c>
      <c r="I205" s="44" t="s">
        <v>877</v>
      </c>
      <c r="J205" s="44">
        <v>43567</v>
      </c>
      <c r="K205" s="91" t="s">
        <v>1040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1035</v>
      </c>
      <c r="C206" s="46" t="s">
        <v>1026</v>
      </c>
      <c r="D206" s="33" t="s">
        <v>1036</v>
      </c>
      <c r="E206" s="90">
        <v>130950.51000000001</v>
      </c>
      <c r="F206" s="33" t="s">
        <v>1037</v>
      </c>
      <c r="G206" s="44" t="s">
        <v>829</v>
      </c>
      <c r="H206" s="44" t="s">
        <v>86</v>
      </c>
      <c r="I206" s="44" t="s">
        <v>877</v>
      </c>
      <c r="J206" s="44">
        <v>43675</v>
      </c>
      <c r="K206" s="91" t="s">
        <v>1032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1081</v>
      </c>
      <c r="C207" s="46" t="s">
        <v>1026</v>
      </c>
      <c r="D207" s="33" t="s">
        <v>1036</v>
      </c>
      <c r="E207" s="90">
        <v>10000</v>
      </c>
      <c r="F207" s="33" t="s">
        <v>1082</v>
      </c>
      <c r="G207" s="44" t="s">
        <v>829</v>
      </c>
      <c r="H207" s="44" t="s">
        <v>86</v>
      </c>
      <c r="I207" s="44" t="s">
        <v>877</v>
      </c>
      <c r="J207" s="44">
        <v>43717</v>
      </c>
      <c r="K207" s="91" t="s">
        <v>1032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1101</v>
      </c>
      <c r="C208" s="46" t="s">
        <v>1026</v>
      </c>
      <c r="D208" s="33" t="s">
        <v>1036</v>
      </c>
      <c r="E208" s="90">
        <v>5500</v>
      </c>
      <c r="F208" s="33" t="s">
        <v>1102</v>
      </c>
      <c r="G208" s="44" t="s">
        <v>829</v>
      </c>
      <c r="H208" s="44" t="s">
        <v>86</v>
      </c>
      <c r="I208" s="44" t="s">
        <v>877</v>
      </c>
      <c r="J208" s="44">
        <v>43888</v>
      </c>
      <c r="K208" s="91" t="s">
        <v>1040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1064</v>
      </c>
      <c r="C209" s="46" t="s">
        <v>1026</v>
      </c>
      <c r="D209" s="33" t="s">
        <v>1036</v>
      </c>
      <c r="E209" s="90">
        <v>35000</v>
      </c>
      <c r="F209" s="33" t="s">
        <v>1065</v>
      </c>
      <c r="G209" s="44" t="s">
        <v>829</v>
      </c>
      <c r="H209" s="44" t="s">
        <v>86</v>
      </c>
      <c r="I209" s="44" t="s">
        <v>968</v>
      </c>
      <c r="J209" s="44">
        <v>43559</v>
      </c>
      <c r="K209" s="91" t="s">
        <v>1032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1167</v>
      </c>
      <c r="C210" s="46" t="s">
        <v>1026</v>
      </c>
      <c r="D210" s="33" t="s">
        <v>1036</v>
      </c>
      <c r="E210" s="90">
        <v>100000</v>
      </c>
      <c r="F210" s="33" t="s">
        <v>1168</v>
      </c>
      <c r="G210" s="44" t="s">
        <v>829</v>
      </c>
      <c r="H210" s="44" t="s">
        <v>86</v>
      </c>
      <c r="I210" s="44" t="s">
        <v>877</v>
      </c>
      <c r="J210" s="44">
        <v>43922</v>
      </c>
      <c r="K210" s="91" t="s">
        <v>1053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1167</v>
      </c>
      <c r="C211" s="46" t="s">
        <v>1026</v>
      </c>
      <c r="D211" s="33" t="s">
        <v>1036</v>
      </c>
      <c r="E211" s="90">
        <v>32772.800000000003</v>
      </c>
      <c r="F211" s="33" t="s">
        <v>1168</v>
      </c>
      <c r="G211" s="44" t="s">
        <v>829</v>
      </c>
      <c r="H211" s="44" t="s">
        <v>86</v>
      </c>
      <c r="I211" s="44" t="s">
        <v>877</v>
      </c>
      <c r="J211" s="44">
        <v>43922</v>
      </c>
      <c r="K211" s="91" t="s">
        <v>1053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1167</v>
      </c>
      <c r="C212" s="46" t="s">
        <v>1026</v>
      </c>
      <c r="D212" s="33" t="s">
        <v>1036</v>
      </c>
      <c r="E212" s="90">
        <v>13100.45</v>
      </c>
      <c r="F212" s="33" t="s">
        <v>1168</v>
      </c>
      <c r="G212" s="44" t="s">
        <v>829</v>
      </c>
      <c r="H212" s="44" t="s">
        <v>86</v>
      </c>
      <c r="I212" s="44" t="s">
        <v>877</v>
      </c>
      <c r="J212" s="44">
        <v>43922</v>
      </c>
      <c r="K212" s="91" t="s">
        <v>1053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1167</v>
      </c>
      <c r="C213" s="46" t="s">
        <v>1026</v>
      </c>
      <c r="D213" s="33" t="s">
        <v>1036</v>
      </c>
      <c r="E213" s="90">
        <v>40379.75</v>
      </c>
      <c r="F213" s="33" t="s">
        <v>1168</v>
      </c>
      <c r="G213" s="44" t="s">
        <v>829</v>
      </c>
      <c r="H213" s="44" t="s">
        <v>86</v>
      </c>
      <c r="I213" s="44" t="s">
        <v>877</v>
      </c>
      <c r="J213" s="44">
        <v>43922</v>
      </c>
      <c r="K213" s="91" t="s">
        <v>1053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1047</v>
      </c>
      <c r="C214" s="46" t="s">
        <v>1026</v>
      </c>
      <c r="D214" s="33" t="s">
        <v>1036</v>
      </c>
      <c r="E214" s="90">
        <v>8747</v>
      </c>
      <c r="F214" s="33" t="s">
        <v>1048</v>
      </c>
      <c r="G214" s="44" t="s">
        <v>829</v>
      </c>
      <c r="H214" s="44" t="s">
        <v>86</v>
      </c>
      <c r="I214" s="44" t="s">
        <v>877</v>
      </c>
      <c r="J214" s="44">
        <v>43703</v>
      </c>
      <c r="K214" s="91" t="s">
        <v>1032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1047</v>
      </c>
      <c r="C215" s="46" t="s">
        <v>1026</v>
      </c>
      <c r="D215" s="33" t="s">
        <v>1036</v>
      </c>
      <c r="E215" s="90">
        <v>10000</v>
      </c>
      <c r="F215" s="33" t="s">
        <v>1048</v>
      </c>
      <c r="G215" s="44" t="s">
        <v>829</v>
      </c>
      <c r="H215" s="44" t="s">
        <v>86</v>
      </c>
      <c r="I215" s="44" t="s">
        <v>877</v>
      </c>
      <c r="J215" s="44">
        <v>43703</v>
      </c>
      <c r="K215" s="91" t="s">
        <v>1032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1169</v>
      </c>
      <c r="C216" s="46" t="s">
        <v>1026</v>
      </c>
      <c r="D216" s="33" t="s">
        <v>1036</v>
      </c>
      <c r="E216" s="90">
        <v>20000</v>
      </c>
      <c r="F216" s="33" t="s">
        <v>1170</v>
      </c>
      <c r="G216" s="44" t="s">
        <v>829</v>
      </c>
      <c r="H216" s="44" t="s">
        <v>86</v>
      </c>
      <c r="I216" s="44" t="s">
        <v>968</v>
      </c>
      <c r="J216" s="44">
        <v>43531</v>
      </c>
      <c r="K216" s="91" t="s">
        <v>1029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1169</v>
      </c>
      <c r="C217" s="46" t="s">
        <v>1026</v>
      </c>
      <c r="D217" s="33" t="s">
        <v>1036</v>
      </c>
      <c r="E217" s="90">
        <v>20000</v>
      </c>
      <c r="F217" s="33" t="s">
        <v>1170</v>
      </c>
      <c r="G217" s="44" t="s">
        <v>829</v>
      </c>
      <c r="H217" s="44" t="s">
        <v>86</v>
      </c>
      <c r="I217" s="44" t="s">
        <v>968</v>
      </c>
      <c r="J217" s="44">
        <v>43531</v>
      </c>
      <c r="K217" s="91" t="s">
        <v>1029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1074</v>
      </c>
      <c r="C218" s="46" t="s">
        <v>1075</v>
      </c>
      <c r="D218" s="33" t="s">
        <v>1036</v>
      </c>
      <c r="E218" s="90">
        <v>28000</v>
      </c>
      <c r="F218" s="33" t="s">
        <v>1076</v>
      </c>
      <c r="G218" s="44" t="s">
        <v>834</v>
      </c>
      <c r="H218" s="44" t="s">
        <v>86</v>
      </c>
      <c r="I218" s="44" t="s">
        <v>844</v>
      </c>
      <c r="J218" s="44">
        <v>43797</v>
      </c>
      <c r="K218" s="91" t="s">
        <v>1053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1074</v>
      </c>
      <c r="C219" s="46" t="s">
        <v>1075</v>
      </c>
      <c r="D219" s="33" t="s">
        <v>1036</v>
      </c>
      <c r="E219" s="90">
        <v>25000</v>
      </c>
      <c r="F219" s="33" t="s">
        <v>1076</v>
      </c>
      <c r="G219" s="44" t="s">
        <v>834</v>
      </c>
      <c r="H219" s="44" t="s">
        <v>86</v>
      </c>
      <c r="I219" s="44" t="s">
        <v>844</v>
      </c>
      <c r="J219" s="44">
        <v>43797</v>
      </c>
      <c r="K219" s="91" t="s">
        <v>1053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1074</v>
      </c>
      <c r="C220" s="46" t="s">
        <v>1075</v>
      </c>
      <c r="D220" s="33" t="s">
        <v>1036</v>
      </c>
      <c r="E220" s="90">
        <v>43000</v>
      </c>
      <c r="F220" s="33" t="s">
        <v>1076</v>
      </c>
      <c r="G220" s="44" t="s">
        <v>834</v>
      </c>
      <c r="H220" s="44" t="s">
        <v>86</v>
      </c>
      <c r="I220" s="44" t="s">
        <v>844</v>
      </c>
      <c r="J220" s="44">
        <v>43797</v>
      </c>
      <c r="K220" s="91" t="s">
        <v>1053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1074</v>
      </c>
      <c r="C221" s="46" t="s">
        <v>1075</v>
      </c>
      <c r="D221" s="33" t="s">
        <v>1036</v>
      </c>
      <c r="E221" s="90">
        <v>200000</v>
      </c>
      <c r="F221" s="33" t="s">
        <v>1076</v>
      </c>
      <c r="G221" s="44" t="s">
        <v>834</v>
      </c>
      <c r="H221" s="44" t="s">
        <v>86</v>
      </c>
      <c r="I221" s="44" t="s">
        <v>844</v>
      </c>
      <c r="J221" s="44">
        <v>43797</v>
      </c>
      <c r="K221" s="91" t="s">
        <v>1053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1064</v>
      </c>
      <c r="C222" s="46" t="s">
        <v>1026</v>
      </c>
      <c r="D222" s="33" t="s">
        <v>1036</v>
      </c>
      <c r="E222" s="90">
        <v>25000</v>
      </c>
      <c r="F222" s="33" t="s">
        <v>1065</v>
      </c>
      <c r="G222" s="44" t="s">
        <v>829</v>
      </c>
      <c r="H222" s="44" t="s">
        <v>86</v>
      </c>
      <c r="I222" s="44" t="s">
        <v>968</v>
      </c>
      <c r="J222" s="44">
        <v>43559</v>
      </c>
      <c r="K222" s="91" t="s">
        <v>1032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1092</v>
      </c>
      <c r="C223" s="46" t="s">
        <v>1026</v>
      </c>
      <c r="D223" s="33" t="s">
        <v>1036</v>
      </c>
      <c r="E223" s="90">
        <v>14000</v>
      </c>
      <c r="F223" s="33" t="s">
        <v>1093</v>
      </c>
      <c r="G223" s="44" t="s">
        <v>829</v>
      </c>
      <c r="H223" s="44" t="s">
        <v>86</v>
      </c>
      <c r="I223" s="44" t="s">
        <v>877</v>
      </c>
      <c r="J223" s="44">
        <v>43564</v>
      </c>
      <c r="K223" s="91" t="s">
        <v>1029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1041</v>
      </c>
      <c r="C224" s="46" t="s">
        <v>47</v>
      </c>
      <c r="D224" s="33" t="s">
        <v>1036</v>
      </c>
      <c r="E224" s="90">
        <v>153000</v>
      </c>
      <c r="F224" s="33" t="s">
        <v>775</v>
      </c>
      <c r="G224" s="33" t="s">
        <v>829</v>
      </c>
      <c r="H224" s="33" t="s">
        <v>86</v>
      </c>
      <c r="I224" s="33" t="s">
        <v>829</v>
      </c>
      <c r="J224" s="44">
        <v>43749</v>
      </c>
      <c r="K224" s="92" t="s">
        <v>1032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1171</v>
      </c>
      <c r="C225" s="33" t="s">
        <v>1026</v>
      </c>
      <c r="D225" s="33" t="s">
        <v>1027</v>
      </c>
      <c r="E225" s="90">
        <v>268845.87</v>
      </c>
      <c r="F225" s="33" t="s">
        <v>1172</v>
      </c>
      <c r="G225" s="44" t="s">
        <v>976</v>
      </c>
      <c r="H225" s="44" t="s">
        <v>86</v>
      </c>
      <c r="I225" s="44" t="s">
        <v>976</v>
      </c>
      <c r="J225" s="44">
        <v>43563</v>
      </c>
      <c r="K225" s="91" t="s">
        <v>1029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1141</v>
      </c>
      <c r="C226" s="46" t="s">
        <v>1026</v>
      </c>
      <c r="D226" s="33" t="s">
        <v>1036</v>
      </c>
      <c r="E226" s="90">
        <v>7000</v>
      </c>
      <c r="F226" s="33" t="s">
        <v>1142</v>
      </c>
      <c r="G226" s="44" t="s">
        <v>829</v>
      </c>
      <c r="H226" s="44" t="s">
        <v>86</v>
      </c>
      <c r="I226" s="44" t="s">
        <v>877</v>
      </c>
      <c r="J226" s="44">
        <v>43711</v>
      </c>
      <c r="K226" s="91" t="s">
        <v>1032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1051</v>
      </c>
      <c r="C227" s="46" t="s">
        <v>1026</v>
      </c>
      <c r="D227" s="33" t="s">
        <v>1036</v>
      </c>
      <c r="E227" s="90">
        <v>25000</v>
      </c>
      <c r="F227" s="33" t="s">
        <v>1052</v>
      </c>
      <c r="G227" s="44" t="s">
        <v>829</v>
      </c>
      <c r="H227" s="44" t="s">
        <v>86</v>
      </c>
      <c r="I227" s="44" t="s">
        <v>877</v>
      </c>
      <c r="J227" s="44">
        <v>43605</v>
      </c>
      <c r="K227" s="91" t="s">
        <v>1053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1136</v>
      </c>
      <c r="C228" s="46" t="s">
        <v>47</v>
      </c>
      <c r="D228" s="33" t="s">
        <v>1036</v>
      </c>
      <c r="E228" s="90">
        <v>19000</v>
      </c>
      <c r="F228" s="33" t="s">
        <v>1137</v>
      </c>
      <c r="G228" s="33" t="s">
        <v>829</v>
      </c>
      <c r="H228" s="33" t="s">
        <v>86</v>
      </c>
      <c r="I228" s="33" t="s">
        <v>829</v>
      </c>
      <c r="J228" s="44">
        <v>44068</v>
      </c>
      <c r="K228" s="92" t="s">
        <v>1040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1047</v>
      </c>
      <c r="C229" s="46" t="s">
        <v>1026</v>
      </c>
      <c r="D229" s="33" t="s">
        <v>1036</v>
      </c>
      <c r="E229" s="90">
        <v>6500</v>
      </c>
      <c r="F229" s="33" t="s">
        <v>1048</v>
      </c>
      <c r="G229" s="44" t="s">
        <v>829</v>
      </c>
      <c r="H229" s="44" t="s">
        <v>86</v>
      </c>
      <c r="I229" s="44" t="s">
        <v>877</v>
      </c>
      <c r="J229" s="44">
        <v>43703</v>
      </c>
      <c r="K229" s="91" t="s">
        <v>1032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1092</v>
      </c>
      <c r="C230" s="46" t="s">
        <v>1026</v>
      </c>
      <c r="D230" s="33" t="s">
        <v>1036</v>
      </c>
      <c r="E230" s="90">
        <v>2000</v>
      </c>
      <c r="F230" s="33" t="s">
        <v>1093</v>
      </c>
      <c r="G230" s="44" t="s">
        <v>829</v>
      </c>
      <c r="H230" s="44" t="s">
        <v>86</v>
      </c>
      <c r="I230" s="44" t="s">
        <v>877</v>
      </c>
      <c r="J230" s="44">
        <v>43564</v>
      </c>
      <c r="K230" s="91" t="s">
        <v>1029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1051</v>
      </c>
      <c r="C231" s="46" t="s">
        <v>1026</v>
      </c>
      <c r="D231" s="33" t="s">
        <v>1036</v>
      </c>
      <c r="E231" s="90">
        <v>40000</v>
      </c>
      <c r="F231" s="33" t="s">
        <v>1052</v>
      </c>
      <c r="G231" s="44" t="s">
        <v>829</v>
      </c>
      <c r="H231" s="44" t="s">
        <v>86</v>
      </c>
      <c r="I231" s="44" t="s">
        <v>877</v>
      </c>
      <c r="J231" s="44">
        <v>43605</v>
      </c>
      <c r="K231" s="91" t="s">
        <v>1053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1087</v>
      </c>
      <c r="C232" s="46" t="s">
        <v>1026</v>
      </c>
      <c r="D232" s="33" t="s">
        <v>1036</v>
      </c>
      <c r="E232" s="90">
        <v>271260.25</v>
      </c>
      <c r="F232" s="33" t="s">
        <v>1088</v>
      </c>
      <c r="G232" s="44" t="s">
        <v>829</v>
      </c>
      <c r="H232" s="44" t="s">
        <v>86</v>
      </c>
      <c r="I232" s="44" t="s">
        <v>877</v>
      </c>
      <c r="J232" s="44">
        <v>43867</v>
      </c>
      <c r="K232" s="91" t="s">
        <v>1040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1173</v>
      </c>
      <c r="C233" s="46" t="s">
        <v>1026</v>
      </c>
      <c r="D233" s="33" t="s">
        <v>1036</v>
      </c>
      <c r="E233" s="98">
        <v>40000</v>
      </c>
      <c r="F233" s="33" t="s">
        <v>1174</v>
      </c>
      <c r="G233" s="44" t="s">
        <v>834</v>
      </c>
      <c r="H233" s="44" t="s">
        <v>1175</v>
      </c>
      <c r="I233" s="44" t="s">
        <v>972</v>
      </c>
      <c r="J233" s="44">
        <v>44321</v>
      </c>
      <c r="K233" s="91" t="s">
        <v>1040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1176</v>
      </c>
      <c r="C234" s="46" t="s">
        <v>1026</v>
      </c>
      <c r="D234" s="33" t="s">
        <v>1036</v>
      </c>
      <c r="E234" s="98">
        <v>10000</v>
      </c>
      <c r="F234" s="33" t="s">
        <v>1177</v>
      </c>
      <c r="G234" s="44" t="s">
        <v>834</v>
      </c>
      <c r="H234" s="44" t="s">
        <v>1175</v>
      </c>
      <c r="I234" s="44" t="s">
        <v>972</v>
      </c>
      <c r="J234" s="44">
        <v>44295</v>
      </c>
      <c r="K234" s="91" t="s">
        <v>1178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1179</v>
      </c>
      <c r="C235" s="46" t="s">
        <v>1026</v>
      </c>
      <c r="D235" s="33" t="s">
        <v>1061</v>
      </c>
      <c r="E235" s="39">
        <v>459854.95</v>
      </c>
      <c r="F235" s="33" t="s">
        <v>1180</v>
      </c>
      <c r="G235" s="44" t="s">
        <v>834</v>
      </c>
      <c r="H235" s="44" t="s">
        <v>1175</v>
      </c>
      <c r="I235" s="44" t="s">
        <v>972</v>
      </c>
      <c r="J235" s="44">
        <v>44272</v>
      </c>
      <c r="K235" s="91" t="s">
        <v>1181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1182</v>
      </c>
      <c r="C236" s="46" t="s">
        <v>47</v>
      </c>
      <c r="D236" s="33" t="s">
        <v>1036</v>
      </c>
      <c r="E236" s="98">
        <v>10000</v>
      </c>
      <c r="F236" s="33" t="s">
        <v>1183</v>
      </c>
      <c r="G236" s="33" t="s">
        <v>903</v>
      </c>
      <c r="H236" s="33" t="s">
        <v>86</v>
      </c>
      <c r="I236" s="33" t="s">
        <v>911</v>
      </c>
      <c r="J236" s="44">
        <v>44263</v>
      </c>
      <c r="K236" s="92" t="s">
        <v>1040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1184</v>
      </c>
      <c r="C237" s="46" t="s">
        <v>1026</v>
      </c>
      <c r="D237" s="33" t="s">
        <v>1036</v>
      </c>
      <c r="E237" s="98">
        <v>200000</v>
      </c>
      <c r="F237" s="33" t="s">
        <v>1185</v>
      </c>
      <c r="G237" s="44" t="s">
        <v>834</v>
      </c>
      <c r="H237" s="44" t="s">
        <v>1175</v>
      </c>
      <c r="I237" s="44" t="s">
        <v>972</v>
      </c>
      <c r="J237" s="44">
        <v>44319</v>
      </c>
      <c r="K237" s="91" t="s">
        <v>1040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1064</v>
      </c>
      <c r="C238" s="46" t="s">
        <v>1026</v>
      </c>
      <c r="D238" s="33" t="s">
        <v>1036</v>
      </c>
      <c r="E238" s="90">
        <v>1500</v>
      </c>
      <c r="F238" s="33" t="s">
        <v>1065</v>
      </c>
      <c r="G238" s="44" t="s">
        <v>829</v>
      </c>
      <c r="H238" s="44" t="s">
        <v>86</v>
      </c>
      <c r="I238" s="44" t="s">
        <v>968</v>
      </c>
      <c r="J238" s="44">
        <v>43559</v>
      </c>
      <c r="K238" s="91" t="s">
        <v>1032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1035</v>
      </c>
      <c r="C239" s="46" t="s">
        <v>1026</v>
      </c>
      <c r="D239" s="33" t="s">
        <v>1036</v>
      </c>
      <c r="E239" s="90">
        <v>10000</v>
      </c>
      <c r="F239" s="33" t="s">
        <v>1037</v>
      </c>
      <c r="G239" s="44" t="s">
        <v>829</v>
      </c>
      <c r="H239" s="44" t="s">
        <v>86</v>
      </c>
      <c r="I239" s="44" t="s">
        <v>877</v>
      </c>
      <c r="J239" s="44">
        <v>43675</v>
      </c>
      <c r="K239" s="91" t="s">
        <v>1032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1051</v>
      </c>
      <c r="C240" s="46" t="s">
        <v>1026</v>
      </c>
      <c r="D240" s="33" t="s">
        <v>1036</v>
      </c>
      <c r="E240" s="90">
        <v>15000</v>
      </c>
      <c r="F240" s="33" t="s">
        <v>1052</v>
      </c>
      <c r="G240" s="44" t="s">
        <v>829</v>
      </c>
      <c r="H240" s="44" t="s">
        <v>86</v>
      </c>
      <c r="I240" s="44" t="s">
        <v>877</v>
      </c>
      <c r="J240" s="44">
        <v>43605</v>
      </c>
      <c r="K240" s="91" t="s">
        <v>1053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1047</v>
      </c>
      <c r="C241" s="46" t="s">
        <v>1026</v>
      </c>
      <c r="D241" s="33" t="s">
        <v>1036</v>
      </c>
      <c r="E241" s="94">
        <v>100638.85</v>
      </c>
      <c r="F241" s="33" t="s">
        <v>1048</v>
      </c>
      <c r="G241" s="44" t="s">
        <v>829</v>
      </c>
      <c r="H241" s="44" t="s">
        <v>86</v>
      </c>
      <c r="I241" s="44" t="s">
        <v>877</v>
      </c>
      <c r="J241" s="44">
        <v>43703</v>
      </c>
      <c r="K241" s="91" t="s">
        <v>1032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1149</v>
      </c>
      <c r="C242" s="46" t="s">
        <v>47</v>
      </c>
      <c r="D242" s="33" t="s">
        <v>1036</v>
      </c>
      <c r="E242" s="90">
        <v>5000</v>
      </c>
      <c r="F242" s="33" t="s">
        <v>1150</v>
      </c>
      <c r="G242" s="33" t="s">
        <v>829</v>
      </c>
      <c r="H242" s="33" t="s">
        <v>86</v>
      </c>
      <c r="I242" s="33" t="s">
        <v>829</v>
      </c>
      <c r="J242" s="44">
        <v>43901</v>
      </c>
      <c r="K242" s="92" t="s">
        <v>1121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1186</v>
      </c>
      <c r="C243" s="46" t="s">
        <v>47</v>
      </c>
      <c r="D243" s="33" t="s">
        <v>1036</v>
      </c>
      <c r="E243" s="90">
        <v>13400</v>
      </c>
      <c r="F243" s="33" t="s">
        <v>1187</v>
      </c>
      <c r="G243" s="33" t="s">
        <v>829</v>
      </c>
      <c r="H243" s="33" t="s">
        <v>86</v>
      </c>
      <c r="I243" s="33" t="s">
        <v>829</v>
      </c>
      <c r="J243" s="44">
        <v>43847</v>
      </c>
      <c r="K243" s="92" t="s">
        <v>1040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1188</v>
      </c>
      <c r="C244" s="46" t="s">
        <v>1026</v>
      </c>
      <c r="D244" s="33" t="s">
        <v>1061</v>
      </c>
      <c r="E244" s="90">
        <v>5000</v>
      </c>
      <c r="F244" s="33" t="s">
        <v>1189</v>
      </c>
      <c r="G244" s="44" t="s">
        <v>829</v>
      </c>
      <c r="H244" s="44" t="s">
        <v>86</v>
      </c>
      <c r="I244" s="44" t="s">
        <v>968</v>
      </c>
      <c r="J244" s="44">
        <v>43795</v>
      </c>
      <c r="K244" s="91" t="s">
        <v>1053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1083</v>
      </c>
      <c r="C245" s="46" t="s">
        <v>1026</v>
      </c>
      <c r="D245" s="33" t="s">
        <v>1036</v>
      </c>
      <c r="E245" s="90">
        <v>14000</v>
      </c>
      <c r="F245" s="33" t="s">
        <v>1084</v>
      </c>
      <c r="G245" s="44" t="s">
        <v>829</v>
      </c>
      <c r="H245" s="44" t="s">
        <v>86</v>
      </c>
      <c r="I245" s="44" t="s">
        <v>877</v>
      </c>
      <c r="J245" s="44">
        <v>43894</v>
      </c>
      <c r="K245" s="91" t="s">
        <v>1053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1047</v>
      </c>
      <c r="C246" s="46" t="s">
        <v>1026</v>
      </c>
      <c r="D246" s="33" t="s">
        <v>1036</v>
      </c>
      <c r="E246" s="90">
        <v>10000</v>
      </c>
      <c r="F246" s="33" t="s">
        <v>1048</v>
      </c>
      <c r="G246" s="44" t="s">
        <v>829</v>
      </c>
      <c r="H246" s="44" t="s">
        <v>86</v>
      </c>
      <c r="I246" s="44" t="s">
        <v>877</v>
      </c>
      <c r="J246" s="44">
        <v>43703</v>
      </c>
      <c r="K246" s="91" t="s">
        <v>1032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1092</v>
      </c>
      <c r="C247" s="46" t="s">
        <v>1026</v>
      </c>
      <c r="D247" s="33" t="s">
        <v>1036</v>
      </c>
      <c r="E247" s="90">
        <v>24000</v>
      </c>
      <c r="F247" s="33" t="s">
        <v>1093</v>
      </c>
      <c r="G247" s="44" t="s">
        <v>829</v>
      </c>
      <c r="H247" s="44" t="s">
        <v>86</v>
      </c>
      <c r="I247" s="44" t="s">
        <v>877</v>
      </c>
      <c r="J247" s="44">
        <v>43564</v>
      </c>
      <c r="K247" s="91" t="s">
        <v>1029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1190</v>
      </c>
      <c r="C248" s="46" t="s">
        <v>1026</v>
      </c>
      <c r="D248" s="33" t="s">
        <v>1061</v>
      </c>
      <c r="E248" s="39">
        <v>100832.44</v>
      </c>
      <c r="F248" s="33" t="s">
        <v>1191</v>
      </c>
      <c r="G248" s="44" t="s">
        <v>829</v>
      </c>
      <c r="H248" s="44" t="s">
        <v>86</v>
      </c>
      <c r="I248" s="44" t="s">
        <v>877</v>
      </c>
      <c r="J248" s="44">
        <v>43725</v>
      </c>
      <c r="K248" s="91" t="s">
        <v>1032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1051</v>
      </c>
      <c r="C249" s="46" t="s">
        <v>1026</v>
      </c>
      <c r="D249" s="33" t="s">
        <v>1036</v>
      </c>
      <c r="E249" s="90">
        <v>50000</v>
      </c>
      <c r="F249" s="33" t="s">
        <v>1052</v>
      </c>
      <c r="G249" s="44" t="s">
        <v>829</v>
      </c>
      <c r="H249" s="44" t="s">
        <v>86</v>
      </c>
      <c r="I249" s="44" t="s">
        <v>877</v>
      </c>
      <c r="J249" s="44">
        <v>43605</v>
      </c>
      <c r="K249" s="91" t="s">
        <v>1053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1192</v>
      </c>
      <c r="C250" s="46" t="s">
        <v>1026</v>
      </c>
      <c r="D250" s="33" t="s">
        <v>1036</v>
      </c>
      <c r="E250" s="90">
        <v>30000</v>
      </c>
      <c r="F250" s="33" t="s">
        <v>1193</v>
      </c>
      <c r="G250" s="44" t="s">
        <v>829</v>
      </c>
      <c r="H250" s="44" t="s">
        <v>86</v>
      </c>
      <c r="I250" s="44" t="s">
        <v>968</v>
      </c>
      <c r="J250" s="44">
        <v>43822</v>
      </c>
      <c r="K250" s="91" t="s">
        <v>1053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1092</v>
      </c>
      <c r="C251" s="46" t="s">
        <v>1026</v>
      </c>
      <c r="D251" s="33" t="s">
        <v>1036</v>
      </c>
      <c r="E251" s="90">
        <v>13000</v>
      </c>
      <c r="F251" s="33" t="s">
        <v>1093</v>
      </c>
      <c r="G251" s="44" t="s">
        <v>829</v>
      </c>
      <c r="H251" s="44" t="s">
        <v>86</v>
      </c>
      <c r="I251" s="44" t="s">
        <v>877</v>
      </c>
      <c r="J251" s="44">
        <v>43564</v>
      </c>
      <c r="K251" s="91" t="s">
        <v>1029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1051</v>
      </c>
      <c r="C252" s="46" t="s">
        <v>1026</v>
      </c>
      <c r="D252" s="33" t="s">
        <v>1036</v>
      </c>
      <c r="E252" s="90">
        <v>5000</v>
      </c>
      <c r="F252" s="33" t="s">
        <v>1052</v>
      </c>
      <c r="G252" s="44" t="s">
        <v>829</v>
      </c>
      <c r="H252" s="44" t="s">
        <v>86</v>
      </c>
      <c r="I252" s="44" t="s">
        <v>877</v>
      </c>
      <c r="J252" s="44">
        <v>43605</v>
      </c>
      <c r="K252" s="91" t="s">
        <v>1053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1047</v>
      </c>
      <c r="C253" s="46" t="s">
        <v>1026</v>
      </c>
      <c r="D253" s="33" t="s">
        <v>1036</v>
      </c>
      <c r="E253" s="90">
        <v>3000</v>
      </c>
      <c r="F253" s="33" t="s">
        <v>1048</v>
      </c>
      <c r="G253" s="44" t="s">
        <v>829</v>
      </c>
      <c r="H253" s="44" t="s">
        <v>86</v>
      </c>
      <c r="I253" s="44" t="s">
        <v>877</v>
      </c>
      <c r="J253" s="44">
        <v>43703</v>
      </c>
      <c r="K253" s="91" t="s">
        <v>1032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1035</v>
      </c>
      <c r="C254" s="46" t="s">
        <v>1026</v>
      </c>
      <c r="D254" s="33" t="s">
        <v>1036</v>
      </c>
      <c r="E254" s="90">
        <v>37000</v>
      </c>
      <c r="F254" s="33" t="s">
        <v>1037</v>
      </c>
      <c r="G254" s="44" t="s">
        <v>829</v>
      </c>
      <c r="H254" s="44" t="s">
        <v>86</v>
      </c>
      <c r="I254" s="44" t="s">
        <v>877</v>
      </c>
      <c r="J254" s="44">
        <v>43675</v>
      </c>
      <c r="K254" s="91" t="s">
        <v>1032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1194</v>
      </c>
      <c r="C255" s="33" t="s">
        <v>47</v>
      </c>
      <c r="D255" s="33" t="s">
        <v>1027</v>
      </c>
      <c r="E255" s="90">
        <v>0</v>
      </c>
      <c r="F255" s="33" t="s">
        <v>1195</v>
      </c>
      <c r="G255" s="33" t="s">
        <v>834</v>
      </c>
      <c r="H255" s="33" t="s">
        <v>86</v>
      </c>
      <c r="I255" s="33" t="s">
        <v>838</v>
      </c>
      <c r="J255" s="44">
        <v>44167</v>
      </c>
      <c r="K255" s="92" t="s">
        <v>1029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1159</v>
      </c>
      <c r="C256" s="46" t="s">
        <v>1026</v>
      </c>
      <c r="D256" s="33" t="s">
        <v>1036</v>
      </c>
      <c r="E256" s="90">
        <v>49992.45</v>
      </c>
      <c r="F256" s="33" t="s">
        <v>1160</v>
      </c>
      <c r="G256" s="44" t="s">
        <v>829</v>
      </c>
      <c r="H256" s="44" t="s">
        <v>86</v>
      </c>
      <c r="I256" s="44" t="s">
        <v>877</v>
      </c>
      <c r="J256" s="44">
        <v>43873</v>
      </c>
      <c r="K256" s="91" t="s">
        <v>1040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1041</v>
      </c>
      <c r="C257" s="46" t="s">
        <v>47</v>
      </c>
      <c r="D257" s="33" t="s">
        <v>1036</v>
      </c>
      <c r="E257" s="90">
        <v>80000</v>
      </c>
      <c r="F257" s="33" t="s">
        <v>775</v>
      </c>
      <c r="G257" s="33" t="s">
        <v>829</v>
      </c>
      <c r="H257" s="33" t="s">
        <v>86</v>
      </c>
      <c r="I257" s="33" t="s">
        <v>829</v>
      </c>
      <c r="J257" s="44">
        <v>43749</v>
      </c>
      <c r="K257" s="92" t="s">
        <v>1032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1143</v>
      </c>
      <c r="C258" s="46" t="s">
        <v>47</v>
      </c>
      <c r="D258" s="33" t="s">
        <v>1036</v>
      </c>
      <c r="E258" s="90">
        <v>5000</v>
      </c>
      <c r="F258" s="33" t="s">
        <v>1144</v>
      </c>
      <c r="G258" s="33" t="s">
        <v>829</v>
      </c>
      <c r="H258" s="33" t="s">
        <v>86</v>
      </c>
      <c r="I258" s="33" t="s">
        <v>829</v>
      </c>
      <c r="J258" s="44">
        <v>44043</v>
      </c>
      <c r="K258" s="92" t="s">
        <v>1040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1101</v>
      </c>
      <c r="C259" s="46" t="s">
        <v>1026</v>
      </c>
      <c r="D259" s="33" t="s">
        <v>1036</v>
      </c>
      <c r="E259" s="90">
        <v>100000</v>
      </c>
      <c r="F259" s="33" t="s">
        <v>1102</v>
      </c>
      <c r="G259" s="44" t="s">
        <v>829</v>
      </c>
      <c r="H259" s="44" t="s">
        <v>86</v>
      </c>
      <c r="I259" s="44" t="s">
        <v>877</v>
      </c>
      <c r="J259" s="44">
        <v>43888</v>
      </c>
      <c r="K259" s="91" t="s">
        <v>1040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1074</v>
      </c>
      <c r="C260" s="46" t="s">
        <v>1075</v>
      </c>
      <c r="D260" s="33" t="s">
        <v>1036</v>
      </c>
      <c r="E260" s="90">
        <v>75000</v>
      </c>
      <c r="F260" s="33" t="s">
        <v>1076</v>
      </c>
      <c r="G260" s="44" t="s">
        <v>834</v>
      </c>
      <c r="H260" s="44" t="s">
        <v>86</v>
      </c>
      <c r="I260" s="44" t="s">
        <v>844</v>
      </c>
      <c r="J260" s="44">
        <v>43797</v>
      </c>
      <c r="K260" s="91" t="s">
        <v>1053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1196</v>
      </c>
      <c r="C261" s="46" t="s">
        <v>47</v>
      </c>
      <c r="D261" s="33" t="s">
        <v>1036</v>
      </c>
      <c r="E261" s="90">
        <v>40000</v>
      </c>
      <c r="F261" s="33" t="s">
        <v>1197</v>
      </c>
      <c r="G261" s="33" t="s">
        <v>834</v>
      </c>
      <c r="H261" s="33" t="s">
        <v>86</v>
      </c>
      <c r="I261" s="33" t="s">
        <v>996</v>
      </c>
      <c r="J261" s="44">
        <v>44089</v>
      </c>
      <c r="K261" s="92" t="s">
        <v>1178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1027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1149</v>
      </c>
      <c r="C262" s="46" t="s">
        <v>47</v>
      </c>
      <c r="D262" s="33" t="s">
        <v>1036</v>
      </c>
      <c r="E262" s="90">
        <v>60000</v>
      </c>
      <c r="F262" s="33" t="s">
        <v>1150</v>
      </c>
      <c r="G262" s="33" t="s">
        <v>829</v>
      </c>
      <c r="H262" s="33" t="s">
        <v>86</v>
      </c>
      <c r="I262" s="33" t="s">
        <v>829</v>
      </c>
      <c r="J262" s="44">
        <v>43901</v>
      </c>
      <c r="K262" s="92" t="s">
        <v>1121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1061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1198</v>
      </c>
      <c r="C263" s="46" t="s">
        <v>1026</v>
      </c>
      <c r="D263" s="33" t="s">
        <v>1036</v>
      </c>
      <c r="E263" s="90">
        <v>0</v>
      </c>
      <c r="F263" s="33" t="s">
        <v>1199</v>
      </c>
      <c r="G263" s="44" t="s">
        <v>829</v>
      </c>
      <c r="H263" s="44" t="s">
        <v>86</v>
      </c>
      <c r="I263" s="44" t="s">
        <v>877</v>
      </c>
      <c r="J263" s="44">
        <v>43888</v>
      </c>
      <c r="K263" s="91" t="s">
        <v>1053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1036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1200</v>
      </c>
      <c r="C264" s="46" t="s">
        <v>47</v>
      </c>
      <c r="D264" s="33" t="s">
        <v>1036</v>
      </c>
      <c r="E264" s="90">
        <v>147535.35999999999</v>
      </c>
      <c r="F264" s="33" t="s">
        <v>1201</v>
      </c>
      <c r="G264" s="33" t="s">
        <v>829</v>
      </c>
      <c r="H264" s="33" t="s">
        <v>86</v>
      </c>
      <c r="I264" s="33" t="s">
        <v>829</v>
      </c>
      <c r="J264" s="44">
        <v>44180</v>
      </c>
      <c r="K264" s="92" t="s">
        <v>1040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1081</v>
      </c>
      <c r="C265" s="46" t="s">
        <v>1026</v>
      </c>
      <c r="D265" s="33" t="s">
        <v>1036</v>
      </c>
      <c r="E265" s="90">
        <v>10000</v>
      </c>
      <c r="F265" s="33" t="s">
        <v>1082</v>
      </c>
      <c r="G265" s="44" t="s">
        <v>829</v>
      </c>
      <c r="H265" s="44" t="s">
        <v>86</v>
      </c>
      <c r="I265" s="44" t="s">
        <v>877</v>
      </c>
      <c r="J265" s="44">
        <v>43717</v>
      </c>
      <c r="K265" s="91" t="s">
        <v>1032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1202</v>
      </c>
      <c r="C266" s="46" t="s">
        <v>1026</v>
      </c>
      <c r="D266" s="33" t="s">
        <v>1036</v>
      </c>
      <c r="E266" s="90">
        <v>7000</v>
      </c>
      <c r="F266" s="33" t="s">
        <v>1203</v>
      </c>
      <c r="G266" s="44" t="s">
        <v>834</v>
      </c>
      <c r="H266" s="44" t="s">
        <v>86</v>
      </c>
      <c r="I266" s="44" t="s">
        <v>919</v>
      </c>
      <c r="J266" s="44">
        <v>43417</v>
      </c>
      <c r="K266" s="91" t="s">
        <v>1204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1057</v>
      </c>
      <c r="C267" s="33" t="s">
        <v>47</v>
      </c>
      <c r="D267" s="33" t="s">
        <v>1027</v>
      </c>
      <c r="E267" s="90">
        <v>0</v>
      </c>
      <c r="F267" s="33" t="s">
        <v>1058</v>
      </c>
      <c r="G267" s="33" t="s">
        <v>829</v>
      </c>
      <c r="H267" s="33" t="s">
        <v>86</v>
      </c>
      <c r="I267" s="33" t="s">
        <v>829</v>
      </c>
      <c r="J267" s="44">
        <v>44252</v>
      </c>
      <c r="K267" s="92" t="s">
        <v>1053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1077</v>
      </c>
      <c r="C268" s="46" t="s">
        <v>47</v>
      </c>
      <c r="D268" s="33" t="s">
        <v>1036</v>
      </c>
      <c r="E268" s="90">
        <v>359512.5</v>
      </c>
      <c r="F268" s="33" t="s">
        <v>1078</v>
      </c>
      <c r="G268" s="33" t="s">
        <v>829</v>
      </c>
      <c r="H268" s="33" t="s">
        <v>86</v>
      </c>
      <c r="I268" s="33" t="s">
        <v>829</v>
      </c>
      <c r="J268" s="44">
        <v>44225</v>
      </c>
      <c r="K268" s="92" t="s">
        <v>1040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1041</v>
      </c>
      <c r="C269" s="46" t="s">
        <v>47</v>
      </c>
      <c r="D269" s="33" t="s">
        <v>1036</v>
      </c>
      <c r="E269" s="90">
        <v>0</v>
      </c>
      <c r="F269" s="33" t="s">
        <v>775</v>
      </c>
      <c r="G269" s="33" t="s">
        <v>829</v>
      </c>
      <c r="H269" s="33" t="s">
        <v>86</v>
      </c>
      <c r="I269" s="33" t="s">
        <v>829</v>
      </c>
      <c r="J269" s="44">
        <v>43749</v>
      </c>
      <c r="K269" s="92" t="s">
        <v>1032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1143</v>
      </c>
      <c r="C270" s="46" t="s">
        <v>47</v>
      </c>
      <c r="D270" s="33" t="s">
        <v>1036</v>
      </c>
      <c r="E270" s="90">
        <v>30000</v>
      </c>
      <c r="F270" s="33" t="s">
        <v>1144</v>
      </c>
      <c r="G270" s="33" t="s">
        <v>829</v>
      </c>
      <c r="H270" s="33" t="s">
        <v>86</v>
      </c>
      <c r="I270" s="33" t="s">
        <v>829</v>
      </c>
      <c r="J270" s="44">
        <v>44043</v>
      </c>
      <c r="K270" s="92" t="s">
        <v>1040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1205</v>
      </c>
      <c r="C271" s="33" t="s">
        <v>47</v>
      </c>
      <c r="D271" s="33" t="s">
        <v>1027</v>
      </c>
      <c r="E271" s="90">
        <v>0</v>
      </c>
      <c r="F271" s="33" t="s">
        <v>1206</v>
      </c>
      <c r="G271" s="33" t="s">
        <v>903</v>
      </c>
      <c r="H271" s="33" t="s">
        <v>86</v>
      </c>
      <c r="I271" s="33" t="s">
        <v>907</v>
      </c>
      <c r="J271" s="44">
        <v>44183</v>
      </c>
      <c r="K271" s="92" t="s">
        <v>1040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1207</v>
      </c>
      <c r="C272" s="46" t="s">
        <v>47</v>
      </c>
      <c r="D272" s="33" t="s">
        <v>1036</v>
      </c>
      <c r="E272" s="90">
        <v>600000</v>
      </c>
      <c r="F272" s="33" t="s">
        <v>1208</v>
      </c>
      <c r="G272" s="33" t="s">
        <v>903</v>
      </c>
      <c r="H272" s="33" t="s">
        <v>86</v>
      </c>
      <c r="I272" s="33" t="s">
        <v>893</v>
      </c>
      <c r="J272" s="44">
        <v>44067</v>
      </c>
      <c r="K272" s="92" t="s">
        <v>1029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1205</v>
      </c>
      <c r="C273" s="46" t="s">
        <v>47</v>
      </c>
      <c r="D273" s="33" t="s">
        <v>1036</v>
      </c>
      <c r="E273" s="90">
        <v>33961.75</v>
      </c>
      <c r="F273" s="33" t="s">
        <v>1206</v>
      </c>
      <c r="G273" s="33" t="s">
        <v>903</v>
      </c>
      <c r="H273" s="33" t="s">
        <v>86</v>
      </c>
      <c r="I273" s="33" t="s">
        <v>907</v>
      </c>
      <c r="J273" s="44">
        <v>44183</v>
      </c>
      <c r="K273" s="92" t="s">
        <v>1040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1064</v>
      </c>
      <c r="C274" s="46" t="s">
        <v>1026</v>
      </c>
      <c r="D274" s="33" t="s">
        <v>1036</v>
      </c>
      <c r="E274" s="90">
        <v>47591.43</v>
      </c>
      <c r="F274" s="33" t="s">
        <v>1065</v>
      </c>
      <c r="G274" s="44" t="s">
        <v>829</v>
      </c>
      <c r="H274" s="44" t="s">
        <v>86</v>
      </c>
      <c r="I274" s="44" t="s">
        <v>968</v>
      </c>
      <c r="J274" s="44">
        <v>43559</v>
      </c>
      <c r="K274" s="91" t="s">
        <v>1032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1209</v>
      </c>
      <c r="C275" s="46" t="s">
        <v>1026</v>
      </c>
      <c r="D275" s="33" t="s">
        <v>1061</v>
      </c>
      <c r="E275" s="90">
        <v>5000</v>
      </c>
      <c r="F275" s="33" t="s">
        <v>1210</v>
      </c>
      <c r="G275" s="44" t="s">
        <v>834</v>
      </c>
      <c r="H275" s="44" t="s">
        <v>86</v>
      </c>
      <c r="I275" s="44" t="s">
        <v>919</v>
      </c>
      <c r="J275" s="44">
        <v>43416</v>
      </c>
      <c r="K275" s="91" t="s">
        <v>1029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1074</v>
      </c>
      <c r="C276" s="46" t="s">
        <v>1075</v>
      </c>
      <c r="D276" s="33" t="s">
        <v>1061</v>
      </c>
      <c r="E276" s="90">
        <v>721960.02</v>
      </c>
      <c r="F276" s="33" t="s">
        <v>1076</v>
      </c>
      <c r="G276" s="44" t="s">
        <v>834</v>
      </c>
      <c r="H276" s="44" t="s">
        <v>86</v>
      </c>
      <c r="I276" s="44" t="s">
        <v>844</v>
      </c>
      <c r="J276" s="44">
        <v>43797</v>
      </c>
      <c r="K276" s="91" t="s">
        <v>1053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1101</v>
      </c>
      <c r="C277" s="46" t="s">
        <v>1026</v>
      </c>
      <c r="D277" s="33" t="s">
        <v>1036</v>
      </c>
      <c r="E277" s="90">
        <v>50844.88</v>
      </c>
      <c r="F277" s="33" t="s">
        <v>1102</v>
      </c>
      <c r="G277" s="44" t="s">
        <v>829</v>
      </c>
      <c r="H277" s="44" t="s">
        <v>86</v>
      </c>
      <c r="I277" s="44" t="s">
        <v>877</v>
      </c>
      <c r="J277" s="44">
        <v>43888</v>
      </c>
      <c r="K277" s="91" t="s">
        <v>1040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1211</v>
      </c>
      <c r="C278" s="46" t="s">
        <v>1026</v>
      </c>
      <c r="D278" s="33" t="s">
        <v>1036</v>
      </c>
      <c r="E278" s="90">
        <v>20000</v>
      </c>
      <c r="F278" s="33" t="s">
        <v>1212</v>
      </c>
      <c r="G278" s="44" t="s">
        <v>834</v>
      </c>
      <c r="H278" s="44" t="s">
        <v>86</v>
      </c>
      <c r="I278" s="44" t="s">
        <v>919</v>
      </c>
      <c r="J278" s="44">
        <v>43515</v>
      </c>
      <c r="K278" s="91" t="s">
        <v>1029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1101</v>
      </c>
      <c r="C279" s="33" t="s">
        <v>1026</v>
      </c>
      <c r="D279" s="33" t="s">
        <v>1027</v>
      </c>
      <c r="E279" s="90">
        <v>111979.59</v>
      </c>
      <c r="F279" s="33" t="s">
        <v>1102</v>
      </c>
      <c r="G279" s="44" t="s">
        <v>829</v>
      </c>
      <c r="H279" s="44" t="s">
        <v>86</v>
      </c>
      <c r="I279" s="44" t="s">
        <v>877</v>
      </c>
      <c r="J279" s="44">
        <v>43888</v>
      </c>
      <c r="K279" s="91" t="s">
        <v>1040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1186</v>
      </c>
      <c r="C280" s="46" t="s">
        <v>47</v>
      </c>
      <c r="D280" s="33" t="s">
        <v>1061</v>
      </c>
      <c r="E280" s="90">
        <v>100000</v>
      </c>
      <c r="F280" s="33" t="s">
        <v>1187</v>
      </c>
      <c r="G280" s="33" t="s">
        <v>829</v>
      </c>
      <c r="H280" s="33" t="s">
        <v>86</v>
      </c>
      <c r="I280" s="33" t="s">
        <v>829</v>
      </c>
      <c r="J280" s="44">
        <v>43847</v>
      </c>
      <c r="K280" s="92" t="s">
        <v>1040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1143</v>
      </c>
      <c r="C281" s="46" t="s">
        <v>47</v>
      </c>
      <c r="D281" s="33" t="s">
        <v>1061</v>
      </c>
      <c r="E281" s="90">
        <v>900000</v>
      </c>
      <c r="F281" s="33" t="s">
        <v>1144</v>
      </c>
      <c r="G281" s="33" t="s">
        <v>829</v>
      </c>
      <c r="H281" s="33" t="s">
        <v>86</v>
      </c>
      <c r="I281" s="33" t="s">
        <v>829</v>
      </c>
      <c r="J281" s="44">
        <v>44043</v>
      </c>
      <c r="K281" s="92" t="s">
        <v>1040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1213</v>
      </c>
      <c r="C282" s="46" t="s">
        <v>47</v>
      </c>
      <c r="D282" s="33" t="s">
        <v>1061</v>
      </c>
      <c r="E282" s="90">
        <v>13000</v>
      </c>
      <c r="F282" s="33" t="s">
        <v>1214</v>
      </c>
      <c r="G282" s="33" t="s">
        <v>829</v>
      </c>
      <c r="H282" s="33" t="s">
        <v>86</v>
      </c>
      <c r="I282" s="33" t="s">
        <v>829</v>
      </c>
      <c r="J282" s="44">
        <v>44070</v>
      </c>
      <c r="K282" s="92" t="s">
        <v>1121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1215</v>
      </c>
      <c r="C283" s="33" t="s">
        <v>47</v>
      </c>
      <c r="D283" s="33" t="s">
        <v>1027</v>
      </c>
      <c r="E283" s="90">
        <v>0</v>
      </c>
      <c r="F283" s="33" t="s">
        <v>1216</v>
      </c>
      <c r="G283" s="33" t="s">
        <v>903</v>
      </c>
      <c r="H283" s="33" t="s">
        <v>86</v>
      </c>
      <c r="I283" s="33" t="s">
        <v>1217</v>
      </c>
      <c r="J283" s="44">
        <v>44160</v>
      </c>
      <c r="K283" s="92" t="s">
        <v>1121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1218</v>
      </c>
      <c r="C284" s="33" t="s">
        <v>47</v>
      </c>
      <c r="D284" s="33" t="s">
        <v>1027</v>
      </c>
      <c r="E284" s="90">
        <v>0</v>
      </c>
      <c r="F284" s="33" t="s">
        <v>1219</v>
      </c>
      <c r="G284" s="33" t="s">
        <v>829</v>
      </c>
      <c r="H284" s="33" t="s">
        <v>86</v>
      </c>
      <c r="I284" s="33" t="s">
        <v>829</v>
      </c>
      <c r="J284" s="44">
        <v>44244</v>
      </c>
      <c r="K284" s="92" t="s">
        <v>1040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1064</v>
      </c>
      <c r="C285" s="46" t="s">
        <v>1026</v>
      </c>
      <c r="D285" s="33" t="s">
        <v>1036</v>
      </c>
      <c r="E285" s="90">
        <v>100000</v>
      </c>
      <c r="F285" s="33" t="s">
        <v>1065</v>
      </c>
      <c r="G285" s="44" t="s">
        <v>829</v>
      </c>
      <c r="H285" s="44" t="s">
        <v>86</v>
      </c>
      <c r="I285" s="44" t="s">
        <v>968</v>
      </c>
      <c r="J285" s="44">
        <v>43559</v>
      </c>
      <c r="K285" s="91" t="s">
        <v>1032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1077</v>
      </c>
      <c r="C286" s="46" t="s">
        <v>47</v>
      </c>
      <c r="D286" s="33" t="s">
        <v>1061</v>
      </c>
      <c r="E286" s="90">
        <v>12500</v>
      </c>
      <c r="F286" s="33" t="s">
        <v>1078</v>
      </c>
      <c r="G286" s="33" t="s">
        <v>829</v>
      </c>
      <c r="H286" s="33" t="s">
        <v>86</v>
      </c>
      <c r="I286" s="33" t="s">
        <v>829</v>
      </c>
      <c r="J286" s="44">
        <v>44225</v>
      </c>
      <c r="K286" s="92" t="s">
        <v>1040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1220</v>
      </c>
      <c r="C287" s="46" t="s">
        <v>47</v>
      </c>
      <c r="D287" s="33" t="s">
        <v>1061</v>
      </c>
      <c r="E287" s="90">
        <v>10000</v>
      </c>
      <c r="F287" s="33" t="s">
        <v>1221</v>
      </c>
      <c r="G287" s="33" t="s">
        <v>829</v>
      </c>
      <c r="H287" s="33" t="s">
        <v>86</v>
      </c>
      <c r="I287" s="33" t="s">
        <v>829</v>
      </c>
      <c r="J287" s="44">
        <v>44075</v>
      </c>
      <c r="K287" s="41" t="s">
        <v>1040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1055</v>
      </c>
      <c r="C288" s="46" t="s">
        <v>1026</v>
      </c>
      <c r="D288" s="33" t="s">
        <v>1036</v>
      </c>
      <c r="E288" s="90">
        <v>96557.66</v>
      </c>
      <c r="F288" s="33" t="s">
        <v>1056</v>
      </c>
      <c r="G288" s="44" t="s">
        <v>829</v>
      </c>
      <c r="H288" s="44" t="s">
        <v>86</v>
      </c>
      <c r="I288" s="44" t="s">
        <v>877</v>
      </c>
      <c r="J288" s="44">
        <v>43822</v>
      </c>
      <c r="K288" s="44" t="s">
        <v>1053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1222</v>
      </c>
      <c r="C289" s="46" t="s">
        <v>1026</v>
      </c>
      <c r="D289" s="33" t="s">
        <v>1036</v>
      </c>
      <c r="E289" s="90">
        <v>120000</v>
      </c>
      <c r="F289" s="33" t="s">
        <v>1223</v>
      </c>
      <c r="G289" s="44" t="s">
        <v>829</v>
      </c>
      <c r="H289" s="44" t="s">
        <v>86</v>
      </c>
      <c r="I289" s="44" t="s">
        <v>968</v>
      </c>
      <c r="J289" s="44">
        <v>43531</v>
      </c>
      <c r="K289" s="91" t="s">
        <v>1032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1224</v>
      </c>
      <c r="C290" s="46" t="s">
        <v>1026</v>
      </c>
      <c r="D290" s="33" t="s">
        <v>1036</v>
      </c>
      <c r="E290" s="90">
        <v>5000</v>
      </c>
      <c r="F290" s="33" t="s">
        <v>1225</v>
      </c>
      <c r="G290" s="44" t="s">
        <v>834</v>
      </c>
      <c r="H290" s="44" t="s">
        <v>1175</v>
      </c>
      <c r="I290" s="44" t="s">
        <v>972</v>
      </c>
      <c r="J290" s="44">
        <v>44278</v>
      </c>
      <c r="K290" s="91" t="s">
        <v>1040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1226</v>
      </c>
      <c r="C291" s="46" t="s">
        <v>47</v>
      </c>
      <c r="D291" s="33" t="s">
        <v>1036</v>
      </c>
      <c r="E291" s="90">
        <v>7000</v>
      </c>
      <c r="F291" s="33" t="s">
        <v>1227</v>
      </c>
      <c r="G291" s="33" t="s">
        <v>903</v>
      </c>
      <c r="H291" s="33" t="s">
        <v>86</v>
      </c>
      <c r="I291" s="33" t="s">
        <v>960</v>
      </c>
      <c r="J291" s="44">
        <v>44105</v>
      </c>
      <c r="K291" s="92" t="s">
        <v>1029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1228</v>
      </c>
      <c r="C292" s="46" t="s">
        <v>1026</v>
      </c>
      <c r="D292" s="33" t="s">
        <v>1036</v>
      </c>
      <c r="E292" s="90">
        <v>153417.37</v>
      </c>
      <c r="F292" s="33" t="s">
        <v>1229</v>
      </c>
      <c r="G292" s="44" t="s">
        <v>834</v>
      </c>
      <c r="H292" s="44" t="s">
        <v>1175</v>
      </c>
      <c r="I292" s="44" t="s">
        <v>974</v>
      </c>
      <c r="J292" s="44">
        <v>44273</v>
      </c>
      <c r="K292" s="91" t="s">
        <v>1040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1051</v>
      </c>
      <c r="C293" s="46" t="s">
        <v>1026</v>
      </c>
      <c r="D293" s="33" t="s">
        <v>1036</v>
      </c>
      <c r="E293" s="90">
        <v>15000</v>
      </c>
      <c r="F293" s="33" t="s">
        <v>1052</v>
      </c>
      <c r="G293" s="44" t="s">
        <v>829</v>
      </c>
      <c r="H293" s="44" t="s">
        <v>86</v>
      </c>
      <c r="I293" s="44" t="s">
        <v>877</v>
      </c>
      <c r="J293" s="44">
        <v>43605</v>
      </c>
      <c r="K293" s="91" t="s">
        <v>1053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1047</v>
      </c>
      <c r="C294" s="46" t="s">
        <v>1026</v>
      </c>
      <c r="D294" s="33" t="s">
        <v>1036</v>
      </c>
      <c r="E294" s="90">
        <v>20000</v>
      </c>
      <c r="F294" s="33" t="s">
        <v>1048</v>
      </c>
      <c r="G294" s="44" t="s">
        <v>829</v>
      </c>
      <c r="H294" s="44" t="s">
        <v>86</v>
      </c>
      <c r="I294" s="44" t="s">
        <v>877</v>
      </c>
      <c r="J294" s="44">
        <v>43703</v>
      </c>
      <c r="K294" s="91" t="s">
        <v>1032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1230</v>
      </c>
      <c r="C295" s="33" t="s">
        <v>47</v>
      </c>
      <c r="D295" s="33" t="s">
        <v>1027</v>
      </c>
      <c r="E295" s="90">
        <v>0</v>
      </c>
      <c r="F295" s="33" t="s">
        <v>1231</v>
      </c>
      <c r="G295" s="33" t="s">
        <v>903</v>
      </c>
      <c r="H295" s="33" t="s">
        <v>86</v>
      </c>
      <c r="I295" s="33" t="s">
        <v>848</v>
      </c>
      <c r="J295" s="44">
        <v>44126</v>
      </c>
      <c r="K295" s="92" t="s">
        <v>1040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1232</v>
      </c>
      <c r="C296" s="33" t="s">
        <v>1026</v>
      </c>
      <c r="D296" s="33" t="s">
        <v>1027</v>
      </c>
      <c r="E296" s="90"/>
      <c r="F296" s="33" t="s">
        <v>1233</v>
      </c>
      <c r="G296" s="44" t="s">
        <v>834</v>
      </c>
      <c r="H296" s="44" t="s">
        <v>1175</v>
      </c>
      <c r="I296" s="44" t="s">
        <v>974</v>
      </c>
      <c r="J296" s="44">
        <v>44280</v>
      </c>
      <c r="K296" s="91" t="s">
        <v>1053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1234</v>
      </c>
      <c r="C297" s="46" t="s">
        <v>1026</v>
      </c>
      <c r="D297" s="33" t="s">
        <v>1061</v>
      </c>
      <c r="E297" s="90">
        <v>200000</v>
      </c>
      <c r="F297" s="33" t="s">
        <v>1235</v>
      </c>
      <c r="G297" s="44" t="s">
        <v>829</v>
      </c>
      <c r="H297" s="44" t="s">
        <v>86</v>
      </c>
      <c r="I297" s="44" t="s">
        <v>968</v>
      </c>
      <c r="J297" s="44">
        <v>43861</v>
      </c>
      <c r="K297" s="91" t="s">
        <v>1053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1236</v>
      </c>
      <c r="C298" s="46" t="s">
        <v>47</v>
      </c>
      <c r="D298" s="33" t="s">
        <v>1036</v>
      </c>
      <c r="E298" s="90">
        <v>328583.39</v>
      </c>
      <c r="F298" s="33" t="s">
        <v>1237</v>
      </c>
      <c r="G298" s="33" t="s">
        <v>903</v>
      </c>
      <c r="H298" s="33" t="s">
        <v>86</v>
      </c>
      <c r="I298" s="33" t="s">
        <v>893</v>
      </c>
      <c r="J298" s="42">
        <v>44134</v>
      </c>
      <c r="K298" s="92" t="s">
        <v>1121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1222</v>
      </c>
      <c r="C299" s="33" t="s">
        <v>1026</v>
      </c>
      <c r="D299" s="33" t="s">
        <v>1027</v>
      </c>
      <c r="E299" s="90">
        <v>222801.29</v>
      </c>
      <c r="F299" s="33" t="s">
        <v>1223</v>
      </c>
      <c r="G299" s="44" t="s">
        <v>829</v>
      </c>
      <c r="H299" s="44" t="s">
        <v>86</v>
      </c>
      <c r="I299" s="44" t="s">
        <v>968</v>
      </c>
      <c r="J299" s="44">
        <v>43531</v>
      </c>
      <c r="K299" s="91" t="s">
        <v>1032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1238</v>
      </c>
      <c r="C300" s="33" t="s">
        <v>1026</v>
      </c>
      <c r="D300" s="33" t="s">
        <v>1027</v>
      </c>
      <c r="E300" s="90"/>
      <c r="F300" s="33" t="s">
        <v>1223</v>
      </c>
      <c r="G300" s="44" t="s">
        <v>829</v>
      </c>
      <c r="H300" s="44" t="s">
        <v>86</v>
      </c>
      <c r="I300" s="44" t="s">
        <v>968</v>
      </c>
      <c r="J300" s="44">
        <v>43566</v>
      </c>
      <c r="K300" s="91" t="s">
        <v>1053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1239</v>
      </c>
      <c r="C301" s="46" t="s">
        <v>47</v>
      </c>
      <c r="D301" s="33" t="s">
        <v>1036</v>
      </c>
      <c r="E301" s="90">
        <v>95592.52</v>
      </c>
      <c r="F301" s="33" t="s">
        <v>1240</v>
      </c>
      <c r="G301" s="33" t="s">
        <v>903</v>
      </c>
      <c r="H301" s="33" t="s">
        <v>86</v>
      </c>
      <c r="I301" s="33" t="s">
        <v>1217</v>
      </c>
      <c r="J301" s="42">
        <v>44180</v>
      </c>
      <c r="K301" s="92" t="s">
        <v>1040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1241</v>
      </c>
      <c r="C302" s="33" t="s">
        <v>47</v>
      </c>
      <c r="D302" s="33" t="s">
        <v>1027</v>
      </c>
      <c r="E302" s="90">
        <v>0</v>
      </c>
      <c r="F302" s="33" t="s">
        <v>1242</v>
      </c>
      <c r="G302" s="33" t="s">
        <v>903</v>
      </c>
      <c r="H302" s="33" t="s">
        <v>86</v>
      </c>
      <c r="I302" s="33" t="s">
        <v>854</v>
      </c>
      <c r="J302" s="44">
        <v>44215</v>
      </c>
      <c r="K302" s="92" t="s">
        <v>1121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1064</v>
      </c>
      <c r="C303" s="46" t="s">
        <v>1026</v>
      </c>
      <c r="D303" s="33" t="s">
        <v>1036</v>
      </c>
      <c r="E303" s="90">
        <v>3500</v>
      </c>
      <c r="F303" s="33" t="s">
        <v>1065</v>
      </c>
      <c r="G303" s="44" t="s">
        <v>829</v>
      </c>
      <c r="H303" s="44" t="s">
        <v>86</v>
      </c>
      <c r="I303" s="44" t="s">
        <v>968</v>
      </c>
      <c r="J303" s="44">
        <v>43559</v>
      </c>
      <c r="K303" s="91" t="s">
        <v>1032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1241</v>
      </c>
      <c r="C304" s="46" t="s">
        <v>47</v>
      </c>
      <c r="D304" s="33" t="s">
        <v>1061</v>
      </c>
      <c r="E304" s="90">
        <v>6000</v>
      </c>
      <c r="F304" s="33" t="s">
        <v>1242</v>
      </c>
      <c r="G304" s="33" t="s">
        <v>903</v>
      </c>
      <c r="H304" s="33" t="s">
        <v>86</v>
      </c>
      <c r="I304" s="33" t="s">
        <v>854</v>
      </c>
      <c r="J304" s="44">
        <v>44215</v>
      </c>
      <c r="K304" s="92" t="s">
        <v>1121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1047</v>
      </c>
      <c r="C305" s="46" t="s">
        <v>1026</v>
      </c>
      <c r="D305" s="33" t="s">
        <v>1036</v>
      </c>
      <c r="E305" s="90">
        <v>50000</v>
      </c>
      <c r="F305" s="33" t="s">
        <v>1048</v>
      </c>
      <c r="G305" s="44" t="s">
        <v>829</v>
      </c>
      <c r="H305" s="44" t="s">
        <v>86</v>
      </c>
      <c r="I305" s="44" t="s">
        <v>877</v>
      </c>
      <c r="J305" s="44">
        <v>43703</v>
      </c>
      <c r="K305" s="91" t="s">
        <v>1032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1243</v>
      </c>
      <c r="C306" s="46" t="s">
        <v>47</v>
      </c>
      <c r="D306" s="33" t="s">
        <v>1036</v>
      </c>
      <c r="E306" s="90">
        <v>200000</v>
      </c>
      <c r="F306" s="33" t="s">
        <v>1244</v>
      </c>
      <c r="G306" s="33" t="s">
        <v>903</v>
      </c>
      <c r="H306" s="33" t="s">
        <v>86</v>
      </c>
      <c r="I306" s="33" t="s">
        <v>889</v>
      </c>
      <c r="J306" s="44">
        <v>44203</v>
      </c>
      <c r="K306" s="92" t="s">
        <v>1040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1245</v>
      </c>
      <c r="C307" s="46" t="s">
        <v>47</v>
      </c>
      <c r="D307" s="33" t="s">
        <v>1036</v>
      </c>
      <c r="E307" s="90">
        <v>7000</v>
      </c>
      <c r="F307" s="33" t="s">
        <v>1246</v>
      </c>
      <c r="G307" s="33" t="s">
        <v>834</v>
      </c>
      <c r="H307" s="33" t="s">
        <v>86</v>
      </c>
      <c r="I307" s="33" t="s">
        <v>989</v>
      </c>
      <c r="J307" s="44">
        <v>44218</v>
      </c>
      <c r="K307" s="92" t="s">
        <v>1040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1247</v>
      </c>
      <c r="C308" s="33" t="s">
        <v>47</v>
      </c>
      <c r="D308" s="33" t="s">
        <v>1027</v>
      </c>
      <c r="E308" s="90">
        <v>0</v>
      </c>
      <c r="F308" s="33" t="s">
        <v>1248</v>
      </c>
      <c r="G308" s="33" t="s">
        <v>903</v>
      </c>
      <c r="H308" s="33" t="s">
        <v>86</v>
      </c>
      <c r="I308" s="33" t="s">
        <v>848</v>
      </c>
      <c r="J308" s="44">
        <v>44165</v>
      </c>
      <c r="K308" s="92" t="s">
        <v>1040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1249</v>
      </c>
      <c r="C309" s="46" t="s">
        <v>47</v>
      </c>
      <c r="D309" s="33" t="s">
        <v>1061</v>
      </c>
      <c r="E309" s="90">
        <v>299695.62</v>
      </c>
      <c r="F309" s="33" t="s">
        <v>1250</v>
      </c>
      <c r="G309" s="33" t="s">
        <v>903</v>
      </c>
      <c r="H309" s="33" t="s">
        <v>86</v>
      </c>
      <c r="I309" s="33" t="s">
        <v>893</v>
      </c>
      <c r="J309" s="44">
        <v>44195</v>
      </c>
      <c r="K309" s="92" t="s">
        <v>1053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1041</v>
      </c>
      <c r="C310" s="46" t="s">
        <v>47</v>
      </c>
      <c r="D310" s="33" t="s">
        <v>1061</v>
      </c>
      <c r="E310" s="90">
        <v>203869.45</v>
      </c>
      <c r="F310" s="33" t="s">
        <v>775</v>
      </c>
      <c r="G310" s="33" t="s">
        <v>829</v>
      </c>
      <c r="H310" s="33" t="s">
        <v>86</v>
      </c>
      <c r="I310" s="33" t="s">
        <v>829</v>
      </c>
      <c r="J310" s="44">
        <v>43749</v>
      </c>
      <c r="K310" s="92" t="s">
        <v>1032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1047</v>
      </c>
      <c r="C311" s="46" t="s">
        <v>1026</v>
      </c>
      <c r="D311" s="33" t="s">
        <v>1036</v>
      </c>
      <c r="E311" s="90">
        <v>1000</v>
      </c>
      <c r="F311" s="33" t="s">
        <v>1048</v>
      </c>
      <c r="G311" s="44" t="s">
        <v>829</v>
      </c>
      <c r="H311" s="44" t="s">
        <v>86</v>
      </c>
      <c r="I311" s="44" t="s">
        <v>877</v>
      </c>
      <c r="J311" s="44">
        <v>43703</v>
      </c>
      <c r="K311" s="91" t="s">
        <v>1032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1081</v>
      </c>
      <c r="C312" s="46" t="s">
        <v>1026</v>
      </c>
      <c r="D312" s="33" t="s">
        <v>1036</v>
      </c>
      <c r="E312" s="90">
        <v>10000</v>
      </c>
      <c r="F312" s="33" t="s">
        <v>1082</v>
      </c>
      <c r="G312" s="44" t="s">
        <v>829</v>
      </c>
      <c r="H312" s="44" t="s">
        <v>86</v>
      </c>
      <c r="I312" s="44" t="s">
        <v>877</v>
      </c>
      <c r="J312" s="44">
        <v>43717</v>
      </c>
      <c r="K312" s="91" t="s">
        <v>1032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1041</v>
      </c>
      <c r="C313" s="33" t="s">
        <v>47</v>
      </c>
      <c r="D313" s="33" t="s">
        <v>1027</v>
      </c>
      <c r="E313" s="90">
        <v>0</v>
      </c>
      <c r="F313" s="33" t="s">
        <v>775</v>
      </c>
      <c r="G313" s="33" t="s">
        <v>829</v>
      </c>
      <c r="H313" s="33" t="s">
        <v>86</v>
      </c>
      <c r="I313" s="33" t="s">
        <v>829</v>
      </c>
      <c r="J313" s="44">
        <v>43749</v>
      </c>
      <c r="K313" s="92" t="s">
        <v>1032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1077</v>
      </c>
      <c r="C314" s="33" t="s">
        <v>47</v>
      </c>
      <c r="D314" s="33" t="s">
        <v>1027</v>
      </c>
      <c r="E314" s="90">
        <v>0</v>
      </c>
      <c r="F314" s="33" t="s">
        <v>1078</v>
      </c>
      <c r="G314" s="33" t="s">
        <v>829</v>
      </c>
      <c r="H314" s="33" t="s">
        <v>86</v>
      </c>
      <c r="I314" s="33" t="s">
        <v>829</v>
      </c>
      <c r="J314" s="44">
        <v>44225</v>
      </c>
      <c r="K314" s="92" t="s">
        <v>1040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1192</v>
      </c>
      <c r="C315" s="46" t="s">
        <v>1026</v>
      </c>
      <c r="D315" s="33" t="s">
        <v>1036</v>
      </c>
      <c r="E315" s="90">
        <v>29853.439999999999</v>
      </c>
      <c r="F315" s="33" t="s">
        <v>1193</v>
      </c>
      <c r="G315" s="44" t="s">
        <v>829</v>
      </c>
      <c r="H315" s="44" t="s">
        <v>86</v>
      </c>
      <c r="I315" s="44" t="s">
        <v>968</v>
      </c>
      <c r="J315" s="44">
        <v>43822</v>
      </c>
      <c r="K315" s="91" t="s">
        <v>1053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1251</v>
      </c>
      <c r="C316" s="46" t="s">
        <v>1026</v>
      </c>
      <c r="D316" s="33" t="s">
        <v>1036</v>
      </c>
      <c r="E316" s="90">
        <v>3500</v>
      </c>
      <c r="F316" s="33" t="s">
        <v>1252</v>
      </c>
      <c r="G316" s="44" t="s">
        <v>834</v>
      </c>
      <c r="H316" s="44" t="s">
        <v>1175</v>
      </c>
      <c r="I316" s="44" t="s">
        <v>970</v>
      </c>
      <c r="J316" s="44">
        <v>44273</v>
      </c>
      <c r="K316" s="91" t="s">
        <v>1040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1064</v>
      </c>
      <c r="C317" s="46" t="s">
        <v>1026</v>
      </c>
      <c r="D317" s="33" t="s">
        <v>1036</v>
      </c>
      <c r="E317" s="90">
        <v>193917.59</v>
      </c>
      <c r="F317" s="33" t="s">
        <v>1065</v>
      </c>
      <c r="G317" s="44" t="s">
        <v>829</v>
      </c>
      <c r="H317" s="44" t="s">
        <v>86</v>
      </c>
      <c r="I317" s="44" t="s">
        <v>968</v>
      </c>
      <c r="J317" s="44">
        <v>43559</v>
      </c>
      <c r="K317" s="91" t="s">
        <v>1032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1253</v>
      </c>
      <c r="C318" s="46" t="s">
        <v>1026</v>
      </c>
      <c r="D318" s="33" t="s">
        <v>1036</v>
      </c>
      <c r="E318" s="90">
        <v>10000</v>
      </c>
      <c r="F318" s="33" t="s">
        <v>1254</v>
      </c>
      <c r="G318" s="44" t="s">
        <v>829</v>
      </c>
      <c r="H318" s="44" t="s">
        <v>86</v>
      </c>
      <c r="I318" s="44" t="s">
        <v>968</v>
      </c>
      <c r="J318" s="44">
        <v>43874</v>
      </c>
      <c r="K318" s="91" t="s">
        <v>1040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1255</v>
      </c>
      <c r="C319" s="33" t="s">
        <v>1026</v>
      </c>
      <c r="D319" s="33" t="s">
        <v>1027</v>
      </c>
      <c r="E319" s="90">
        <v>72.06</v>
      </c>
      <c r="F319" s="33" t="s">
        <v>1256</v>
      </c>
      <c r="G319" s="44" t="s">
        <v>829</v>
      </c>
      <c r="H319" s="44" t="s">
        <v>86</v>
      </c>
      <c r="I319" s="44" t="s">
        <v>968</v>
      </c>
      <c r="J319" s="44">
        <v>43685</v>
      </c>
      <c r="K319" s="91" t="s">
        <v>1032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1257</v>
      </c>
      <c r="C320" s="33" t="s">
        <v>1026</v>
      </c>
      <c r="D320" s="33" t="s">
        <v>1027</v>
      </c>
      <c r="E320" s="90">
        <v>295.22000000000003</v>
      </c>
      <c r="F320" s="33" t="s">
        <v>1258</v>
      </c>
      <c r="G320" s="44" t="s">
        <v>834</v>
      </c>
      <c r="H320" s="44" t="s">
        <v>86</v>
      </c>
      <c r="I320" s="44" t="s">
        <v>863</v>
      </c>
      <c r="J320" s="44">
        <v>43382</v>
      </c>
      <c r="K320" s="91" t="s">
        <v>1029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1259</v>
      </c>
      <c r="C321" s="33" t="s">
        <v>1026</v>
      </c>
      <c r="D321" s="33" t="s">
        <v>1027</v>
      </c>
      <c r="E321" s="90">
        <v>47.86</v>
      </c>
      <c r="F321" s="33" t="s">
        <v>1260</v>
      </c>
      <c r="G321" s="44" t="s">
        <v>829</v>
      </c>
      <c r="H321" s="44" t="s">
        <v>86</v>
      </c>
      <c r="I321" s="44" t="s">
        <v>877</v>
      </c>
      <c r="J321" s="44">
        <v>43665</v>
      </c>
      <c r="K321" s="91" t="s">
        <v>1032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1211</v>
      </c>
      <c r="C322" s="33" t="s">
        <v>1026</v>
      </c>
      <c r="D322" s="33" t="s">
        <v>1027</v>
      </c>
      <c r="E322" s="90"/>
      <c r="F322" s="33" t="s">
        <v>1212</v>
      </c>
      <c r="G322" s="44" t="s">
        <v>834</v>
      </c>
      <c r="H322" s="44" t="s">
        <v>86</v>
      </c>
      <c r="I322" s="44" t="s">
        <v>919</v>
      </c>
      <c r="J322" s="44">
        <v>43515</v>
      </c>
      <c r="K322" s="91" t="s">
        <v>1029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1062</v>
      </c>
      <c r="C323" s="33" t="s">
        <v>1026</v>
      </c>
      <c r="D323" s="33" t="s">
        <v>1027</v>
      </c>
      <c r="E323" s="90">
        <v>4170.42</v>
      </c>
      <c r="F323" s="33" t="s">
        <v>1063</v>
      </c>
      <c r="G323" s="44" t="s">
        <v>829</v>
      </c>
      <c r="H323" s="44" t="s">
        <v>86</v>
      </c>
      <c r="I323" s="44" t="s">
        <v>968</v>
      </c>
      <c r="J323" s="44">
        <v>43664</v>
      </c>
      <c r="K323" s="91" t="s">
        <v>1032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1261</v>
      </c>
      <c r="C324" s="33" t="s">
        <v>1026</v>
      </c>
      <c r="D324" s="33" t="s">
        <v>1027</v>
      </c>
      <c r="E324" s="90">
        <v>6.32</v>
      </c>
      <c r="F324" s="33" t="s">
        <v>1262</v>
      </c>
      <c r="G324" s="44" t="s">
        <v>829</v>
      </c>
      <c r="H324" s="44" t="s">
        <v>86</v>
      </c>
      <c r="I324" s="44" t="s">
        <v>877</v>
      </c>
      <c r="J324" s="44" t="s">
        <v>1263</v>
      </c>
      <c r="K324" s="91" t="s">
        <v>1040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1035</v>
      </c>
      <c r="C325" s="33" t="s">
        <v>1026</v>
      </c>
      <c r="D325" s="33" t="s">
        <v>1027</v>
      </c>
      <c r="E325" s="90">
        <v>242.83</v>
      </c>
      <c r="F325" s="33" t="s">
        <v>1037</v>
      </c>
      <c r="G325" s="44" t="s">
        <v>829</v>
      </c>
      <c r="H325" s="44" t="s">
        <v>86</v>
      </c>
      <c r="I325" s="44" t="s">
        <v>877</v>
      </c>
      <c r="J325" s="44">
        <v>43675</v>
      </c>
      <c r="K325" s="91" t="s">
        <v>1032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1155</v>
      </c>
      <c r="C326" s="46" t="s">
        <v>1026</v>
      </c>
      <c r="D326" s="33" t="s">
        <v>1061</v>
      </c>
      <c r="E326" s="90">
        <v>57000</v>
      </c>
      <c r="F326" s="33" t="s">
        <v>1156</v>
      </c>
      <c r="G326" s="44" t="s">
        <v>829</v>
      </c>
      <c r="H326" s="44" t="s">
        <v>86</v>
      </c>
      <c r="I326" s="44" t="s">
        <v>968</v>
      </c>
      <c r="J326" s="44">
        <v>43622</v>
      </c>
      <c r="K326" s="91" t="s">
        <v>1053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1253</v>
      </c>
      <c r="C327" s="33" t="s">
        <v>1026</v>
      </c>
      <c r="D327" s="33" t="s">
        <v>1027</v>
      </c>
      <c r="E327" s="90">
        <v>299695.62</v>
      </c>
      <c r="F327" s="33" t="s">
        <v>1254</v>
      </c>
      <c r="G327" s="44" t="s">
        <v>829</v>
      </c>
      <c r="H327" s="44" t="s">
        <v>86</v>
      </c>
      <c r="I327" s="44" t="s">
        <v>968</v>
      </c>
      <c r="J327" s="44">
        <v>43874</v>
      </c>
      <c r="K327" s="91" t="s">
        <v>1040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1264</v>
      </c>
      <c r="C328" s="33" t="s">
        <v>1026</v>
      </c>
      <c r="D328" s="33" t="s">
        <v>1027</v>
      </c>
      <c r="E328" s="90">
        <v>29853.439999999999</v>
      </c>
      <c r="F328" s="33" t="s">
        <v>1265</v>
      </c>
      <c r="G328" s="44" t="s">
        <v>829</v>
      </c>
      <c r="H328" s="44" t="s">
        <v>86</v>
      </c>
      <c r="I328" s="44" t="s">
        <v>877</v>
      </c>
      <c r="J328" s="44">
        <v>43620</v>
      </c>
      <c r="K328" s="91" t="s">
        <v>1053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1266</v>
      </c>
      <c r="C329" s="46" t="s">
        <v>1026</v>
      </c>
      <c r="D329" s="33" t="s">
        <v>1036</v>
      </c>
      <c r="E329" s="90">
        <v>11000</v>
      </c>
      <c r="F329" s="33" t="s">
        <v>1267</v>
      </c>
      <c r="G329" s="44" t="s">
        <v>834</v>
      </c>
      <c r="H329" s="44" t="s">
        <v>1175</v>
      </c>
      <c r="I329" s="44" t="s">
        <v>970</v>
      </c>
      <c r="J329" s="44">
        <v>44298</v>
      </c>
      <c r="K329" s="91" t="s">
        <v>1040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1047</v>
      </c>
      <c r="C330" s="46" t="s">
        <v>1026</v>
      </c>
      <c r="D330" s="33" t="s">
        <v>1036</v>
      </c>
      <c r="E330" s="90">
        <v>12000</v>
      </c>
      <c r="F330" s="33" t="s">
        <v>1048</v>
      </c>
      <c r="G330" s="44" t="s">
        <v>829</v>
      </c>
      <c r="H330" s="44" t="s">
        <v>86</v>
      </c>
      <c r="I330" s="44" t="s">
        <v>877</v>
      </c>
      <c r="J330" s="44">
        <v>43703</v>
      </c>
      <c r="K330" s="91" t="s">
        <v>1032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1264</v>
      </c>
      <c r="C331" s="46" t="s">
        <v>1026</v>
      </c>
      <c r="D331" s="33" t="s">
        <v>1061</v>
      </c>
      <c r="E331" s="90">
        <v>162050.69</v>
      </c>
      <c r="F331" s="33" t="s">
        <v>1265</v>
      </c>
      <c r="G331" s="44" t="s">
        <v>829</v>
      </c>
      <c r="H331" s="44" t="s">
        <v>86</v>
      </c>
      <c r="I331" s="44" t="s">
        <v>877</v>
      </c>
      <c r="J331" s="44">
        <v>43620</v>
      </c>
      <c r="K331" s="91" t="s">
        <v>1053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1149</v>
      </c>
      <c r="C332" s="46" t="s">
        <v>47</v>
      </c>
      <c r="D332" s="33" t="s">
        <v>1036</v>
      </c>
      <c r="E332" s="90">
        <v>5000</v>
      </c>
      <c r="F332" s="33" t="s">
        <v>1150</v>
      </c>
      <c r="G332" s="33" t="s">
        <v>829</v>
      </c>
      <c r="H332" s="33" t="s">
        <v>86</v>
      </c>
      <c r="I332" s="33" t="s">
        <v>829</v>
      </c>
      <c r="J332" s="44">
        <v>43901</v>
      </c>
      <c r="K332" s="92" t="s">
        <v>1121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1268</v>
      </c>
      <c r="C333" s="33" t="s">
        <v>47</v>
      </c>
      <c r="D333" s="33" t="s">
        <v>1027</v>
      </c>
      <c r="E333" s="90">
        <v>0</v>
      </c>
      <c r="F333" s="33" t="s">
        <v>1269</v>
      </c>
      <c r="G333" s="33" t="s">
        <v>903</v>
      </c>
      <c r="H333" s="33" t="s">
        <v>86</v>
      </c>
      <c r="I333" s="33" t="s">
        <v>881</v>
      </c>
      <c r="J333" s="44">
        <v>44183</v>
      </c>
      <c r="K333" s="92" t="s">
        <v>1121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1268</v>
      </c>
      <c r="C334" s="46" t="s">
        <v>47</v>
      </c>
      <c r="D334" s="33" t="s">
        <v>1061</v>
      </c>
      <c r="E334" s="90">
        <v>103154.55</v>
      </c>
      <c r="F334" s="33" t="s">
        <v>1269</v>
      </c>
      <c r="G334" s="33" t="s">
        <v>903</v>
      </c>
      <c r="H334" s="33" t="s">
        <v>86</v>
      </c>
      <c r="I334" s="33" t="s">
        <v>881</v>
      </c>
      <c r="J334" s="44">
        <v>44183</v>
      </c>
      <c r="K334" s="92" t="s">
        <v>1121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1266</v>
      </c>
      <c r="C335" s="46" t="s">
        <v>1026</v>
      </c>
      <c r="D335" s="33" t="s">
        <v>1036</v>
      </c>
      <c r="E335" s="90">
        <v>100000</v>
      </c>
      <c r="F335" s="33" t="s">
        <v>1267</v>
      </c>
      <c r="G335" s="44" t="s">
        <v>834</v>
      </c>
      <c r="H335" s="44" t="s">
        <v>1175</v>
      </c>
      <c r="I335" s="44" t="s">
        <v>970</v>
      </c>
      <c r="J335" s="44">
        <v>44298</v>
      </c>
      <c r="K335" s="91" t="s">
        <v>1040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1047</v>
      </c>
      <c r="C336" s="46" t="s">
        <v>1026</v>
      </c>
      <c r="D336" s="33" t="s">
        <v>1036</v>
      </c>
      <c r="E336" s="90">
        <v>9000</v>
      </c>
      <c r="F336" s="33" t="s">
        <v>1048</v>
      </c>
      <c r="G336" s="44" t="s">
        <v>829</v>
      </c>
      <c r="H336" s="44" t="s">
        <v>86</v>
      </c>
      <c r="I336" s="44" t="s">
        <v>877</v>
      </c>
      <c r="J336" s="44">
        <v>43703</v>
      </c>
      <c r="K336" s="91" t="s">
        <v>1032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1239</v>
      </c>
      <c r="C337" s="46" t="s">
        <v>47</v>
      </c>
      <c r="D337" s="33" t="s">
        <v>1036</v>
      </c>
      <c r="E337" s="90">
        <v>5000</v>
      </c>
      <c r="F337" s="33" t="s">
        <v>1240</v>
      </c>
      <c r="G337" s="33" t="s">
        <v>903</v>
      </c>
      <c r="H337" s="33" t="s">
        <v>86</v>
      </c>
      <c r="I337" s="33" t="s">
        <v>934</v>
      </c>
      <c r="J337" s="44">
        <v>44180</v>
      </c>
      <c r="K337" s="92" t="s">
        <v>1040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1270</v>
      </c>
      <c r="C338" s="33" t="s">
        <v>47</v>
      </c>
      <c r="D338" s="33" t="s">
        <v>1027</v>
      </c>
      <c r="E338" s="90">
        <v>0</v>
      </c>
      <c r="F338" s="33" t="s">
        <v>1271</v>
      </c>
      <c r="G338" s="33" t="s">
        <v>903</v>
      </c>
      <c r="H338" s="33" t="s">
        <v>1272</v>
      </c>
      <c r="I338" s="33" t="s">
        <v>861</v>
      </c>
      <c r="J338" s="44">
        <v>44246</v>
      </c>
      <c r="K338" s="92" t="s">
        <v>1121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1051</v>
      </c>
      <c r="C339" s="46" t="s">
        <v>1026</v>
      </c>
      <c r="D339" s="33" t="s">
        <v>1036</v>
      </c>
      <c r="E339" s="90">
        <v>150895.04999999999</v>
      </c>
      <c r="F339" s="33" t="s">
        <v>1052</v>
      </c>
      <c r="G339" s="44" t="s">
        <v>829</v>
      </c>
      <c r="H339" s="44" t="s">
        <v>86</v>
      </c>
      <c r="I339" s="44" t="s">
        <v>877</v>
      </c>
      <c r="J339" s="44">
        <v>43605</v>
      </c>
      <c r="K339" s="91" t="s">
        <v>1053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1270</v>
      </c>
      <c r="C340" s="46" t="s">
        <v>47</v>
      </c>
      <c r="D340" s="33" t="s">
        <v>1061</v>
      </c>
      <c r="E340" s="90">
        <v>263682.77</v>
      </c>
      <c r="F340" s="33" t="s">
        <v>1271</v>
      </c>
      <c r="G340" s="33" t="s">
        <v>903</v>
      </c>
      <c r="H340" s="33" t="s">
        <v>1272</v>
      </c>
      <c r="I340" s="33" t="s">
        <v>861</v>
      </c>
      <c r="J340" s="44">
        <v>44246</v>
      </c>
      <c r="K340" s="92" t="s">
        <v>1121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1064</v>
      </c>
      <c r="C341" s="46" t="s">
        <v>1026</v>
      </c>
      <c r="D341" s="33" t="s">
        <v>1036</v>
      </c>
      <c r="E341" s="90">
        <v>54000</v>
      </c>
      <c r="F341" s="33" t="s">
        <v>1065</v>
      </c>
      <c r="G341" s="44" t="s">
        <v>829</v>
      </c>
      <c r="H341" s="44" t="s">
        <v>86</v>
      </c>
      <c r="I341" s="44" t="s">
        <v>968</v>
      </c>
      <c r="J341" s="44">
        <v>43559</v>
      </c>
      <c r="K341" s="91" t="s">
        <v>1032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1273</v>
      </c>
      <c r="C342" s="46" t="s">
        <v>47</v>
      </c>
      <c r="D342" s="33" t="s">
        <v>1061</v>
      </c>
      <c r="E342" s="90">
        <v>10000</v>
      </c>
      <c r="F342" s="33" t="s">
        <v>1274</v>
      </c>
      <c r="G342" s="33" t="s">
        <v>903</v>
      </c>
      <c r="H342" s="33" t="s">
        <v>86</v>
      </c>
      <c r="I342" s="33" t="s">
        <v>848</v>
      </c>
      <c r="J342" s="44">
        <v>44228</v>
      </c>
      <c r="K342" s="92" t="s">
        <v>1121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1275</v>
      </c>
      <c r="C343" s="46" t="s">
        <v>1026</v>
      </c>
      <c r="D343" s="33" t="s">
        <v>1036</v>
      </c>
      <c r="E343" s="90">
        <v>18500</v>
      </c>
      <c r="F343" s="33" t="s">
        <v>1276</v>
      </c>
      <c r="G343" s="44" t="s">
        <v>834</v>
      </c>
      <c r="H343" s="44" t="s">
        <v>1175</v>
      </c>
      <c r="I343" s="44" t="s">
        <v>970</v>
      </c>
      <c r="J343" s="44">
        <v>44279</v>
      </c>
      <c r="K343" s="91" t="s">
        <v>1040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1224</v>
      </c>
      <c r="C344" s="33" t="s">
        <v>1026</v>
      </c>
      <c r="D344" s="33" t="s">
        <v>1027</v>
      </c>
      <c r="E344" s="90">
        <v>19321.39</v>
      </c>
      <c r="F344" s="33" t="s">
        <v>1225</v>
      </c>
      <c r="G344" s="44" t="s">
        <v>834</v>
      </c>
      <c r="H344" s="44" t="s">
        <v>1175</v>
      </c>
      <c r="I344" s="44" t="s">
        <v>972</v>
      </c>
      <c r="J344" s="44">
        <v>44278</v>
      </c>
      <c r="K344" s="91" t="s">
        <v>1040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1047</v>
      </c>
      <c r="C345" s="46" t="s">
        <v>1026</v>
      </c>
      <c r="D345" s="33" t="s">
        <v>1036</v>
      </c>
      <c r="E345" s="90">
        <v>103664.69</v>
      </c>
      <c r="F345" s="33" t="s">
        <v>1048</v>
      </c>
      <c r="G345" s="44" t="s">
        <v>829</v>
      </c>
      <c r="H345" s="44" t="s">
        <v>86</v>
      </c>
      <c r="I345" s="44" t="s">
        <v>877</v>
      </c>
      <c r="J345" s="44">
        <v>43703</v>
      </c>
      <c r="K345" s="91" t="s">
        <v>1032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1159</v>
      </c>
      <c r="C346" s="46" t="s">
        <v>1026</v>
      </c>
      <c r="D346" s="33" t="s">
        <v>1036</v>
      </c>
      <c r="E346" s="90">
        <v>11000</v>
      </c>
      <c r="F346" s="33" t="s">
        <v>1160</v>
      </c>
      <c r="G346" s="44" t="s">
        <v>829</v>
      </c>
      <c r="H346" s="44" t="s">
        <v>86</v>
      </c>
      <c r="I346" s="44" t="s">
        <v>877</v>
      </c>
      <c r="J346" s="44">
        <v>43873</v>
      </c>
      <c r="K346" s="91" t="s">
        <v>1040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1277</v>
      </c>
      <c r="C347" s="33" t="s">
        <v>1026</v>
      </c>
      <c r="D347" s="33" t="s">
        <v>1027</v>
      </c>
      <c r="E347" s="90">
        <v>797.3</v>
      </c>
      <c r="F347" s="33" t="s">
        <v>1278</v>
      </c>
      <c r="G347" s="44" t="s">
        <v>829</v>
      </c>
      <c r="H347" s="44" t="s">
        <v>86</v>
      </c>
      <c r="I347" s="44" t="s">
        <v>877</v>
      </c>
      <c r="J347" s="44">
        <v>43710</v>
      </c>
      <c r="K347" s="91" t="s">
        <v>1032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1110</v>
      </c>
      <c r="C348" s="46" t="s">
        <v>1026</v>
      </c>
      <c r="D348" s="33" t="s">
        <v>1061</v>
      </c>
      <c r="E348" s="39">
        <v>151479.54999999999</v>
      </c>
      <c r="F348" s="33" t="s">
        <v>1111</v>
      </c>
      <c r="G348" s="44" t="s">
        <v>829</v>
      </c>
      <c r="H348" s="44" t="s">
        <v>86</v>
      </c>
      <c r="I348" s="44" t="s">
        <v>877</v>
      </c>
      <c r="J348" s="44">
        <v>43732</v>
      </c>
      <c r="K348" s="91" t="s">
        <v>1032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1279</v>
      </c>
      <c r="C349" s="46" t="s">
        <v>1026</v>
      </c>
      <c r="D349" s="33" t="s">
        <v>1061</v>
      </c>
      <c r="E349" s="90">
        <v>405479.42</v>
      </c>
      <c r="F349" s="33" t="s">
        <v>1280</v>
      </c>
      <c r="G349" s="44" t="s">
        <v>829</v>
      </c>
      <c r="H349" s="44" t="s">
        <v>86</v>
      </c>
      <c r="I349" s="44" t="s">
        <v>877</v>
      </c>
      <c r="J349" s="44">
        <v>43684</v>
      </c>
      <c r="K349" s="91" t="s">
        <v>1032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1281</v>
      </c>
      <c r="C350" s="46" t="s">
        <v>1026</v>
      </c>
      <c r="D350" s="33" t="s">
        <v>1036</v>
      </c>
      <c r="E350" s="90">
        <v>70000</v>
      </c>
      <c r="F350" s="33" t="s">
        <v>1282</v>
      </c>
      <c r="G350" s="44" t="s">
        <v>834</v>
      </c>
      <c r="H350" s="44" t="s">
        <v>1175</v>
      </c>
      <c r="I350" s="44" t="s">
        <v>970</v>
      </c>
      <c r="J350" s="44">
        <v>44278</v>
      </c>
      <c r="K350" s="91" t="s">
        <v>1121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1159</v>
      </c>
      <c r="C351" s="46" t="s">
        <v>1026</v>
      </c>
      <c r="D351" s="33" t="s">
        <v>1036</v>
      </c>
      <c r="E351" s="90">
        <v>15000</v>
      </c>
      <c r="F351" s="33" t="s">
        <v>1160</v>
      </c>
      <c r="G351" s="44" t="s">
        <v>829</v>
      </c>
      <c r="H351" s="44" t="s">
        <v>86</v>
      </c>
      <c r="I351" s="44" t="s">
        <v>877</v>
      </c>
      <c r="J351" s="44">
        <v>43873</v>
      </c>
      <c r="K351" s="91" t="s">
        <v>1040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1138</v>
      </c>
      <c r="C352" s="33" t="s">
        <v>1026</v>
      </c>
      <c r="D352" s="33" t="s">
        <v>1027</v>
      </c>
      <c r="E352" s="90">
        <v>13320.06</v>
      </c>
      <c r="F352" s="33" t="s">
        <v>1139</v>
      </c>
      <c r="G352" s="44" t="s">
        <v>829</v>
      </c>
      <c r="H352" s="44" t="s">
        <v>86</v>
      </c>
      <c r="I352" s="44" t="s">
        <v>877</v>
      </c>
      <c r="J352" s="44">
        <v>44041</v>
      </c>
      <c r="K352" s="91" t="s">
        <v>1040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1047</v>
      </c>
      <c r="C353" s="46" t="s">
        <v>1026</v>
      </c>
      <c r="D353" s="33" t="s">
        <v>1036</v>
      </c>
      <c r="E353" s="90">
        <v>15000</v>
      </c>
      <c r="F353" s="33" t="s">
        <v>1048</v>
      </c>
      <c r="G353" s="44" t="s">
        <v>829</v>
      </c>
      <c r="H353" s="44" t="s">
        <v>86</v>
      </c>
      <c r="I353" s="44" t="s">
        <v>877</v>
      </c>
      <c r="J353" s="44">
        <v>43703</v>
      </c>
      <c r="K353" s="91" t="s">
        <v>1032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1283</v>
      </c>
      <c r="C354" s="46" t="s">
        <v>1026</v>
      </c>
      <c r="D354" s="33" t="s">
        <v>1061</v>
      </c>
      <c r="E354" s="90">
        <v>107481.43</v>
      </c>
      <c r="F354" s="33" t="s">
        <v>1284</v>
      </c>
      <c r="G354" s="44" t="s">
        <v>829</v>
      </c>
      <c r="H354" s="44" t="s">
        <v>86</v>
      </c>
      <c r="I354" s="44" t="s">
        <v>829</v>
      </c>
      <c r="J354" s="44">
        <v>44118</v>
      </c>
      <c r="K354" s="91" t="s">
        <v>1040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1285</v>
      </c>
      <c r="C355" s="46" t="s">
        <v>1026</v>
      </c>
      <c r="D355" s="33" t="s">
        <v>1061</v>
      </c>
      <c r="E355" s="90">
        <v>89000</v>
      </c>
      <c r="F355" s="33" t="s">
        <v>1286</v>
      </c>
      <c r="G355" s="44" t="s">
        <v>829</v>
      </c>
      <c r="H355" s="44" t="s">
        <v>86</v>
      </c>
      <c r="I355" s="44" t="s">
        <v>829</v>
      </c>
      <c r="J355" s="44">
        <v>44124</v>
      </c>
      <c r="K355" s="91" t="s">
        <v>1040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1287</v>
      </c>
      <c r="C356" s="46" t="s">
        <v>1026</v>
      </c>
      <c r="D356" s="33" t="s">
        <v>1036</v>
      </c>
      <c r="E356" s="90">
        <v>140003.78</v>
      </c>
      <c r="F356" s="33" t="s">
        <v>1288</v>
      </c>
      <c r="G356" s="44" t="s">
        <v>834</v>
      </c>
      <c r="H356" s="44" t="s">
        <v>1175</v>
      </c>
      <c r="I356" s="44" t="s">
        <v>972</v>
      </c>
      <c r="J356" s="44">
        <v>44280</v>
      </c>
      <c r="K356" s="91" t="s">
        <v>1040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1289</v>
      </c>
      <c r="C357" s="46" t="s">
        <v>47</v>
      </c>
      <c r="D357" s="33" t="s">
        <v>1036</v>
      </c>
      <c r="E357" s="90">
        <v>200000</v>
      </c>
      <c r="F357" s="33" t="s">
        <v>1040</v>
      </c>
      <c r="G357" s="33" t="s">
        <v>903</v>
      </c>
      <c r="H357" s="33" t="s">
        <v>86</v>
      </c>
      <c r="I357" s="33" t="s">
        <v>848</v>
      </c>
      <c r="J357" s="44">
        <v>44160</v>
      </c>
      <c r="K357" s="92" t="s">
        <v>1040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1290</v>
      </c>
      <c r="C358" s="33" t="s">
        <v>47</v>
      </c>
      <c r="D358" s="33" t="s">
        <v>1027</v>
      </c>
      <c r="E358" s="90">
        <v>0</v>
      </c>
      <c r="F358" s="33" t="s">
        <v>1291</v>
      </c>
      <c r="G358" s="33" t="s">
        <v>834</v>
      </c>
      <c r="H358" s="33" t="s">
        <v>86</v>
      </c>
      <c r="I358" s="33" t="s">
        <v>863</v>
      </c>
      <c r="J358" s="44">
        <v>43880</v>
      </c>
      <c r="K358" s="92" t="s">
        <v>1029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1266</v>
      </c>
      <c r="C359" s="46" t="s">
        <v>1026</v>
      </c>
      <c r="D359" s="33" t="s">
        <v>1036</v>
      </c>
      <c r="E359" s="90">
        <v>44600</v>
      </c>
      <c r="F359" s="33" t="s">
        <v>1267</v>
      </c>
      <c r="G359" s="44" t="s">
        <v>834</v>
      </c>
      <c r="H359" s="44" t="s">
        <v>1175</v>
      </c>
      <c r="I359" s="44" t="s">
        <v>970</v>
      </c>
      <c r="J359" s="44">
        <v>44298</v>
      </c>
      <c r="K359" s="91" t="s">
        <v>1040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1292</v>
      </c>
      <c r="C360" s="46" t="s">
        <v>1026</v>
      </c>
      <c r="D360" s="33" t="s">
        <v>1036</v>
      </c>
      <c r="E360" s="90">
        <v>54600</v>
      </c>
      <c r="F360" s="33" t="s">
        <v>1293</v>
      </c>
      <c r="G360" s="44" t="s">
        <v>834</v>
      </c>
      <c r="H360" s="44" t="s">
        <v>1175</v>
      </c>
      <c r="I360" s="44" t="s">
        <v>970</v>
      </c>
      <c r="J360" s="44">
        <v>44287</v>
      </c>
      <c r="K360" s="91" t="s">
        <v>1053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1294</v>
      </c>
      <c r="C361" s="46" t="s">
        <v>1026</v>
      </c>
      <c r="D361" s="33" t="s">
        <v>1036</v>
      </c>
      <c r="E361" s="90">
        <v>11500</v>
      </c>
      <c r="F361" s="33" t="s">
        <v>1295</v>
      </c>
      <c r="G361" s="44" t="s">
        <v>834</v>
      </c>
      <c r="H361" s="44" t="s">
        <v>1175</v>
      </c>
      <c r="I361" s="44" t="s">
        <v>970</v>
      </c>
      <c r="J361" s="44">
        <v>44333</v>
      </c>
      <c r="K361" s="91" t="s">
        <v>1053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1141</v>
      </c>
      <c r="C362" s="46" t="s">
        <v>1026</v>
      </c>
      <c r="D362" s="33" t="s">
        <v>1036</v>
      </c>
      <c r="E362" s="90">
        <v>98710.87</v>
      </c>
      <c r="F362" s="33" t="s">
        <v>1142</v>
      </c>
      <c r="G362" s="44" t="s">
        <v>829</v>
      </c>
      <c r="H362" s="44" t="s">
        <v>86</v>
      </c>
      <c r="I362" s="44" t="s">
        <v>877</v>
      </c>
      <c r="J362" s="44">
        <v>43711</v>
      </c>
      <c r="K362" s="91" t="s">
        <v>1032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1165</v>
      </c>
      <c r="C363" s="46" t="s">
        <v>47</v>
      </c>
      <c r="D363" s="33" t="s">
        <v>1036</v>
      </c>
      <c r="E363" s="90">
        <v>10000</v>
      </c>
      <c r="F363" s="33" t="s">
        <v>1166</v>
      </c>
      <c r="G363" s="33" t="s">
        <v>829</v>
      </c>
      <c r="H363" s="33" t="s">
        <v>86</v>
      </c>
      <c r="I363" s="33" t="s">
        <v>829</v>
      </c>
      <c r="J363" s="43">
        <v>43717</v>
      </c>
      <c r="K363" s="92" t="s">
        <v>1032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1141</v>
      </c>
      <c r="C364" s="46" t="s">
        <v>1026</v>
      </c>
      <c r="D364" s="33" t="s">
        <v>1061</v>
      </c>
      <c r="E364" s="90">
        <v>1330000</v>
      </c>
      <c r="F364" s="33" t="s">
        <v>1142</v>
      </c>
      <c r="G364" s="44" t="s">
        <v>829</v>
      </c>
      <c r="H364" s="44" t="s">
        <v>86</v>
      </c>
      <c r="I364" s="44" t="s">
        <v>877</v>
      </c>
      <c r="J364" s="44">
        <v>43711</v>
      </c>
      <c r="K364" s="91" t="s">
        <v>1032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1296</v>
      </c>
      <c r="C365" s="46" t="s">
        <v>47</v>
      </c>
      <c r="D365" s="33" t="s">
        <v>1036</v>
      </c>
      <c r="E365" s="90">
        <v>15000</v>
      </c>
      <c r="F365" s="33" t="s">
        <v>1297</v>
      </c>
      <c r="G365" s="33" t="s">
        <v>834</v>
      </c>
      <c r="H365" s="33" t="s">
        <v>1298</v>
      </c>
      <c r="I365" s="33" t="s">
        <v>885</v>
      </c>
      <c r="J365" s="44">
        <v>44291</v>
      </c>
      <c r="K365" s="92" t="s">
        <v>1029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1275</v>
      </c>
      <c r="C366" s="46" t="s">
        <v>1026</v>
      </c>
      <c r="D366" s="33" t="s">
        <v>1036</v>
      </c>
      <c r="E366" s="90">
        <v>10000</v>
      </c>
      <c r="F366" s="33" t="s">
        <v>1276</v>
      </c>
      <c r="G366" s="44" t="s">
        <v>834</v>
      </c>
      <c r="H366" s="44" t="s">
        <v>1175</v>
      </c>
      <c r="I366" s="44" t="s">
        <v>970</v>
      </c>
      <c r="J366" s="44">
        <v>44279</v>
      </c>
      <c r="K366" s="91" t="s">
        <v>1040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1299</v>
      </c>
      <c r="C367" s="46" t="s">
        <v>1026</v>
      </c>
      <c r="D367" s="33" t="s">
        <v>1036</v>
      </c>
      <c r="E367" s="90">
        <v>7000</v>
      </c>
      <c r="F367" s="33" t="s">
        <v>1300</v>
      </c>
      <c r="G367" s="44" t="s">
        <v>834</v>
      </c>
      <c r="H367" s="44" t="s">
        <v>1175</v>
      </c>
      <c r="I367" s="44" t="s">
        <v>970</v>
      </c>
      <c r="J367" s="44">
        <v>44280</v>
      </c>
      <c r="K367" s="91" t="s">
        <v>1040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1301</v>
      </c>
      <c r="C368" s="46" t="s">
        <v>1026</v>
      </c>
      <c r="D368" s="33" t="s">
        <v>1036</v>
      </c>
      <c r="E368" s="90">
        <v>15000</v>
      </c>
      <c r="F368" s="33" t="s">
        <v>1302</v>
      </c>
      <c r="G368" s="44" t="s">
        <v>834</v>
      </c>
      <c r="H368" s="44" t="s">
        <v>1175</v>
      </c>
      <c r="I368" s="44" t="s">
        <v>970</v>
      </c>
      <c r="J368" s="44">
        <v>44295</v>
      </c>
      <c r="K368" s="91" t="s">
        <v>1121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1051</v>
      </c>
      <c r="C369" s="46" t="s">
        <v>1026</v>
      </c>
      <c r="D369" s="33" t="s">
        <v>1036</v>
      </c>
      <c r="E369" s="90">
        <v>10000</v>
      </c>
      <c r="F369" s="33" t="s">
        <v>1052</v>
      </c>
      <c r="G369" s="44" t="s">
        <v>829</v>
      </c>
      <c r="H369" s="44" t="s">
        <v>86</v>
      </c>
      <c r="I369" s="44" t="s">
        <v>877</v>
      </c>
      <c r="J369" s="44">
        <v>43605</v>
      </c>
      <c r="K369" s="91" t="s">
        <v>1053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1064</v>
      </c>
      <c r="C370" s="46" t="s">
        <v>1026</v>
      </c>
      <c r="D370" s="33" t="s">
        <v>1061</v>
      </c>
      <c r="E370" s="90">
        <v>4300</v>
      </c>
      <c r="F370" s="33" t="s">
        <v>1065</v>
      </c>
      <c r="G370" s="44" t="s">
        <v>829</v>
      </c>
      <c r="H370" s="44" t="s">
        <v>86</v>
      </c>
      <c r="I370" s="44" t="s">
        <v>968</v>
      </c>
      <c r="J370" s="44">
        <v>43559</v>
      </c>
      <c r="K370" s="91" t="s">
        <v>1032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1303</v>
      </c>
      <c r="C371" s="46" t="s">
        <v>1026</v>
      </c>
      <c r="D371" s="33" t="s">
        <v>1036</v>
      </c>
      <c r="E371" s="90">
        <v>50000</v>
      </c>
      <c r="F371" s="33" t="s">
        <v>1304</v>
      </c>
      <c r="G371" s="44" t="s">
        <v>834</v>
      </c>
      <c r="H371" s="44" t="s">
        <v>1175</v>
      </c>
      <c r="I371" s="44" t="s">
        <v>970</v>
      </c>
      <c r="J371" s="44">
        <v>44322</v>
      </c>
      <c r="K371" s="91" t="s">
        <v>1040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1305</v>
      </c>
      <c r="C372" s="46" t="s">
        <v>1026</v>
      </c>
      <c r="D372" s="33" t="s">
        <v>1036</v>
      </c>
      <c r="E372" s="90">
        <v>0</v>
      </c>
      <c r="F372" s="33" t="s">
        <v>1306</v>
      </c>
      <c r="G372" s="44" t="s">
        <v>834</v>
      </c>
      <c r="H372" s="44" t="s">
        <v>1175</v>
      </c>
      <c r="I372" s="44" t="s">
        <v>974</v>
      </c>
      <c r="J372" s="44">
        <v>44266</v>
      </c>
      <c r="K372" s="91" t="s">
        <v>1053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1047</v>
      </c>
      <c r="C373" s="46" t="s">
        <v>1026</v>
      </c>
      <c r="D373" s="33" t="s">
        <v>1036</v>
      </c>
      <c r="E373" s="90">
        <v>40000</v>
      </c>
      <c r="F373" s="33" t="s">
        <v>1048</v>
      </c>
      <c r="G373" s="44" t="s">
        <v>829</v>
      </c>
      <c r="H373" s="44" t="s">
        <v>86</v>
      </c>
      <c r="I373" s="44" t="s">
        <v>877</v>
      </c>
      <c r="J373" s="44">
        <v>43703</v>
      </c>
      <c r="K373" s="91" t="s">
        <v>1032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1064</v>
      </c>
      <c r="C374" s="46" t="s">
        <v>1026</v>
      </c>
      <c r="D374" s="33" t="s">
        <v>1036</v>
      </c>
      <c r="E374" s="90">
        <v>17000</v>
      </c>
      <c r="F374" s="33" t="s">
        <v>1065</v>
      </c>
      <c r="G374" s="44" t="s">
        <v>829</v>
      </c>
      <c r="H374" s="44" t="s">
        <v>86</v>
      </c>
      <c r="I374" s="44" t="s">
        <v>968</v>
      </c>
      <c r="J374" s="44">
        <v>43559</v>
      </c>
      <c r="K374" s="91" t="s">
        <v>1032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1303</v>
      </c>
      <c r="C375" s="46" t="s">
        <v>1026</v>
      </c>
      <c r="D375" s="33" t="s">
        <v>1036</v>
      </c>
      <c r="E375" s="90">
        <v>40000</v>
      </c>
      <c r="F375" s="33" t="s">
        <v>1304</v>
      </c>
      <c r="G375" s="44" t="s">
        <v>834</v>
      </c>
      <c r="H375" s="44" t="s">
        <v>1175</v>
      </c>
      <c r="I375" s="44" t="s">
        <v>970</v>
      </c>
      <c r="J375" s="44">
        <v>44322</v>
      </c>
      <c r="K375" s="91" t="s">
        <v>1040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1307</v>
      </c>
      <c r="C376" s="46" t="s">
        <v>1026</v>
      </c>
      <c r="D376" s="33" t="s">
        <v>1036</v>
      </c>
      <c r="E376" s="90">
        <v>150000</v>
      </c>
      <c r="F376" s="33" t="s">
        <v>1308</v>
      </c>
      <c r="G376" s="44" t="s">
        <v>834</v>
      </c>
      <c r="H376" s="44" t="s">
        <v>1175</v>
      </c>
      <c r="I376" s="44" t="s">
        <v>970</v>
      </c>
      <c r="J376" s="44">
        <v>44319</v>
      </c>
      <c r="K376" s="91" t="s">
        <v>1040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1051</v>
      </c>
      <c r="C377" s="46" t="s">
        <v>1026</v>
      </c>
      <c r="D377" s="33" t="s">
        <v>1036</v>
      </c>
      <c r="E377" s="90">
        <v>280000</v>
      </c>
      <c r="F377" s="33" t="s">
        <v>1052</v>
      </c>
      <c r="G377" s="44" t="s">
        <v>829</v>
      </c>
      <c r="H377" s="44" t="s">
        <v>86</v>
      </c>
      <c r="I377" s="44" t="s">
        <v>877</v>
      </c>
      <c r="J377" s="44">
        <v>43605</v>
      </c>
      <c r="K377" s="91" t="s">
        <v>1053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1309</v>
      </c>
      <c r="C378" s="46" t="s">
        <v>1026</v>
      </c>
      <c r="D378" s="33" t="s">
        <v>1036</v>
      </c>
      <c r="E378" s="90">
        <v>2000</v>
      </c>
      <c r="F378" s="33" t="s">
        <v>1310</v>
      </c>
      <c r="G378" s="44" t="s">
        <v>834</v>
      </c>
      <c r="H378" s="44" t="s">
        <v>1175</v>
      </c>
      <c r="I378" s="44" t="s">
        <v>972</v>
      </c>
      <c r="J378" s="44">
        <v>44280</v>
      </c>
      <c r="K378" s="91" t="s">
        <v>1121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1311</v>
      </c>
      <c r="C379" s="46" t="s">
        <v>1075</v>
      </c>
      <c r="D379" s="33" t="s">
        <v>1061</v>
      </c>
      <c r="E379" s="90">
        <v>57300</v>
      </c>
      <c r="F379" s="33" t="s">
        <v>1312</v>
      </c>
      <c r="G379" s="44" t="s">
        <v>834</v>
      </c>
      <c r="H379" s="44" t="s">
        <v>86</v>
      </c>
      <c r="I379" s="44" t="s">
        <v>980</v>
      </c>
      <c r="J379" s="44">
        <v>43759</v>
      </c>
      <c r="K379" s="91" t="s">
        <v>1204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1313</v>
      </c>
      <c r="C380" s="46" t="s">
        <v>1026</v>
      </c>
      <c r="D380" s="33" t="s">
        <v>1036</v>
      </c>
      <c r="E380" s="90">
        <v>13000</v>
      </c>
      <c r="F380" s="33" t="s">
        <v>1314</v>
      </c>
      <c r="G380" s="44" t="s">
        <v>834</v>
      </c>
      <c r="H380" s="44" t="s">
        <v>1175</v>
      </c>
      <c r="I380" s="44" t="s">
        <v>972</v>
      </c>
      <c r="J380" s="44">
        <v>44322</v>
      </c>
      <c r="K380" s="91" t="s">
        <v>1040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1239</v>
      </c>
      <c r="C381" s="46" t="s">
        <v>47</v>
      </c>
      <c r="D381" s="33" t="s">
        <v>1036</v>
      </c>
      <c r="E381" s="90">
        <v>50000</v>
      </c>
      <c r="F381" s="33" t="s">
        <v>1240</v>
      </c>
      <c r="G381" s="33" t="s">
        <v>903</v>
      </c>
      <c r="H381" s="33" t="s">
        <v>86</v>
      </c>
      <c r="I381" s="33" t="s">
        <v>934</v>
      </c>
      <c r="J381" s="42">
        <v>44180</v>
      </c>
      <c r="K381" s="92" t="s">
        <v>1040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1173</v>
      </c>
      <c r="C382" s="46" t="s">
        <v>1026</v>
      </c>
      <c r="D382" s="33" t="s">
        <v>1036</v>
      </c>
      <c r="E382" s="90">
        <v>40000</v>
      </c>
      <c r="F382" s="33" t="s">
        <v>1174</v>
      </c>
      <c r="G382" s="44" t="s">
        <v>834</v>
      </c>
      <c r="H382" s="44" t="s">
        <v>1175</v>
      </c>
      <c r="I382" s="44" t="s">
        <v>972</v>
      </c>
      <c r="J382" s="44">
        <v>44321</v>
      </c>
      <c r="K382" s="91" t="s">
        <v>1040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1313</v>
      </c>
      <c r="C383" s="46" t="s">
        <v>1026</v>
      </c>
      <c r="D383" s="33" t="s">
        <v>1036</v>
      </c>
      <c r="E383" s="90">
        <v>10000</v>
      </c>
      <c r="F383" s="33" t="s">
        <v>1314</v>
      </c>
      <c r="G383" s="44" t="s">
        <v>834</v>
      </c>
      <c r="H383" s="44" t="s">
        <v>1175</v>
      </c>
      <c r="I383" s="44" t="s">
        <v>972</v>
      </c>
      <c r="J383" s="44">
        <v>44322</v>
      </c>
      <c r="K383" s="91" t="s">
        <v>1040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1315</v>
      </c>
      <c r="C384" s="46" t="s">
        <v>1026</v>
      </c>
      <c r="D384" s="33" t="s">
        <v>1036</v>
      </c>
      <c r="E384" s="90">
        <v>31306.959999999999</v>
      </c>
      <c r="F384" s="33" t="s">
        <v>1316</v>
      </c>
      <c r="G384" s="44" t="s">
        <v>834</v>
      </c>
      <c r="H384" s="44" t="s">
        <v>1175</v>
      </c>
      <c r="I384" s="44" t="s">
        <v>972</v>
      </c>
      <c r="J384" s="44">
        <v>44328</v>
      </c>
      <c r="K384" s="91" t="s">
        <v>1040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1317</v>
      </c>
      <c r="C385" s="46" t="s">
        <v>1026</v>
      </c>
      <c r="D385" s="33" t="s">
        <v>1036</v>
      </c>
      <c r="E385" s="90">
        <v>9000</v>
      </c>
      <c r="F385" s="33" t="s">
        <v>1318</v>
      </c>
      <c r="G385" s="44" t="s">
        <v>834</v>
      </c>
      <c r="H385" s="44" t="s">
        <v>1175</v>
      </c>
      <c r="I385" s="44" t="s">
        <v>974</v>
      </c>
      <c r="J385" s="44">
        <v>44260</v>
      </c>
      <c r="K385" s="91" t="s">
        <v>1040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1092</v>
      </c>
      <c r="C386" s="46" t="s">
        <v>1026</v>
      </c>
      <c r="D386" s="33" t="s">
        <v>1036</v>
      </c>
      <c r="E386" s="90">
        <v>40000</v>
      </c>
      <c r="F386" s="33" t="s">
        <v>1093</v>
      </c>
      <c r="G386" s="44" t="s">
        <v>829</v>
      </c>
      <c r="H386" s="44" t="s">
        <v>86</v>
      </c>
      <c r="I386" s="44" t="s">
        <v>877</v>
      </c>
      <c r="J386" s="44">
        <v>43564</v>
      </c>
      <c r="K386" s="91" t="s">
        <v>1029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1319</v>
      </c>
      <c r="C387" s="46" t="s">
        <v>47</v>
      </c>
      <c r="D387" s="33" t="s">
        <v>1036</v>
      </c>
      <c r="E387" s="90">
        <v>506343.93</v>
      </c>
      <c r="F387" s="33" t="s">
        <v>1320</v>
      </c>
      <c r="G387" s="33" t="s">
        <v>834</v>
      </c>
      <c r="H387" s="33" t="s">
        <v>1298</v>
      </c>
      <c r="I387" s="33" t="s">
        <v>885</v>
      </c>
      <c r="J387" s="44">
        <v>44298</v>
      </c>
      <c r="K387" s="92" t="s">
        <v>1053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1321</v>
      </c>
      <c r="C388" s="46" t="s">
        <v>1026</v>
      </c>
      <c r="D388" s="33" t="s">
        <v>1036</v>
      </c>
      <c r="E388" s="90">
        <v>5000</v>
      </c>
      <c r="F388" s="33" t="s">
        <v>1322</v>
      </c>
      <c r="G388" s="44" t="s">
        <v>829</v>
      </c>
      <c r="H388" s="44" t="s">
        <v>86</v>
      </c>
      <c r="I388" s="44" t="s">
        <v>968</v>
      </c>
      <c r="J388" s="44">
        <v>43752</v>
      </c>
      <c r="K388" s="91" t="s">
        <v>1040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1092</v>
      </c>
      <c r="C389" s="46" t="s">
        <v>1026</v>
      </c>
      <c r="D389" s="33" t="s">
        <v>1036</v>
      </c>
      <c r="E389" s="90">
        <v>50000</v>
      </c>
      <c r="F389" s="33" t="s">
        <v>1093</v>
      </c>
      <c r="G389" s="44" t="s">
        <v>829</v>
      </c>
      <c r="H389" s="44" t="s">
        <v>86</v>
      </c>
      <c r="I389" s="44" t="s">
        <v>877</v>
      </c>
      <c r="J389" s="44">
        <v>43564</v>
      </c>
      <c r="K389" s="91" t="s">
        <v>1029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1176</v>
      </c>
      <c r="C390" s="46" t="s">
        <v>1026</v>
      </c>
      <c r="D390" s="33" t="s">
        <v>1036</v>
      </c>
      <c r="E390" s="90">
        <v>15000</v>
      </c>
      <c r="F390" s="33" t="s">
        <v>1177</v>
      </c>
      <c r="G390" s="44" t="s">
        <v>834</v>
      </c>
      <c r="H390" s="44" t="s">
        <v>1175</v>
      </c>
      <c r="I390" s="44" t="s">
        <v>972</v>
      </c>
      <c r="J390" s="44">
        <v>44295</v>
      </c>
      <c r="K390" s="91" t="s">
        <v>1178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1323</v>
      </c>
      <c r="C391" s="46" t="s">
        <v>1026</v>
      </c>
      <c r="D391" s="33" t="s">
        <v>1061</v>
      </c>
      <c r="E391" s="90">
        <v>30000</v>
      </c>
      <c r="F391" s="33" t="s">
        <v>1324</v>
      </c>
      <c r="G391" s="44" t="s">
        <v>829</v>
      </c>
      <c r="H391" s="44" t="s">
        <v>86</v>
      </c>
      <c r="I391" s="44" t="s">
        <v>829</v>
      </c>
      <c r="J391" s="44">
        <v>44036</v>
      </c>
      <c r="K391" s="91" t="s">
        <v>1053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1047</v>
      </c>
      <c r="C392" s="46" t="s">
        <v>1026</v>
      </c>
      <c r="D392" s="33" t="s">
        <v>1036</v>
      </c>
      <c r="E392" s="90">
        <v>600000</v>
      </c>
      <c r="F392" s="33" t="s">
        <v>1048</v>
      </c>
      <c r="G392" s="44" t="s">
        <v>829</v>
      </c>
      <c r="H392" s="44" t="s">
        <v>86</v>
      </c>
      <c r="I392" s="44" t="s">
        <v>877</v>
      </c>
      <c r="J392" s="44">
        <v>43703</v>
      </c>
      <c r="K392" s="91" t="s">
        <v>1032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1236</v>
      </c>
      <c r="C393" s="46" t="s">
        <v>47</v>
      </c>
      <c r="D393" s="33" t="s">
        <v>1036</v>
      </c>
      <c r="E393" s="90">
        <v>40000</v>
      </c>
      <c r="F393" s="33" t="s">
        <v>1237</v>
      </c>
      <c r="G393" s="33" t="s">
        <v>903</v>
      </c>
      <c r="H393" s="33" t="s">
        <v>86</v>
      </c>
      <c r="I393" s="33" t="s">
        <v>893</v>
      </c>
      <c r="J393" s="44">
        <v>44134</v>
      </c>
      <c r="K393" s="92" t="s">
        <v>1121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1325</v>
      </c>
      <c r="C394" s="46" t="s">
        <v>47</v>
      </c>
      <c r="D394" s="33" t="s">
        <v>1061</v>
      </c>
      <c r="E394" s="90">
        <v>15000</v>
      </c>
      <c r="F394" s="33" t="s">
        <v>1326</v>
      </c>
      <c r="G394" s="33" t="s">
        <v>903</v>
      </c>
      <c r="H394" s="33" t="s">
        <v>86</v>
      </c>
      <c r="I394" s="33" t="s">
        <v>893</v>
      </c>
      <c r="J394" s="44">
        <v>44194</v>
      </c>
      <c r="K394" s="92" t="s">
        <v>1040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1047</v>
      </c>
      <c r="C395" s="46" t="s">
        <v>1026</v>
      </c>
      <c r="D395" s="33" t="s">
        <v>1036</v>
      </c>
      <c r="E395" s="90">
        <v>100000</v>
      </c>
      <c r="F395" s="33" t="s">
        <v>1048</v>
      </c>
      <c r="G395" s="44" t="s">
        <v>829</v>
      </c>
      <c r="H395" s="44" t="s">
        <v>86</v>
      </c>
      <c r="I395" s="44" t="s">
        <v>877</v>
      </c>
      <c r="J395" s="44">
        <v>43703</v>
      </c>
      <c r="K395" s="91" t="s">
        <v>1032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1327</v>
      </c>
      <c r="C396" s="46" t="s">
        <v>1026</v>
      </c>
      <c r="D396" s="33" t="s">
        <v>1036</v>
      </c>
      <c r="E396" s="90">
        <v>5000</v>
      </c>
      <c r="F396" s="33" t="s">
        <v>1328</v>
      </c>
      <c r="G396" s="44" t="s">
        <v>829</v>
      </c>
      <c r="H396" s="44" t="s">
        <v>86</v>
      </c>
      <c r="I396" s="44" t="s">
        <v>877</v>
      </c>
      <c r="J396" s="44">
        <v>43753</v>
      </c>
      <c r="K396" s="91" t="s">
        <v>1040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1303</v>
      </c>
      <c r="C397" s="46" t="s">
        <v>1026</v>
      </c>
      <c r="D397" s="33" t="s">
        <v>1036</v>
      </c>
      <c r="E397" s="90">
        <v>312377.96000000002</v>
      </c>
      <c r="F397" s="33" t="s">
        <v>1304</v>
      </c>
      <c r="G397" s="44" t="s">
        <v>834</v>
      </c>
      <c r="H397" s="44" t="s">
        <v>1175</v>
      </c>
      <c r="I397" s="44" t="s">
        <v>970</v>
      </c>
      <c r="J397" s="44">
        <v>44322</v>
      </c>
      <c r="K397" s="91" t="s">
        <v>1040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1329</v>
      </c>
      <c r="C398" s="46" t="s">
        <v>1026</v>
      </c>
      <c r="D398" s="33" t="s">
        <v>1036</v>
      </c>
      <c r="E398" s="90">
        <v>15000</v>
      </c>
      <c r="F398" s="33" t="s">
        <v>1330</v>
      </c>
      <c r="G398" s="44" t="s">
        <v>834</v>
      </c>
      <c r="H398" s="44" t="s">
        <v>1175</v>
      </c>
      <c r="I398" s="44" t="s">
        <v>972</v>
      </c>
      <c r="J398" s="44">
        <v>44319</v>
      </c>
      <c r="K398" s="91" t="s">
        <v>1040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1331</v>
      </c>
      <c r="C399" s="46" t="s">
        <v>47</v>
      </c>
      <c r="D399" s="33" t="s">
        <v>1036</v>
      </c>
      <c r="E399" s="90">
        <v>15000</v>
      </c>
      <c r="F399" s="33" t="s">
        <v>1332</v>
      </c>
      <c r="G399" s="33" t="s">
        <v>903</v>
      </c>
      <c r="H399" s="33" t="s">
        <v>86</v>
      </c>
      <c r="I399" s="33" t="s">
        <v>848</v>
      </c>
      <c r="J399" s="44">
        <v>44090</v>
      </c>
      <c r="K399" s="92" t="s">
        <v>1053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1092</v>
      </c>
      <c r="C400" s="46" t="s">
        <v>1026</v>
      </c>
      <c r="D400" s="33" t="s">
        <v>1036</v>
      </c>
      <c r="E400" s="90">
        <v>40000</v>
      </c>
      <c r="F400" s="33" t="s">
        <v>1093</v>
      </c>
      <c r="G400" s="44" t="s">
        <v>829</v>
      </c>
      <c r="H400" s="44" t="s">
        <v>86</v>
      </c>
      <c r="I400" s="44" t="s">
        <v>877</v>
      </c>
      <c r="J400" s="44">
        <v>43564</v>
      </c>
      <c r="K400" s="91" t="s">
        <v>1029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1303</v>
      </c>
      <c r="C401" s="46" t="s">
        <v>1026</v>
      </c>
      <c r="D401" s="33" t="s">
        <v>1036</v>
      </c>
      <c r="E401" s="90">
        <v>11500</v>
      </c>
      <c r="F401" s="33" t="s">
        <v>1304</v>
      </c>
      <c r="G401" s="44" t="s">
        <v>834</v>
      </c>
      <c r="H401" s="44" t="s">
        <v>1175</v>
      </c>
      <c r="I401" s="44" t="s">
        <v>970</v>
      </c>
      <c r="J401" s="44">
        <v>44322</v>
      </c>
      <c r="K401" s="91" t="s">
        <v>1040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1301</v>
      </c>
      <c r="C402" s="46" t="s">
        <v>1026</v>
      </c>
      <c r="D402" s="33" t="s">
        <v>1036</v>
      </c>
      <c r="E402" s="90">
        <v>100000</v>
      </c>
      <c r="F402" s="33" t="s">
        <v>1302</v>
      </c>
      <c r="G402" s="44" t="s">
        <v>834</v>
      </c>
      <c r="H402" s="44" t="s">
        <v>1175</v>
      </c>
      <c r="I402" s="44" t="s">
        <v>970</v>
      </c>
      <c r="J402" s="44">
        <v>44295</v>
      </c>
      <c r="K402" s="91" t="s">
        <v>1121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1083</v>
      </c>
      <c r="C403" s="46" t="s">
        <v>1026</v>
      </c>
      <c r="D403" s="33" t="s">
        <v>1036</v>
      </c>
      <c r="E403" s="90">
        <v>100000</v>
      </c>
      <c r="F403" s="33" t="s">
        <v>1084</v>
      </c>
      <c r="G403" s="44" t="s">
        <v>829</v>
      </c>
      <c r="H403" s="44" t="s">
        <v>86</v>
      </c>
      <c r="I403" s="44" t="s">
        <v>877</v>
      </c>
      <c r="J403" s="44">
        <v>43894</v>
      </c>
      <c r="K403" s="91" t="s">
        <v>1053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1333</v>
      </c>
      <c r="C404" s="46" t="s">
        <v>47</v>
      </c>
      <c r="D404" s="33" t="s">
        <v>1061</v>
      </c>
      <c r="E404" s="90">
        <v>7000</v>
      </c>
      <c r="F404" s="33" t="s">
        <v>1334</v>
      </c>
      <c r="G404" s="33" t="s">
        <v>834</v>
      </c>
      <c r="H404" s="33" t="s">
        <v>86</v>
      </c>
      <c r="I404" s="33" t="s">
        <v>838</v>
      </c>
      <c r="J404" s="44">
        <v>44075</v>
      </c>
      <c r="K404" s="92" t="s">
        <v>1040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1070</v>
      </c>
      <c r="C405" s="33" t="s">
        <v>47</v>
      </c>
      <c r="D405" s="33" t="s">
        <v>1027</v>
      </c>
      <c r="E405" s="90">
        <v>0</v>
      </c>
      <c r="F405" s="33" t="s">
        <v>1071</v>
      </c>
      <c r="G405" s="33" t="s">
        <v>829</v>
      </c>
      <c r="H405" s="33" t="s">
        <v>86</v>
      </c>
      <c r="I405" s="33" t="s">
        <v>829</v>
      </c>
      <c r="J405" s="44">
        <v>43872</v>
      </c>
      <c r="K405" s="92" t="s">
        <v>1040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1307</v>
      </c>
      <c r="C406" s="46" t="s">
        <v>1026</v>
      </c>
      <c r="D406" s="33" t="s">
        <v>1036</v>
      </c>
      <c r="E406" s="90">
        <v>30000</v>
      </c>
      <c r="F406" s="33" t="s">
        <v>1308</v>
      </c>
      <c r="G406" s="44" t="s">
        <v>834</v>
      </c>
      <c r="H406" s="44" t="s">
        <v>1175</v>
      </c>
      <c r="I406" s="44" t="s">
        <v>970</v>
      </c>
      <c r="J406" s="44">
        <v>44319</v>
      </c>
      <c r="K406" s="91" t="s">
        <v>1040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1335</v>
      </c>
      <c r="C407" s="46" t="s">
        <v>47</v>
      </c>
      <c r="D407" s="33" t="s">
        <v>1036</v>
      </c>
      <c r="E407" s="90">
        <v>10000</v>
      </c>
      <c r="F407" s="33" t="s">
        <v>1336</v>
      </c>
      <c r="G407" s="33" t="s">
        <v>903</v>
      </c>
      <c r="H407" s="33" t="s">
        <v>86</v>
      </c>
      <c r="I407" s="33" t="s">
        <v>901</v>
      </c>
      <c r="J407" s="44">
        <v>44145</v>
      </c>
      <c r="K407" s="92" t="s">
        <v>1121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1337</v>
      </c>
      <c r="C408" s="46" t="s">
        <v>47</v>
      </c>
      <c r="D408" s="33" t="s">
        <v>1036</v>
      </c>
      <c r="E408" s="90">
        <v>150000</v>
      </c>
      <c r="F408" s="33" t="s">
        <v>1338</v>
      </c>
      <c r="G408" s="33" t="s">
        <v>834</v>
      </c>
      <c r="H408" s="33" t="s">
        <v>1298</v>
      </c>
      <c r="I408" s="33" t="s">
        <v>885</v>
      </c>
      <c r="J408" s="44">
        <v>44349</v>
      </c>
      <c r="K408" s="92" t="s">
        <v>1339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1051</v>
      </c>
      <c r="C409" s="46" t="s">
        <v>1026</v>
      </c>
      <c r="D409" s="33" t="s">
        <v>1036</v>
      </c>
      <c r="E409" s="90">
        <v>200000</v>
      </c>
      <c r="F409" s="33" t="s">
        <v>1052</v>
      </c>
      <c r="G409" s="44" t="s">
        <v>829</v>
      </c>
      <c r="H409" s="44" t="s">
        <v>86</v>
      </c>
      <c r="I409" s="44" t="s">
        <v>877</v>
      </c>
      <c r="J409" s="44">
        <v>43605</v>
      </c>
      <c r="K409" s="91" t="s">
        <v>1053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1275</v>
      </c>
      <c r="C410" s="46" t="s">
        <v>1026</v>
      </c>
      <c r="D410" s="33" t="s">
        <v>1036</v>
      </c>
      <c r="E410" s="90">
        <v>60000</v>
      </c>
      <c r="F410" s="33" t="s">
        <v>1276</v>
      </c>
      <c r="G410" s="44" t="s">
        <v>834</v>
      </c>
      <c r="H410" s="44" t="s">
        <v>1175</v>
      </c>
      <c r="I410" s="44" t="s">
        <v>970</v>
      </c>
      <c r="J410" s="44">
        <v>44279</v>
      </c>
      <c r="K410" s="91" t="s">
        <v>1040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1340</v>
      </c>
      <c r="C411" s="46" t="s">
        <v>47</v>
      </c>
      <c r="D411" s="33" t="s">
        <v>1036</v>
      </c>
      <c r="E411" s="90">
        <v>30000</v>
      </c>
      <c r="F411" s="33" t="s">
        <v>1341</v>
      </c>
      <c r="G411" s="33" t="s">
        <v>903</v>
      </c>
      <c r="H411" s="33" t="s">
        <v>86</v>
      </c>
      <c r="I411" s="35" t="s">
        <v>859</v>
      </c>
      <c r="J411" s="44">
        <v>44180</v>
      </c>
      <c r="K411" s="92" t="s">
        <v>1053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1342</v>
      </c>
      <c r="C412" s="33" t="s">
        <v>1026</v>
      </c>
      <c r="D412" s="33" t="s">
        <v>1027</v>
      </c>
      <c r="E412" s="90">
        <v>373842.57</v>
      </c>
      <c r="F412" s="33" t="s">
        <v>1343</v>
      </c>
      <c r="G412" s="44" t="s">
        <v>976</v>
      </c>
      <c r="H412" s="44" t="s">
        <v>86</v>
      </c>
      <c r="I412" s="100" t="s">
        <v>976</v>
      </c>
      <c r="J412" s="44">
        <v>43829</v>
      </c>
      <c r="K412" s="91" t="s">
        <v>1029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1159</v>
      </c>
      <c r="C413" s="46" t="s">
        <v>1026</v>
      </c>
      <c r="D413" s="33" t="s">
        <v>1036</v>
      </c>
      <c r="E413" s="90">
        <v>8000</v>
      </c>
      <c r="F413" s="33" t="s">
        <v>1160</v>
      </c>
      <c r="G413" s="44" t="s">
        <v>829</v>
      </c>
      <c r="H413" s="44" t="s">
        <v>86</v>
      </c>
      <c r="I413" s="44" t="s">
        <v>877</v>
      </c>
      <c r="J413" s="44">
        <v>43873</v>
      </c>
      <c r="K413" s="91" t="s">
        <v>1040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1047</v>
      </c>
      <c r="C414" s="46" t="s">
        <v>1026</v>
      </c>
      <c r="D414" s="33" t="s">
        <v>1036</v>
      </c>
      <c r="E414" s="90">
        <v>504274.77</v>
      </c>
      <c r="F414" s="33" t="s">
        <v>1048</v>
      </c>
      <c r="G414" s="44" t="s">
        <v>829</v>
      </c>
      <c r="H414" s="44" t="s">
        <v>86</v>
      </c>
      <c r="I414" s="44" t="s">
        <v>877</v>
      </c>
      <c r="J414" s="44">
        <v>43703</v>
      </c>
      <c r="K414" s="91" t="s">
        <v>1032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1047</v>
      </c>
      <c r="C415" s="46" t="s">
        <v>1026</v>
      </c>
      <c r="D415" s="33" t="s">
        <v>1036</v>
      </c>
      <c r="E415" s="90">
        <v>150000</v>
      </c>
      <c r="F415" s="33" t="s">
        <v>1048</v>
      </c>
      <c r="G415" s="44" t="s">
        <v>829</v>
      </c>
      <c r="H415" s="44" t="s">
        <v>86</v>
      </c>
      <c r="I415" s="44" t="s">
        <v>877</v>
      </c>
      <c r="J415" s="44">
        <v>43703</v>
      </c>
      <c r="K415" s="91" t="s">
        <v>1032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1313</v>
      </c>
      <c r="C416" s="46" t="s">
        <v>1026</v>
      </c>
      <c r="D416" s="33" t="s">
        <v>1036</v>
      </c>
      <c r="E416" s="90">
        <v>399197.6</v>
      </c>
      <c r="F416" s="33" t="s">
        <v>1314</v>
      </c>
      <c r="G416" s="44" t="s">
        <v>834</v>
      </c>
      <c r="H416" s="44" t="s">
        <v>1175</v>
      </c>
      <c r="I416" s="44" t="s">
        <v>972</v>
      </c>
      <c r="J416" s="44">
        <v>44322</v>
      </c>
      <c r="K416" s="91" t="s">
        <v>1040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1344</v>
      </c>
      <c r="C417" s="46" t="s">
        <v>1026</v>
      </c>
      <c r="D417" s="33" t="s">
        <v>1036</v>
      </c>
      <c r="E417" s="90">
        <v>45000</v>
      </c>
      <c r="F417" s="33" t="s">
        <v>1345</v>
      </c>
      <c r="G417" s="44" t="s">
        <v>834</v>
      </c>
      <c r="H417" s="44" t="s">
        <v>1175</v>
      </c>
      <c r="I417" s="44" t="s">
        <v>972</v>
      </c>
      <c r="J417" s="44">
        <v>44313</v>
      </c>
      <c r="K417" s="91" t="s">
        <v>1040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1346</v>
      </c>
      <c r="C418" s="46" t="s">
        <v>1026</v>
      </c>
      <c r="D418" s="33" t="s">
        <v>1036</v>
      </c>
      <c r="E418" s="90">
        <v>40000</v>
      </c>
      <c r="F418" s="33" t="s">
        <v>1347</v>
      </c>
      <c r="G418" s="44" t="s">
        <v>834</v>
      </c>
      <c r="H418" s="44" t="s">
        <v>1175</v>
      </c>
      <c r="I418" s="44" t="s">
        <v>972</v>
      </c>
      <c r="J418" s="44">
        <v>44280</v>
      </c>
      <c r="K418" s="91" t="s">
        <v>1178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1266</v>
      </c>
      <c r="C419" s="46" t="s">
        <v>1026</v>
      </c>
      <c r="D419" s="33" t="s">
        <v>1036</v>
      </c>
      <c r="E419" s="90">
        <v>10000</v>
      </c>
      <c r="F419" s="33" t="s">
        <v>1267</v>
      </c>
      <c r="G419" s="44" t="s">
        <v>834</v>
      </c>
      <c r="H419" s="44" t="s">
        <v>1175</v>
      </c>
      <c r="I419" s="44" t="s">
        <v>970</v>
      </c>
      <c r="J419" s="44">
        <v>44298</v>
      </c>
      <c r="K419" s="91" t="s">
        <v>1040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1083</v>
      </c>
      <c r="C420" s="46" t="s">
        <v>1026</v>
      </c>
      <c r="D420" s="33" t="s">
        <v>1036</v>
      </c>
      <c r="E420" s="90">
        <v>62000</v>
      </c>
      <c r="F420" s="33" t="s">
        <v>1084</v>
      </c>
      <c r="G420" s="44" t="s">
        <v>829</v>
      </c>
      <c r="H420" s="44" t="s">
        <v>86</v>
      </c>
      <c r="I420" s="44" t="s">
        <v>877</v>
      </c>
      <c r="J420" s="44">
        <v>43894</v>
      </c>
      <c r="K420" s="91" t="s">
        <v>1053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1348</v>
      </c>
      <c r="C421" s="46" t="s">
        <v>47</v>
      </c>
      <c r="D421" s="33" t="s">
        <v>1036</v>
      </c>
      <c r="E421" s="90">
        <v>10000</v>
      </c>
      <c r="F421" s="33" t="s">
        <v>1349</v>
      </c>
      <c r="G421" s="33" t="s">
        <v>903</v>
      </c>
      <c r="H421" s="33" t="s">
        <v>86</v>
      </c>
      <c r="I421" s="33" t="s">
        <v>881</v>
      </c>
      <c r="J421" s="44">
        <v>44102</v>
      </c>
      <c r="K421" s="92" t="s">
        <v>1040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1350</v>
      </c>
      <c r="C422" s="33" t="s">
        <v>47</v>
      </c>
      <c r="D422" s="33" t="s">
        <v>1027</v>
      </c>
      <c r="E422" s="90">
        <v>0</v>
      </c>
      <c r="F422" s="33" t="s">
        <v>1351</v>
      </c>
      <c r="G422" s="33" t="s">
        <v>834</v>
      </c>
      <c r="H422" s="33" t="s">
        <v>86</v>
      </c>
      <c r="I422" s="33" t="s">
        <v>923</v>
      </c>
      <c r="J422" s="44">
        <v>44260</v>
      </c>
      <c r="K422" s="92" t="s">
        <v>1029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1352</v>
      </c>
      <c r="C423" s="33" t="s">
        <v>47</v>
      </c>
      <c r="D423" s="33" t="s">
        <v>1027</v>
      </c>
      <c r="E423" s="90">
        <v>0</v>
      </c>
      <c r="F423" s="33" t="s">
        <v>1353</v>
      </c>
      <c r="G423" s="33" t="s">
        <v>834</v>
      </c>
      <c r="H423" s="33" t="s">
        <v>86</v>
      </c>
      <c r="I423" s="33" t="s">
        <v>923</v>
      </c>
      <c r="J423" s="44">
        <v>44166</v>
      </c>
      <c r="K423" s="92" t="s">
        <v>1040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1354</v>
      </c>
      <c r="C424" s="33" t="s">
        <v>47</v>
      </c>
      <c r="D424" s="33" t="s">
        <v>1027</v>
      </c>
      <c r="E424" s="90">
        <v>0</v>
      </c>
      <c r="F424" s="33" t="s">
        <v>1355</v>
      </c>
      <c r="G424" s="33" t="s">
        <v>834</v>
      </c>
      <c r="H424" s="33" t="s">
        <v>86</v>
      </c>
      <c r="I424" s="33" t="s">
        <v>923</v>
      </c>
      <c r="J424" s="44">
        <v>44291</v>
      </c>
      <c r="K424" s="92" t="s">
        <v>1029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1356</v>
      </c>
      <c r="C425" s="33" t="s">
        <v>47</v>
      </c>
      <c r="D425" s="33" t="s">
        <v>1027</v>
      </c>
      <c r="E425" s="90">
        <v>0</v>
      </c>
      <c r="F425" s="33" t="s">
        <v>1357</v>
      </c>
      <c r="G425" s="33" t="s">
        <v>834</v>
      </c>
      <c r="H425" s="33" t="s">
        <v>86</v>
      </c>
      <c r="I425" s="33" t="s">
        <v>923</v>
      </c>
      <c r="J425" s="44">
        <v>44166</v>
      </c>
      <c r="K425" s="92" t="s">
        <v>1040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1358</v>
      </c>
      <c r="C426" s="46" t="s">
        <v>1026</v>
      </c>
      <c r="D426" s="33" t="s">
        <v>1036</v>
      </c>
      <c r="E426" s="90">
        <v>20000</v>
      </c>
      <c r="F426" s="33" t="s">
        <v>1359</v>
      </c>
      <c r="G426" s="44" t="s">
        <v>834</v>
      </c>
      <c r="H426" s="44" t="s">
        <v>1175</v>
      </c>
      <c r="I426" s="44" t="s">
        <v>972</v>
      </c>
      <c r="J426" s="44">
        <v>44358</v>
      </c>
      <c r="K426" s="91" t="s">
        <v>1040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1360</v>
      </c>
      <c r="C427" s="46" t="s">
        <v>47</v>
      </c>
      <c r="D427" s="33" t="s">
        <v>1036</v>
      </c>
      <c r="E427" s="90">
        <v>50000</v>
      </c>
      <c r="F427" s="33" t="s">
        <v>1361</v>
      </c>
      <c r="G427" s="33" t="s">
        <v>903</v>
      </c>
      <c r="H427" s="33" t="s">
        <v>86</v>
      </c>
      <c r="I427" s="33" t="s">
        <v>891</v>
      </c>
      <c r="J427" s="44">
        <v>44183</v>
      </c>
      <c r="K427" s="92" t="s">
        <v>1040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1362</v>
      </c>
      <c r="C428" s="46" t="s">
        <v>1026</v>
      </c>
      <c r="D428" s="33" t="s">
        <v>1036</v>
      </c>
      <c r="E428" s="90">
        <v>13000</v>
      </c>
      <c r="F428" s="33" t="s">
        <v>1363</v>
      </c>
      <c r="G428" s="44" t="s">
        <v>834</v>
      </c>
      <c r="H428" s="44" t="s">
        <v>1175</v>
      </c>
      <c r="I428" s="44" t="s">
        <v>972</v>
      </c>
      <c r="J428" s="44">
        <v>44322</v>
      </c>
      <c r="K428" s="91" t="s">
        <v>1040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1173</v>
      </c>
      <c r="C429" s="46" t="s">
        <v>1026</v>
      </c>
      <c r="D429" s="33" t="s">
        <v>1036</v>
      </c>
      <c r="E429" s="90">
        <v>46000</v>
      </c>
      <c r="F429" s="33" t="s">
        <v>1174</v>
      </c>
      <c r="G429" s="44" t="s">
        <v>834</v>
      </c>
      <c r="H429" s="44" t="s">
        <v>1175</v>
      </c>
      <c r="I429" s="44" t="s">
        <v>972</v>
      </c>
      <c r="J429" s="44">
        <v>44321</v>
      </c>
      <c r="K429" s="91" t="s">
        <v>1040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1303</v>
      </c>
      <c r="C430" s="46" t="s">
        <v>1026</v>
      </c>
      <c r="D430" s="33" t="s">
        <v>1036</v>
      </c>
      <c r="E430" s="90">
        <v>60000</v>
      </c>
      <c r="F430" s="33" t="s">
        <v>1304</v>
      </c>
      <c r="G430" s="44" t="s">
        <v>834</v>
      </c>
      <c r="H430" s="44" t="s">
        <v>1175</v>
      </c>
      <c r="I430" s="44" t="s">
        <v>970</v>
      </c>
      <c r="J430" s="44">
        <v>44322</v>
      </c>
      <c r="K430" s="91" t="s">
        <v>1040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1243</v>
      </c>
      <c r="C431" s="46" t="s">
        <v>47</v>
      </c>
      <c r="D431" s="33" t="s">
        <v>1036</v>
      </c>
      <c r="E431" s="90">
        <v>100000</v>
      </c>
      <c r="F431" s="33" t="s">
        <v>1244</v>
      </c>
      <c r="G431" s="33" t="s">
        <v>903</v>
      </c>
      <c r="H431" s="33" t="s">
        <v>86</v>
      </c>
      <c r="I431" s="33" t="s">
        <v>889</v>
      </c>
      <c r="J431" s="44">
        <v>44203</v>
      </c>
      <c r="K431" s="92" t="s">
        <v>1040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1047</v>
      </c>
      <c r="C432" s="46" t="s">
        <v>1026</v>
      </c>
      <c r="D432" s="33" t="s">
        <v>1036</v>
      </c>
      <c r="E432" s="90">
        <v>50000</v>
      </c>
      <c r="F432" s="33" t="s">
        <v>1048</v>
      </c>
      <c r="G432" s="44" t="s">
        <v>829</v>
      </c>
      <c r="H432" s="44" t="s">
        <v>86</v>
      </c>
      <c r="I432" s="44" t="s">
        <v>877</v>
      </c>
      <c r="J432" s="44">
        <v>43703</v>
      </c>
      <c r="K432" s="91" t="s">
        <v>1032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1303</v>
      </c>
      <c r="C433" s="46" t="s">
        <v>1026</v>
      </c>
      <c r="D433" s="33" t="s">
        <v>1036</v>
      </c>
      <c r="E433" s="90">
        <v>8000</v>
      </c>
      <c r="F433" s="33" t="s">
        <v>1304</v>
      </c>
      <c r="G433" s="44" t="s">
        <v>834</v>
      </c>
      <c r="H433" s="44" t="s">
        <v>1175</v>
      </c>
      <c r="I433" s="44" t="s">
        <v>970</v>
      </c>
      <c r="J433" s="44">
        <v>44322</v>
      </c>
      <c r="K433" s="91" t="s">
        <v>1040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1364</v>
      </c>
      <c r="C434" s="33" t="s">
        <v>47</v>
      </c>
      <c r="D434" s="33" t="s">
        <v>1027</v>
      </c>
      <c r="E434" s="90">
        <v>0</v>
      </c>
      <c r="F434" s="33" t="s">
        <v>1365</v>
      </c>
      <c r="G434" s="33" t="s">
        <v>834</v>
      </c>
      <c r="H434" s="33" t="s">
        <v>86</v>
      </c>
      <c r="I434" s="33" t="s">
        <v>1366</v>
      </c>
      <c r="J434" s="44">
        <v>44384</v>
      </c>
      <c r="K434" s="92" t="s">
        <v>1053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1367</v>
      </c>
      <c r="C435" s="46" t="s">
        <v>1026</v>
      </c>
      <c r="D435" s="33" t="s">
        <v>1036</v>
      </c>
      <c r="E435" s="90">
        <v>10000</v>
      </c>
      <c r="F435" s="33" t="s">
        <v>1368</v>
      </c>
      <c r="G435" s="44" t="s">
        <v>834</v>
      </c>
      <c r="H435" s="44" t="s">
        <v>1175</v>
      </c>
      <c r="I435" s="44" t="s">
        <v>970</v>
      </c>
      <c r="J435" s="44">
        <v>44321</v>
      </c>
      <c r="K435" s="91" t="s">
        <v>1053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1163</v>
      </c>
      <c r="C436" s="46" t="s">
        <v>1075</v>
      </c>
      <c r="D436" s="33" t="s">
        <v>1036</v>
      </c>
      <c r="E436" s="90">
        <v>47000</v>
      </c>
      <c r="F436" s="33" t="s">
        <v>1164</v>
      </c>
      <c r="G436" s="44" t="s">
        <v>834</v>
      </c>
      <c r="H436" s="44" t="s">
        <v>86</v>
      </c>
      <c r="I436" s="44" t="s">
        <v>834</v>
      </c>
      <c r="J436" s="44">
        <v>44062</v>
      </c>
      <c r="K436" s="91" t="s">
        <v>1040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1335</v>
      </c>
      <c r="C437" s="46" t="s">
        <v>47</v>
      </c>
      <c r="D437" s="33" t="s">
        <v>1036</v>
      </c>
      <c r="E437" s="90">
        <v>156000</v>
      </c>
      <c r="F437" s="35" t="s">
        <v>1336</v>
      </c>
      <c r="G437" s="33" t="s">
        <v>903</v>
      </c>
      <c r="H437" s="33" t="s">
        <v>86</v>
      </c>
      <c r="I437" s="33" t="s">
        <v>901</v>
      </c>
      <c r="J437" s="42">
        <v>44145</v>
      </c>
      <c r="K437" s="92" t="s">
        <v>1121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1369</v>
      </c>
      <c r="C438" s="46" t="s">
        <v>1026</v>
      </c>
      <c r="D438" s="33" t="s">
        <v>1036</v>
      </c>
      <c r="E438" s="90">
        <v>20000</v>
      </c>
      <c r="F438" s="33" t="s">
        <v>1370</v>
      </c>
      <c r="G438" s="44" t="s">
        <v>834</v>
      </c>
      <c r="H438" s="44" t="s">
        <v>1175</v>
      </c>
      <c r="I438" s="44" t="s">
        <v>972</v>
      </c>
      <c r="J438" s="44">
        <v>44319</v>
      </c>
      <c r="K438" s="91" t="s">
        <v>1040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1371</v>
      </c>
      <c r="C439" s="46" t="s">
        <v>1026</v>
      </c>
      <c r="D439" s="33" t="s">
        <v>1036</v>
      </c>
      <c r="E439" s="90">
        <v>5000</v>
      </c>
      <c r="F439" s="33" t="s">
        <v>1372</v>
      </c>
      <c r="G439" s="44" t="s">
        <v>834</v>
      </c>
      <c r="H439" s="44" t="s">
        <v>1175</v>
      </c>
      <c r="I439" s="44" t="s">
        <v>970</v>
      </c>
      <c r="J439" s="44">
        <v>44321</v>
      </c>
      <c r="K439" s="91" t="s">
        <v>1178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1309</v>
      </c>
      <c r="C440" s="46" t="s">
        <v>1026</v>
      </c>
      <c r="D440" s="33" t="s">
        <v>1036</v>
      </c>
      <c r="E440" s="90">
        <v>45000</v>
      </c>
      <c r="F440" s="33" t="s">
        <v>1310</v>
      </c>
      <c r="G440" s="44" t="s">
        <v>834</v>
      </c>
      <c r="H440" s="44" t="s">
        <v>1175</v>
      </c>
      <c r="I440" s="44" t="s">
        <v>972</v>
      </c>
      <c r="J440" s="44">
        <v>44280</v>
      </c>
      <c r="K440" s="91" t="s">
        <v>1121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1373</v>
      </c>
      <c r="C441" s="33" t="s">
        <v>47</v>
      </c>
      <c r="D441" s="33" t="s">
        <v>1027</v>
      </c>
      <c r="E441" s="90">
        <v>0</v>
      </c>
      <c r="F441" s="33" t="s">
        <v>1374</v>
      </c>
      <c r="G441" s="33" t="s">
        <v>834</v>
      </c>
      <c r="H441" s="33" t="s">
        <v>86</v>
      </c>
      <c r="I441" s="33" t="s">
        <v>838</v>
      </c>
      <c r="J441" s="44">
        <v>44166</v>
      </c>
      <c r="K441" s="92" t="s">
        <v>1040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1176</v>
      </c>
      <c r="C442" s="46" t="s">
        <v>1026</v>
      </c>
      <c r="D442" s="33" t="s">
        <v>1036</v>
      </c>
      <c r="E442" s="90">
        <v>6000</v>
      </c>
      <c r="F442" s="33" t="s">
        <v>1177</v>
      </c>
      <c r="G442" s="44" t="s">
        <v>834</v>
      </c>
      <c r="H442" s="44" t="s">
        <v>1175</v>
      </c>
      <c r="I442" s="44" t="s">
        <v>972</v>
      </c>
      <c r="J442" s="44">
        <v>44295</v>
      </c>
      <c r="K442" s="91" t="s">
        <v>1178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1317</v>
      </c>
      <c r="C443" s="46" t="s">
        <v>1026</v>
      </c>
      <c r="D443" s="33" t="s">
        <v>1036</v>
      </c>
      <c r="E443" s="90">
        <v>4000</v>
      </c>
      <c r="F443" s="33" t="s">
        <v>1318</v>
      </c>
      <c r="G443" s="44" t="s">
        <v>834</v>
      </c>
      <c r="H443" s="44" t="s">
        <v>1175</v>
      </c>
      <c r="I443" s="44" t="s">
        <v>974</v>
      </c>
      <c r="J443" s="44">
        <v>44260</v>
      </c>
      <c r="K443" s="91" t="s">
        <v>1040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1375</v>
      </c>
      <c r="C444" s="33" t="s">
        <v>1026</v>
      </c>
      <c r="D444" s="33" t="s">
        <v>1027</v>
      </c>
      <c r="E444" s="90">
        <v>156601.32</v>
      </c>
      <c r="F444" s="33" t="s">
        <v>1376</v>
      </c>
      <c r="G444" s="44" t="s">
        <v>834</v>
      </c>
      <c r="H444" s="44" t="s">
        <v>1175</v>
      </c>
      <c r="I444" s="44" t="s">
        <v>970</v>
      </c>
      <c r="J444" s="44">
        <v>44280</v>
      </c>
      <c r="K444" s="91" t="s">
        <v>1040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1317</v>
      </c>
      <c r="C445" s="46" t="s">
        <v>1026</v>
      </c>
      <c r="D445" s="33" t="s">
        <v>1036</v>
      </c>
      <c r="E445" s="90">
        <v>107481.43</v>
      </c>
      <c r="F445" s="33" t="s">
        <v>1318</v>
      </c>
      <c r="G445" s="44" t="s">
        <v>834</v>
      </c>
      <c r="H445" s="44" t="s">
        <v>1175</v>
      </c>
      <c r="I445" s="44" t="s">
        <v>974</v>
      </c>
      <c r="J445" s="44">
        <v>44260</v>
      </c>
      <c r="K445" s="91" t="s">
        <v>1040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1375</v>
      </c>
      <c r="C446" s="46" t="s">
        <v>1026</v>
      </c>
      <c r="D446" s="33" t="s">
        <v>1036</v>
      </c>
      <c r="E446" s="90">
        <v>10000</v>
      </c>
      <c r="F446" s="33" t="s">
        <v>1376</v>
      </c>
      <c r="G446" s="44" t="s">
        <v>834</v>
      </c>
      <c r="H446" s="44" t="s">
        <v>1175</v>
      </c>
      <c r="I446" s="44" t="s">
        <v>970</v>
      </c>
      <c r="J446" s="44">
        <v>44280</v>
      </c>
      <c r="K446" s="91" t="s">
        <v>1040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1377</v>
      </c>
      <c r="C447" s="46" t="s">
        <v>1026</v>
      </c>
      <c r="D447" s="33" t="s">
        <v>1036</v>
      </c>
      <c r="E447" s="90">
        <v>20000</v>
      </c>
      <c r="F447" s="33" t="s">
        <v>1378</v>
      </c>
      <c r="G447" s="44" t="s">
        <v>834</v>
      </c>
      <c r="H447" s="44" t="s">
        <v>1175</v>
      </c>
      <c r="I447" s="44" t="s">
        <v>972</v>
      </c>
      <c r="J447" s="44">
        <v>44263</v>
      </c>
      <c r="K447" s="91" t="s">
        <v>1121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1047</v>
      </c>
      <c r="C448" s="46" t="s">
        <v>1026</v>
      </c>
      <c r="D448" s="33" t="s">
        <v>1036</v>
      </c>
      <c r="E448" s="90">
        <v>50000</v>
      </c>
      <c r="F448" s="33" t="s">
        <v>1048</v>
      </c>
      <c r="G448" s="44" t="s">
        <v>829</v>
      </c>
      <c r="H448" s="44" t="s">
        <v>86</v>
      </c>
      <c r="I448" s="44" t="s">
        <v>877</v>
      </c>
      <c r="J448" s="44">
        <v>43703</v>
      </c>
      <c r="K448" s="91" t="s">
        <v>1032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1379</v>
      </c>
      <c r="C449" s="33" t="s">
        <v>47</v>
      </c>
      <c r="D449" s="33" t="s">
        <v>1027</v>
      </c>
      <c r="E449" s="90">
        <v>0</v>
      </c>
      <c r="F449" s="33" t="s">
        <v>1380</v>
      </c>
      <c r="G449" s="33" t="s">
        <v>903</v>
      </c>
      <c r="H449" s="33" t="s">
        <v>86</v>
      </c>
      <c r="I449" s="33" t="s">
        <v>848</v>
      </c>
      <c r="J449" s="44">
        <v>44085</v>
      </c>
      <c r="K449" s="92" t="s">
        <v>1053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1092</v>
      </c>
      <c r="C450" s="46" t="s">
        <v>1026</v>
      </c>
      <c r="D450" s="33" t="s">
        <v>1036</v>
      </c>
      <c r="E450" s="90">
        <v>10000</v>
      </c>
      <c r="F450" s="33" t="s">
        <v>1093</v>
      </c>
      <c r="G450" s="44" t="s">
        <v>829</v>
      </c>
      <c r="H450" s="44" t="s">
        <v>86</v>
      </c>
      <c r="I450" s="44" t="s">
        <v>877</v>
      </c>
      <c r="J450" s="44">
        <v>43564</v>
      </c>
      <c r="K450" s="91" t="s">
        <v>1029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1303</v>
      </c>
      <c r="C451" s="46" t="s">
        <v>1026</v>
      </c>
      <c r="D451" s="33" t="s">
        <v>1036</v>
      </c>
      <c r="E451" s="90">
        <v>30000</v>
      </c>
      <c r="F451" s="33" t="s">
        <v>1304</v>
      </c>
      <c r="G451" s="44" t="s">
        <v>834</v>
      </c>
      <c r="H451" s="44" t="s">
        <v>1175</v>
      </c>
      <c r="I451" s="44" t="s">
        <v>970</v>
      </c>
      <c r="J451" s="44">
        <v>44322</v>
      </c>
      <c r="K451" s="91" t="s">
        <v>1040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1083</v>
      </c>
      <c r="C452" s="46" t="s">
        <v>1026</v>
      </c>
      <c r="D452" s="33" t="s">
        <v>1036</v>
      </c>
      <c r="E452" s="90">
        <v>300000</v>
      </c>
      <c r="F452" s="33" t="s">
        <v>1084</v>
      </c>
      <c r="G452" s="44" t="s">
        <v>829</v>
      </c>
      <c r="H452" s="44" t="s">
        <v>86</v>
      </c>
      <c r="I452" s="44" t="s">
        <v>877</v>
      </c>
      <c r="J452" s="44">
        <v>43894</v>
      </c>
      <c r="K452" s="91" t="s">
        <v>1053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1176</v>
      </c>
      <c r="C453" s="46" t="s">
        <v>1026</v>
      </c>
      <c r="D453" s="33" t="s">
        <v>1036</v>
      </c>
      <c r="E453" s="90">
        <v>10000</v>
      </c>
      <c r="F453" s="33" t="s">
        <v>1177</v>
      </c>
      <c r="G453" s="44" t="s">
        <v>834</v>
      </c>
      <c r="H453" s="44" t="s">
        <v>1175</v>
      </c>
      <c r="I453" s="44" t="s">
        <v>972</v>
      </c>
      <c r="J453" s="44">
        <v>44295</v>
      </c>
      <c r="K453" s="91" t="s">
        <v>1178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1303</v>
      </c>
      <c r="C454" s="46" t="s">
        <v>1026</v>
      </c>
      <c r="D454" s="33" t="s">
        <v>1036</v>
      </c>
      <c r="E454" s="90">
        <v>468601.48</v>
      </c>
      <c r="F454" s="33" t="s">
        <v>1304</v>
      </c>
      <c r="G454" s="44" t="s">
        <v>834</v>
      </c>
      <c r="H454" s="44" t="s">
        <v>1175</v>
      </c>
      <c r="I454" s="44" t="s">
        <v>970</v>
      </c>
      <c r="J454" s="44">
        <v>44322</v>
      </c>
      <c r="K454" s="91" t="s">
        <v>1040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1313</v>
      </c>
      <c r="C455" s="46" t="s">
        <v>1026</v>
      </c>
      <c r="D455" s="33" t="s">
        <v>1036</v>
      </c>
      <c r="E455" s="94">
        <v>2200</v>
      </c>
      <c r="F455" s="33" t="s">
        <v>1314</v>
      </c>
      <c r="G455" s="44" t="s">
        <v>834</v>
      </c>
      <c r="H455" s="44" t="s">
        <v>1175</v>
      </c>
      <c r="I455" s="44" t="s">
        <v>972</v>
      </c>
      <c r="J455" s="44">
        <v>44322</v>
      </c>
      <c r="K455" s="91" t="s">
        <v>1040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1303</v>
      </c>
      <c r="C456" s="46" t="s">
        <v>1026</v>
      </c>
      <c r="D456" s="33" t="s">
        <v>1036</v>
      </c>
      <c r="E456" s="90">
        <v>20000</v>
      </c>
      <c r="F456" s="33" t="s">
        <v>1304</v>
      </c>
      <c r="G456" s="44" t="s">
        <v>834</v>
      </c>
      <c r="H456" s="44" t="s">
        <v>1175</v>
      </c>
      <c r="I456" s="44" t="s">
        <v>970</v>
      </c>
      <c r="J456" s="44">
        <v>44322</v>
      </c>
      <c r="K456" s="91" t="s">
        <v>1040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1321</v>
      </c>
      <c r="C457" s="46" t="s">
        <v>1026</v>
      </c>
      <c r="D457" s="33" t="s">
        <v>1036</v>
      </c>
      <c r="E457" s="90">
        <v>15000</v>
      </c>
      <c r="F457" s="33" t="s">
        <v>1322</v>
      </c>
      <c r="G457" s="44" t="s">
        <v>829</v>
      </c>
      <c r="H457" s="44" t="s">
        <v>86</v>
      </c>
      <c r="I457" s="44" t="s">
        <v>968</v>
      </c>
      <c r="J457" s="44">
        <v>43752</v>
      </c>
      <c r="K457" s="91" t="s">
        <v>1040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1367</v>
      </c>
      <c r="C458" s="46" t="s">
        <v>1026</v>
      </c>
      <c r="D458" s="33" t="s">
        <v>1036</v>
      </c>
      <c r="E458" s="90">
        <v>30000</v>
      </c>
      <c r="F458" s="33" t="s">
        <v>1368</v>
      </c>
      <c r="G458" s="44" t="s">
        <v>834</v>
      </c>
      <c r="H458" s="44" t="s">
        <v>1175</v>
      </c>
      <c r="I458" s="44" t="s">
        <v>970</v>
      </c>
      <c r="J458" s="44">
        <v>44321</v>
      </c>
      <c r="K458" s="91" t="s">
        <v>1053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1179</v>
      </c>
      <c r="C459" s="46" t="s">
        <v>1026</v>
      </c>
      <c r="D459" s="33" t="s">
        <v>1036</v>
      </c>
      <c r="E459" s="90">
        <v>40000</v>
      </c>
      <c r="F459" s="33" t="s">
        <v>1180</v>
      </c>
      <c r="G459" s="44" t="s">
        <v>834</v>
      </c>
      <c r="H459" s="44" t="s">
        <v>1175</v>
      </c>
      <c r="I459" s="44" t="s">
        <v>972</v>
      </c>
      <c r="J459" s="44">
        <v>44272</v>
      </c>
      <c r="K459" s="91" t="s">
        <v>1181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1381</v>
      </c>
      <c r="C460" s="33" t="s">
        <v>47</v>
      </c>
      <c r="D460" s="33" t="s">
        <v>1027</v>
      </c>
      <c r="E460" s="90">
        <v>0</v>
      </c>
      <c r="F460" s="33" t="s">
        <v>1382</v>
      </c>
      <c r="G460" s="33" t="s">
        <v>834</v>
      </c>
      <c r="H460" s="33" t="s">
        <v>1298</v>
      </c>
      <c r="I460" s="33" t="s">
        <v>885</v>
      </c>
      <c r="J460" s="44"/>
      <c r="K460" s="92" t="s">
        <v>1040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1307</v>
      </c>
      <c r="C461" s="46" t="s">
        <v>1026</v>
      </c>
      <c r="D461" s="33" t="s">
        <v>1036</v>
      </c>
      <c r="E461" s="90">
        <v>100000</v>
      </c>
      <c r="F461" s="33" t="s">
        <v>1308</v>
      </c>
      <c r="G461" s="44" t="s">
        <v>834</v>
      </c>
      <c r="H461" s="44" t="s">
        <v>1175</v>
      </c>
      <c r="I461" s="44" t="s">
        <v>970</v>
      </c>
      <c r="J461" s="44">
        <v>44319</v>
      </c>
      <c r="K461" s="91" t="s">
        <v>1040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1383</v>
      </c>
      <c r="C462" s="46" t="s">
        <v>1026</v>
      </c>
      <c r="D462" s="33" t="s">
        <v>1061</v>
      </c>
      <c r="E462" s="90">
        <v>15000</v>
      </c>
      <c r="F462" s="33" t="s">
        <v>1384</v>
      </c>
      <c r="G462" s="44" t="s">
        <v>829</v>
      </c>
      <c r="H462" s="44" t="s">
        <v>86</v>
      </c>
      <c r="I462" s="44" t="s">
        <v>877</v>
      </c>
      <c r="J462" s="44">
        <v>43859</v>
      </c>
      <c r="K462" s="91" t="s">
        <v>1053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1385</v>
      </c>
      <c r="C463" s="46" t="s">
        <v>47</v>
      </c>
      <c r="D463" s="33" t="s">
        <v>1036</v>
      </c>
      <c r="E463" s="90">
        <v>3440319.83</v>
      </c>
      <c r="F463" s="33" t="s">
        <v>1386</v>
      </c>
      <c r="G463" s="33" t="s">
        <v>834</v>
      </c>
      <c r="H463" s="33" t="s">
        <v>86</v>
      </c>
      <c r="I463" s="33" t="s">
        <v>846</v>
      </c>
      <c r="J463" s="44"/>
      <c r="K463" s="92" t="s">
        <v>1029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1303</v>
      </c>
      <c r="C464" s="46" t="s">
        <v>1026</v>
      </c>
      <c r="D464" s="33" t="s">
        <v>1036</v>
      </c>
      <c r="E464" s="90">
        <v>10000</v>
      </c>
      <c r="F464" s="33" t="s">
        <v>1304</v>
      </c>
      <c r="G464" s="44" t="s">
        <v>834</v>
      </c>
      <c r="H464" s="44" t="s">
        <v>1175</v>
      </c>
      <c r="I464" s="44" t="s">
        <v>970</v>
      </c>
      <c r="J464" s="44">
        <v>44322</v>
      </c>
      <c r="K464" s="91" t="s">
        <v>1040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1239</v>
      </c>
      <c r="C465" s="46" t="s">
        <v>47</v>
      </c>
      <c r="D465" s="33" t="s">
        <v>1036</v>
      </c>
      <c r="E465" s="90">
        <v>155000</v>
      </c>
      <c r="F465" s="33" t="s">
        <v>1240</v>
      </c>
      <c r="G465" s="33" t="s">
        <v>903</v>
      </c>
      <c r="H465" s="33" t="s">
        <v>86</v>
      </c>
      <c r="I465" s="33" t="s">
        <v>934</v>
      </c>
      <c r="J465" s="42">
        <v>44180</v>
      </c>
      <c r="K465" s="92" t="s">
        <v>1040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1387</v>
      </c>
      <c r="C466" s="10" t="s">
        <v>47</v>
      </c>
      <c r="D466" s="46" t="s">
        <v>1036</v>
      </c>
      <c r="E466" s="47">
        <v>5000</v>
      </c>
      <c r="F466" s="46" t="s">
        <v>1388</v>
      </c>
      <c r="G466" s="46" t="s">
        <v>834</v>
      </c>
      <c r="H466" s="46" t="s">
        <v>1298</v>
      </c>
      <c r="I466" s="46" t="s">
        <v>885</v>
      </c>
      <c r="J466" s="45">
        <v>44407</v>
      </c>
      <c r="K466" s="48" t="s">
        <v>1121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1331</v>
      </c>
      <c r="C467" s="33" t="s">
        <v>47</v>
      </c>
      <c r="D467" s="33" t="s">
        <v>1027</v>
      </c>
      <c r="E467" s="90">
        <v>0</v>
      </c>
      <c r="F467" s="33" t="s">
        <v>1332</v>
      </c>
      <c r="G467" s="33" t="s">
        <v>903</v>
      </c>
      <c r="H467" s="33" t="s">
        <v>86</v>
      </c>
      <c r="I467" s="33" t="s">
        <v>848</v>
      </c>
      <c r="J467" s="44">
        <v>44090</v>
      </c>
      <c r="K467" s="92" t="s">
        <v>1053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1301</v>
      </c>
      <c r="C468" s="46" t="s">
        <v>1026</v>
      </c>
      <c r="D468" s="33" t="s">
        <v>1036</v>
      </c>
      <c r="E468" s="90">
        <v>150000</v>
      </c>
      <c r="F468" s="33" t="s">
        <v>1302</v>
      </c>
      <c r="G468" s="44" t="s">
        <v>834</v>
      </c>
      <c r="H468" s="44" t="s">
        <v>1175</v>
      </c>
      <c r="I468" s="44" t="s">
        <v>970</v>
      </c>
      <c r="J468" s="44">
        <v>44295</v>
      </c>
      <c r="K468" s="91" t="s">
        <v>1121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1173</v>
      </c>
      <c r="C469" s="46" t="s">
        <v>1026</v>
      </c>
      <c r="D469" s="33" t="s">
        <v>1036</v>
      </c>
      <c r="E469" s="90">
        <v>13000</v>
      </c>
      <c r="F469" s="33" t="s">
        <v>1174</v>
      </c>
      <c r="G469" s="44" t="s">
        <v>834</v>
      </c>
      <c r="H469" s="44" t="s">
        <v>1175</v>
      </c>
      <c r="I469" s="44" t="s">
        <v>972</v>
      </c>
      <c r="J469" s="44">
        <v>44321</v>
      </c>
      <c r="K469" s="91" t="s">
        <v>1040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1389</v>
      </c>
      <c r="C470" s="46" t="s">
        <v>47</v>
      </c>
      <c r="D470" s="33" t="s">
        <v>1036</v>
      </c>
      <c r="E470" s="90">
        <v>199844.32</v>
      </c>
      <c r="F470" s="33" t="s">
        <v>1390</v>
      </c>
      <c r="G470" s="33" t="s">
        <v>903</v>
      </c>
      <c r="H470" s="33" t="s">
        <v>86</v>
      </c>
      <c r="I470" s="33" t="s">
        <v>848</v>
      </c>
      <c r="J470" s="44">
        <v>44228</v>
      </c>
      <c r="K470" s="92" t="s">
        <v>1121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1303</v>
      </c>
      <c r="C471" s="46" t="s">
        <v>1026</v>
      </c>
      <c r="D471" s="33" t="s">
        <v>1036</v>
      </c>
      <c r="E471" s="90">
        <v>10000</v>
      </c>
      <c r="F471" s="33" t="s">
        <v>1304</v>
      </c>
      <c r="G471" s="44" t="s">
        <v>834</v>
      </c>
      <c r="H471" s="44" t="s">
        <v>1175</v>
      </c>
      <c r="I471" s="44" t="s">
        <v>970</v>
      </c>
      <c r="J471" s="44">
        <v>44322</v>
      </c>
      <c r="K471" s="91" t="s">
        <v>1040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1179</v>
      </c>
      <c r="C472" s="46" t="s">
        <v>1026</v>
      </c>
      <c r="D472" s="33" t="s">
        <v>1061</v>
      </c>
      <c r="E472" s="90">
        <v>30000</v>
      </c>
      <c r="F472" s="33" t="s">
        <v>1180</v>
      </c>
      <c r="G472" s="44" t="s">
        <v>834</v>
      </c>
      <c r="H472" s="44" t="s">
        <v>1175</v>
      </c>
      <c r="I472" s="44" t="s">
        <v>972</v>
      </c>
      <c r="J472" s="44">
        <v>44272</v>
      </c>
      <c r="K472" s="91" t="s">
        <v>1181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1391</v>
      </c>
      <c r="C473" s="33" t="s">
        <v>47</v>
      </c>
      <c r="D473" s="33" t="s">
        <v>1027</v>
      </c>
      <c r="E473" s="90">
        <v>0</v>
      </c>
      <c r="F473" s="33" t="s">
        <v>1392</v>
      </c>
      <c r="G473" s="33" t="s">
        <v>834</v>
      </c>
      <c r="H473" s="33" t="s">
        <v>86</v>
      </c>
      <c r="I473" s="33" t="s">
        <v>838</v>
      </c>
      <c r="J473" s="44">
        <v>44141</v>
      </c>
      <c r="K473" s="92" t="s">
        <v>1040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1047</v>
      </c>
      <c r="C474" s="46" t="s">
        <v>1026</v>
      </c>
      <c r="D474" s="33" t="s">
        <v>1036</v>
      </c>
      <c r="E474" s="90">
        <v>6000</v>
      </c>
      <c r="F474" s="33" t="s">
        <v>1048</v>
      </c>
      <c r="G474" s="44" t="s">
        <v>829</v>
      </c>
      <c r="H474" s="44" t="s">
        <v>86</v>
      </c>
      <c r="I474" s="44" t="s">
        <v>877</v>
      </c>
      <c r="J474" s="44">
        <v>43703</v>
      </c>
      <c r="K474" s="91" t="s">
        <v>1032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1393</v>
      </c>
      <c r="C475" s="46" t="s">
        <v>47</v>
      </c>
      <c r="D475" s="33" t="s">
        <v>1036</v>
      </c>
      <c r="E475" s="90">
        <v>20000</v>
      </c>
      <c r="F475" s="33" t="s">
        <v>1394</v>
      </c>
      <c r="G475" s="33" t="s">
        <v>829</v>
      </c>
      <c r="H475" s="33" t="s">
        <v>86</v>
      </c>
      <c r="I475" s="33" t="s">
        <v>829</v>
      </c>
      <c r="J475" s="44">
        <v>44235</v>
      </c>
      <c r="K475" s="92" t="s">
        <v>1040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1049</v>
      </c>
      <c r="C476" s="46" t="s">
        <v>1026</v>
      </c>
      <c r="D476" s="33" t="s">
        <v>1036</v>
      </c>
      <c r="E476" s="90">
        <v>16000</v>
      </c>
      <c r="F476" s="33" t="s">
        <v>1050</v>
      </c>
      <c r="G476" s="44" t="s">
        <v>829</v>
      </c>
      <c r="H476" s="44" t="s">
        <v>86</v>
      </c>
      <c r="I476" s="44" t="s">
        <v>877</v>
      </c>
      <c r="J476" s="44">
        <v>43567</v>
      </c>
      <c r="K476" s="91" t="s">
        <v>1040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1395</v>
      </c>
      <c r="C477" s="33" t="s">
        <v>47</v>
      </c>
      <c r="D477" s="33" t="s">
        <v>1027</v>
      </c>
      <c r="E477" s="90">
        <v>0</v>
      </c>
      <c r="F477" s="33" t="s">
        <v>1396</v>
      </c>
      <c r="G477" s="33" t="s">
        <v>903</v>
      </c>
      <c r="H477" s="33" t="s">
        <v>86</v>
      </c>
      <c r="I477" s="33" t="s">
        <v>879</v>
      </c>
      <c r="J477" s="44">
        <v>44120</v>
      </c>
      <c r="K477" s="92" t="s">
        <v>1040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1397</v>
      </c>
      <c r="C478" s="46" t="s">
        <v>1026</v>
      </c>
      <c r="D478" s="33" t="s">
        <v>1036</v>
      </c>
      <c r="E478" s="90">
        <v>500</v>
      </c>
      <c r="F478" s="33" t="s">
        <v>1398</v>
      </c>
      <c r="G478" s="44" t="s">
        <v>834</v>
      </c>
      <c r="H478" s="44" t="s">
        <v>1175</v>
      </c>
      <c r="I478" s="44" t="s">
        <v>972</v>
      </c>
      <c r="J478" s="44">
        <v>44280</v>
      </c>
      <c r="K478" s="91" t="s">
        <v>1040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1395</v>
      </c>
      <c r="C479" s="46" t="s">
        <v>47</v>
      </c>
      <c r="D479" s="33" t="s">
        <v>1061</v>
      </c>
      <c r="E479" s="90">
        <v>200000</v>
      </c>
      <c r="F479" s="33" t="s">
        <v>1396</v>
      </c>
      <c r="G479" s="33" t="s">
        <v>903</v>
      </c>
      <c r="H479" s="33" t="s">
        <v>86</v>
      </c>
      <c r="I479" s="33" t="s">
        <v>879</v>
      </c>
      <c r="J479" s="44">
        <v>44120</v>
      </c>
      <c r="K479" s="92" t="s">
        <v>1040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1399</v>
      </c>
      <c r="C480" s="46" t="s">
        <v>1026</v>
      </c>
      <c r="D480" s="33" t="s">
        <v>1036</v>
      </c>
      <c r="E480" s="90">
        <v>12000</v>
      </c>
      <c r="F480" s="33" t="s">
        <v>1400</v>
      </c>
      <c r="G480" s="44" t="s">
        <v>834</v>
      </c>
      <c r="H480" s="44" t="s">
        <v>1175</v>
      </c>
      <c r="I480" s="44" t="s">
        <v>970</v>
      </c>
      <c r="J480" s="44">
        <v>44328</v>
      </c>
      <c r="K480" s="91" t="s">
        <v>1121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1401</v>
      </c>
      <c r="C481" s="46" t="s">
        <v>47</v>
      </c>
      <c r="D481" s="33" t="s">
        <v>1036</v>
      </c>
      <c r="E481" s="90">
        <v>30000</v>
      </c>
      <c r="F481" s="33" t="s">
        <v>1402</v>
      </c>
      <c r="G481" s="33" t="s">
        <v>903</v>
      </c>
      <c r="H481" s="33" t="s">
        <v>86</v>
      </c>
      <c r="I481" s="49" t="s">
        <v>942</v>
      </c>
      <c r="J481" s="44">
        <v>44130</v>
      </c>
      <c r="K481" s="92" t="s">
        <v>1040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1047</v>
      </c>
      <c r="C482" s="46" t="s">
        <v>1026</v>
      </c>
      <c r="D482" s="33" t="s">
        <v>1036</v>
      </c>
      <c r="E482" s="90">
        <v>2000</v>
      </c>
      <c r="F482" s="33" t="s">
        <v>1048</v>
      </c>
      <c r="G482" s="44" t="s">
        <v>829</v>
      </c>
      <c r="H482" s="44" t="s">
        <v>86</v>
      </c>
      <c r="I482" s="44" t="s">
        <v>877</v>
      </c>
      <c r="J482" s="44">
        <v>43703</v>
      </c>
      <c r="K482" s="91" t="s">
        <v>1032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1176</v>
      </c>
      <c r="C483" s="46" t="s">
        <v>1026</v>
      </c>
      <c r="D483" s="33" t="s">
        <v>1036</v>
      </c>
      <c r="E483" s="90">
        <v>15000</v>
      </c>
      <c r="F483" s="33" t="s">
        <v>1177</v>
      </c>
      <c r="G483" s="44" t="s">
        <v>834</v>
      </c>
      <c r="H483" s="44" t="s">
        <v>1175</v>
      </c>
      <c r="I483" s="44" t="s">
        <v>972</v>
      </c>
      <c r="J483" s="44">
        <v>44295</v>
      </c>
      <c r="K483" s="91" t="s">
        <v>1178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1305</v>
      </c>
      <c r="C484" s="46" t="s">
        <v>1026</v>
      </c>
      <c r="D484" s="33" t="s">
        <v>1036</v>
      </c>
      <c r="E484" s="90">
        <v>2000</v>
      </c>
      <c r="F484" s="33" t="s">
        <v>1306</v>
      </c>
      <c r="G484" s="44" t="s">
        <v>834</v>
      </c>
      <c r="H484" s="44" t="s">
        <v>1175</v>
      </c>
      <c r="I484" s="44" t="s">
        <v>974</v>
      </c>
      <c r="J484" s="44">
        <v>44266</v>
      </c>
      <c r="K484" s="91" t="s">
        <v>1053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1403</v>
      </c>
      <c r="C485" s="46" t="s">
        <v>1026</v>
      </c>
      <c r="D485" s="33" t="s">
        <v>1036</v>
      </c>
      <c r="E485" s="90">
        <v>1000000</v>
      </c>
      <c r="F485" s="33" t="s">
        <v>1404</v>
      </c>
      <c r="G485" s="44" t="s">
        <v>834</v>
      </c>
      <c r="H485" s="44" t="s">
        <v>1175</v>
      </c>
      <c r="I485" s="44" t="s">
        <v>972</v>
      </c>
      <c r="J485" s="44">
        <v>44263</v>
      </c>
      <c r="K485" s="91" t="s">
        <v>1040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1405</v>
      </c>
      <c r="C486" s="33" t="s">
        <v>47</v>
      </c>
      <c r="D486" s="33" t="s">
        <v>1027</v>
      </c>
      <c r="E486" s="90">
        <v>0</v>
      </c>
      <c r="F486" s="33" t="s">
        <v>1406</v>
      </c>
      <c r="G486" s="33" t="s">
        <v>903</v>
      </c>
      <c r="H486" s="33" t="s">
        <v>86</v>
      </c>
      <c r="I486" s="33" t="s">
        <v>891</v>
      </c>
      <c r="J486" s="44">
        <v>44775</v>
      </c>
      <c r="K486" s="92" t="s">
        <v>1029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1383</v>
      </c>
      <c r="C487" s="33" t="s">
        <v>1026</v>
      </c>
      <c r="D487" s="33" t="s">
        <v>1027</v>
      </c>
      <c r="E487" s="90">
        <v>467689.84</v>
      </c>
      <c r="F487" s="33" t="s">
        <v>1384</v>
      </c>
      <c r="G487" s="44" t="s">
        <v>829</v>
      </c>
      <c r="H487" s="44" t="s">
        <v>86</v>
      </c>
      <c r="I487" s="44" t="s">
        <v>877</v>
      </c>
      <c r="J487" s="44">
        <v>43859</v>
      </c>
      <c r="K487" s="91" t="s">
        <v>1053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1273</v>
      </c>
      <c r="C488" s="33" t="s">
        <v>47</v>
      </c>
      <c r="D488" s="33" t="s">
        <v>1027</v>
      </c>
      <c r="E488" s="90">
        <v>0</v>
      </c>
      <c r="F488" s="33" t="s">
        <v>1274</v>
      </c>
      <c r="G488" s="33" t="s">
        <v>903</v>
      </c>
      <c r="H488" s="33" t="s">
        <v>86</v>
      </c>
      <c r="I488" s="33" t="s">
        <v>848</v>
      </c>
      <c r="J488" s="44">
        <v>44228</v>
      </c>
      <c r="K488" s="92" t="s">
        <v>1121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1407</v>
      </c>
      <c r="C489" s="46" t="s">
        <v>47</v>
      </c>
      <c r="D489" s="33" t="s">
        <v>1036</v>
      </c>
      <c r="E489" s="90">
        <v>387869.72</v>
      </c>
      <c r="F489" s="33" t="s">
        <v>1408</v>
      </c>
      <c r="G489" s="33" t="s">
        <v>829</v>
      </c>
      <c r="H489" s="33" t="s">
        <v>86</v>
      </c>
      <c r="I489" s="33" t="s">
        <v>829</v>
      </c>
      <c r="J489" s="44">
        <v>44195</v>
      </c>
      <c r="K489" s="92" t="s">
        <v>1053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1239</v>
      </c>
      <c r="C490" s="46" t="s">
        <v>47</v>
      </c>
      <c r="D490" s="33" t="s">
        <v>1036</v>
      </c>
      <c r="E490" s="90">
        <v>169129.47</v>
      </c>
      <c r="F490" s="33" t="s">
        <v>1240</v>
      </c>
      <c r="G490" s="33" t="s">
        <v>903</v>
      </c>
      <c r="H490" s="33" t="s">
        <v>86</v>
      </c>
      <c r="I490" s="33" t="s">
        <v>934</v>
      </c>
      <c r="J490" s="44">
        <v>44180</v>
      </c>
      <c r="K490" s="92" t="s">
        <v>1040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1409</v>
      </c>
      <c r="C491" s="46" t="s">
        <v>47</v>
      </c>
      <c r="D491" s="33" t="s">
        <v>1036</v>
      </c>
      <c r="E491" s="90">
        <v>300000</v>
      </c>
      <c r="F491" s="33" t="s">
        <v>1410</v>
      </c>
      <c r="G491" s="33" t="s">
        <v>903</v>
      </c>
      <c r="H491" s="33" t="s">
        <v>86</v>
      </c>
      <c r="I491" s="33" t="s">
        <v>964</v>
      </c>
      <c r="J491" s="44">
        <v>44397</v>
      </c>
      <c r="K491" s="92" t="s">
        <v>1053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1051</v>
      </c>
      <c r="C492" s="46" t="s">
        <v>1026</v>
      </c>
      <c r="D492" s="33" t="s">
        <v>1036</v>
      </c>
      <c r="E492" s="90">
        <v>15000</v>
      </c>
      <c r="F492" s="33" t="s">
        <v>1052</v>
      </c>
      <c r="G492" s="44" t="s">
        <v>829</v>
      </c>
      <c r="H492" s="44" t="s">
        <v>86</v>
      </c>
      <c r="I492" s="44" t="s">
        <v>877</v>
      </c>
      <c r="J492" s="44">
        <v>43605</v>
      </c>
      <c r="K492" s="91" t="s">
        <v>1053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1303</v>
      </c>
      <c r="C493" s="46" t="s">
        <v>1026</v>
      </c>
      <c r="D493" s="33" t="s">
        <v>1036</v>
      </c>
      <c r="E493" s="90">
        <v>36000</v>
      </c>
      <c r="F493" s="33" t="s">
        <v>1304</v>
      </c>
      <c r="G493" s="44" t="s">
        <v>834</v>
      </c>
      <c r="H493" s="44" t="s">
        <v>1175</v>
      </c>
      <c r="I493" s="44" t="s">
        <v>970</v>
      </c>
      <c r="J493" s="44">
        <v>44322</v>
      </c>
      <c r="K493" s="91" t="s">
        <v>1040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1411</v>
      </c>
      <c r="C494" s="33" t="s">
        <v>47</v>
      </c>
      <c r="D494" s="33" t="s">
        <v>1027</v>
      </c>
      <c r="E494" s="90">
        <v>0</v>
      </c>
      <c r="F494" s="33" t="s">
        <v>1412</v>
      </c>
      <c r="G494" s="33" t="s">
        <v>903</v>
      </c>
      <c r="H494" s="33" t="s">
        <v>86</v>
      </c>
      <c r="I494" s="33" t="s">
        <v>879</v>
      </c>
      <c r="J494" s="44">
        <v>44078</v>
      </c>
      <c r="K494" s="92" t="s">
        <v>1121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1083</v>
      </c>
      <c r="C495" s="46" t="s">
        <v>1026</v>
      </c>
      <c r="D495" s="33" t="s">
        <v>1036</v>
      </c>
      <c r="E495" s="90">
        <v>29127.62</v>
      </c>
      <c r="F495" s="33" t="s">
        <v>1084</v>
      </c>
      <c r="G495" s="44" t="s">
        <v>829</v>
      </c>
      <c r="H495" s="44" t="s">
        <v>86</v>
      </c>
      <c r="I495" s="44" t="s">
        <v>877</v>
      </c>
      <c r="J495" s="44">
        <v>43894</v>
      </c>
      <c r="K495" s="91" t="s">
        <v>1053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1413</v>
      </c>
      <c r="C496" s="46" t="s">
        <v>1026</v>
      </c>
      <c r="D496" s="33" t="s">
        <v>1036</v>
      </c>
      <c r="E496" s="90">
        <v>4000</v>
      </c>
      <c r="F496" s="33" t="s">
        <v>1414</v>
      </c>
      <c r="G496" s="44" t="s">
        <v>834</v>
      </c>
      <c r="H496" s="44" t="s">
        <v>1175</v>
      </c>
      <c r="I496" s="44" t="s">
        <v>970</v>
      </c>
      <c r="J496" s="44">
        <v>44291</v>
      </c>
      <c r="K496" s="91" t="s">
        <v>1040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1409</v>
      </c>
      <c r="C497" s="46" t="s">
        <v>47</v>
      </c>
      <c r="D497" s="33" t="s">
        <v>1061</v>
      </c>
      <c r="E497" s="90">
        <v>83704.06</v>
      </c>
      <c r="F497" s="33" t="s">
        <v>1415</v>
      </c>
      <c r="G497" s="33" t="s">
        <v>903</v>
      </c>
      <c r="H497" s="33" t="s">
        <v>86</v>
      </c>
      <c r="I497" s="33" t="s">
        <v>964</v>
      </c>
      <c r="J497" s="44">
        <v>44397</v>
      </c>
      <c r="K497" s="92" t="s">
        <v>1053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1416</v>
      </c>
      <c r="C498" s="46" t="s">
        <v>47</v>
      </c>
      <c r="D498" s="33" t="s">
        <v>1061</v>
      </c>
      <c r="E498" s="90">
        <v>5000</v>
      </c>
      <c r="F498" s="33" t="s">
        <v>1417</v>
      </c>
      <c r="G498" s="33" t="s">
        <v>834</v>
      </c>
      <c r="H498" s="33" t="s">
        <v>86</v>
      </c>
      <c r="I498" s="33" t="s">
        <v>915</v>
      </c>
      <c r="J498" s="44">
        <v>44305</v>
      </c>
      <c r="K498" s="92" t="s">
        <v>1029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1418</v>
      </c>
      <c r="C499" s="33" t="s">
        <v>1026</v>
      </c>
      <c r="D499" s="33" t="s">
        <v>1027</v>
      </c>
      <c r="E499" s="90">
        <v>110571.37</v>
      </c>
      <c r="F499" s="33" t="s">
        <v>1419</v>
      </c>
      <c r="G499" s="44" t="s">
        <v>976</v>
      </c>
      <c r="H499" s="44" t="s">
        <v>86</v>
      </c>
      <c r="I499" s="44" t="s">
        <v>976</v>
      </c>
      <c r="J499" s="44">
        <v>43990</v>
      </c>
      <c r="K499" s="91" t="s">
        <v>1029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1420</v>
      </c>
      <c r="C500" s="33" t="s">
        <v>47</v>
      </c>
      <c r="D500" s="33" t="s">
        <v>1027</v>
      </c>
      <c r="E500" s="90">
        <v>0</v>
      </c>
      <c r="F500" s="33" t="s">
        <v>1421</v>
      </c>
      <c r="G500" s="33" t="s">
        <v>834</v>
      </c>
      <c r="H500" s="33" t="s">
        <v>86</v>
      </c>
      <c r="I500" s="33" t="s">
        <v>838</v>
      </c>
      <c r="J500" s="44">
        <v>44148</v>
      </c>
      <c r="K500" s="92" t="s">
        <v>1040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1367</v>
      </c>
      <c r="C501" s="46" t="s">
        <v>1026</v>
      </c>
      <c r="D501" s="33" t="s">
        <v>1036</v>
      </c>
      <c r="E501" s="90">
        <v>3000</v>
      </c>
      <c r="F501" s="33" t="s">
        <v>1368</v>
      </c>
      <c r="G501" s="44" t="s">
        <v>834</v>
      </c>
      <c r="H501" s="44" t="s">
        <v>1175</v>
      </c>
      <c r="I501" s="44" t="s">
        <v>970</v>
      </c>
      <c r="J501" s="44">
        <v>44321</v>
      </c>
      <c r="K501" s="91" t="s">
        <v>1053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1303</v>
      </c>
      <c r="C502" s="46" t="s">
        <v>1026</v>
      </c>
      <c r="D502" s="33" t="s">
        <v>1036</v>
      </c>
      <c r="E502" s="90">
        <v>9000</v>
      </c>
      <c r="F502" s="33" t="s">
        <v>1304</v>
      </c>
      <c r="G502" s="44" t="s">
        <v>834</v>
      </c>
      <c r="H502" s="44" t="s">
        <v>1175</v>
      </c>
      <c r="I502" s="44" t="s">
        <v>970</v>
      </c>
      <c r="J502" s="44">
        <v>44322</v>
      </c>
      <c r="K502" s="91" t="s">
        <v>1040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1422</v>
      </c>
      <c r="C503" s="46" t="s">
        <v>47</v>
      </c>
      <c r="D503" s="33" t="s">
        <v>1036</v>
      </c>
      <c r="E503" s="90">
        <v>10000</v>
      </c>
      <c r="F503" s="33" t="s">
        <v>1423</v>
      </c>
      <c r="G503" s="33" t="s">
        <v>834</v>
      </c>
      <c r="H503" s="33" t="s">
        <v>86</v>
      </c>
      <c r="I503" s="33" t="s">
        <v>838</v>
      </c>
      <c r="J503" s="44">
        <v>44133</v>
      </c>
      <c r="K503" s="92" t="s">
        <v>1053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1424</v>
      </c>
      <c r="C504" s="46" t="s">
        <v>47</v>
      </c>
      <c r="D504" s="33" t="s">
        <v>1061</v>
      </c>
      <c r="E504" s="90">
        <v>117509.41</v>
      </c>
      <c r="F504" s="33" t="s">
        <v>1425</v>
      </c>
      <c r="G504" s="33" t="s">
        <v>829</v>
      </c>
      <c r="H504" s="33" t="s">
        <v>86</v>
      </c>
      <c r="I504" s="33" t="s">
        <v>829</v>
      </c>
      <c r="J504" s="44">
        <v>44368</v>
      </c>
      <c r="K504" s="92" t="s">
        <v>1040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1426</v>
      </c>
      <c r="C505" s="33" t="s">
        <v>47</v>
      </c>
      <c r="D505" s="33" t="s">
        <v>1027</v>
      </c>
      <c r="E505" s="90">
        <v>0</v>
      </c>
      <c r="F505" s="33" t="s">
        <v>1427</v>
      </c>
      <c r="G505" s="33" t="s">
        <v>834</v>
      </c>
      <c r="H505" s="33" t="s">
        <v>86</v>
      </c>
      <c r="I505" s="33" t="s">
        <v>838</v>
      </c>
      <c r="J505" s="44">
        <v>44196</v>
      </c>
      <c r="K505" s="92" t="s">
        <v>1178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1047</v>
      </c>
      <c r="C506" s="46" t="s">
        <v>1026</v>
      </c>
      <c r="D506" s="33" t="s">
        <v>1036</v>
      </c>
      <c r="E506" s="90">
        <v>70000</v>
      </c>
      <c r="F506" s="33" t="s">
        <v>1048</v>
      </c>
      <c r="G506" s="44" t="s">
        <v>829</v>
      </c>
      <c r="H506" s="44" t="s">
        <v>86</v>
      </c>
      <c r="I506" s="44" t="s">
        <v>877</v>
      </c>
      <c r="J506" s="44">
        <v>43703</v>
      </c>
      <c r="K506" s="91" t="s">
        <v>1032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1296</v>
      </c>
      <c r="C507" s="46" t="s">
        <v>47</v>
      </c>
      <c r="D507" s="33" t="s">
        <v>1061</v>
      </c>
      <c r="E507" s="90">
        <v>56000</v>
      </c>
      <c r="F507" s="33" t="s">
        <v>1297</v>
      </c>
      <c r="G507" s="33" t="s">
        <v>834</v>
      </c>
      <c r="H507" s="33" t="s">
        <v>1298</v>
      </c>
      <c r="I507" s="33" t="s">
        <v>885</v>
      </c>
      <c r="J507" s="44">
        <v>44291</v>
      </c>
      <c r="K507" s="92" t="s">
        <v>1029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1428</v>
      </c>
      <c r="C508" s="46" t="s">
        <v>1026</v>
      </c>
      <c r="D508" s="33" t="s">
        <v>1036</v>
      </c>
      <c r="E508" s="90">
        <v>86000</v>
      </c>
      <c r="F508" s="33" t="s">
        <v>1429</v>
      </c>
      <c r="G508" s="44" t="s">
        <v>834</v>
      </c>
      <c r="H508" s="44" t="s">
        <v>1175</v>
      </c>
      <c r="I508" s="44" t="s">
        <v>974</v>
      </c>
      <c r="J508" s="44">
        <v>44267</v>
      </c>
      <c r="K508" s="91" t="s">
        <v>1040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1083</v>
      </c>
      <c r="C509" s="46" t="s">
        <v>1026</v>
      </c>
      <c r="D509" s="33" t="s">
        <v>1036</v>
      </c>
      <c r="E509" s="90">
        <v>1000</v>
      </c>
      <c r="F509" s="33" t="s">
        <v>1084</v>
      </c>
      <c r="G509" s="44" t="s">
        <v>829</v>
      </c>
      <c r="H509" s="44" t="s">
        <v>86</v>
      </c>
      <c r="I509" s="44" t="s">
        <v>877</v>
      </c>
      <c r="J509" s="44">
        <v>43894</v>
      </c>
      <c r="K509" s="91" t="s">
        <v>1053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1196</v>
      </c>
      <c r="C510" s="46" t="s">
        <v>47</v>
      </c>
      <c r="D510" s="33" t="s">
        <v>1036</v>
      </c>
      <c r="E510" s="90">
        <v>10000</v>
      </c>
      <c r="F510" s="33" t="s">
        <v>1197</v>
      </c>
      <c r="G510" s="33" t="s">
        <v>834</v>
      </c>
      <c r="H510" s="33" t="s">
        <v>86</v>
      </c>
      <c r="I510" s="33" t="s">
        <v>996</v>
      </c>
      <c r="J510" s="44">
        <v>44089</v>
      </c>
      <c r="K510" s="92" t="s">
        <v>1178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1307</v>
      </c>
      <c r="C511" s="46" t="s">
        <v>1026</v>
      </c>
      <c r="D511" s="33" t="s">
        <v>1036</v>
      </c>
      <c r="E511" s="90">
        <v>15000</v>
      </c>
      <c r="F511" s="33" t="s">
        <v>1308</v>
      </c>
      <c r="G511" s="44" t="s">
        <v>834</v>
      </c>
      <c r="H511" s="44" t="s">
        <v>1175</v>
      </c>
      <c r="I511" s="44" t="s">
        <v>970</v>
      </c>
      <c r="J511" s="44">
        <v>44319</v>
      </c>
      <c r="K511" s="91" t="s">
        <v>1040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1430</v>
      </c>
      <c r="C512" s="46" t="s">
        <v>1026</v>
      </c>
      <c r="D512" s="33" t="s">
        <v>1061</v>
      </c>
      <c r="E512" s="90">
        <v>50000</v>
      </c>
      <c r="F512" s="33" t="s">
        <v>1431</v>
      </c>
      <c r="G512" s="44" t="s">
        <v>834</v>
      </c>
      <c r="H512" s="44" t="s">
        <v>1175</v>
      </c>
      <c r="I512" s="44" t="s">
        <v>970</v>
      </c>
      <c r="J512" s="44">
        <v>44279</v>
      </c>
      <c r="K512" s="91" t="s">
        <v>1040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1315</v>
      </c>
      <c r="C513" s="46" t="s">
        <v>1026</v>
      </c>
      <c r="D513" s="33" t="s">
        <v>1036</v>
      </c>
      <c r="E513" s="90">
        <v>150000</v>
      </c>
      <c r="F513" s="33" t="s">
        <v>1316</v>
      </c>
      <c r="G513" s="44" t="s">
        <v>834</v>
      </c>
      <c r="H513" s="44" t="s">
        <v>1175</v>
      </c>
      <c r="I513" s="44" t="s">
        <v>972</v>
      </c>
      <c r="J513" s="44">
        <v>44328</v>
      </c>
      <c r="K513" s="91" t="s">
        <v>1040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1200</v>
      </c>
      <c r="C514" s="46" t="s">
        <v>47</v>
      </c>
      <c r="D514" s="33" t="s">
        <v>1036</v>
      </c>
      <c r="E514" s="90">
        <v>130000</v>
      </c>
      <c r="F514" s="33" t="s">
        <v>1201</v>
      </c>
      <c r="G514" s="33" t="s">
        <v>829</v>
      </c>
      <c r="H514" s="33" t="s">
        <v>86</v>
      </c>
      <c r="I514" s="33" t="s">
        <v>829</v>
      </c>
      <c r="J514" s="44">
        <v>44180</v>
      </c>
      <c r="K514" s="92" t="s">
        <v>1040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1200</v>
      </c>
      <c r="C515" s="46" t="s">
        <v>47</v>
      </c>
      <c r="D515" s="33" t="s">
        <v>1036</v>
      </c>
      <c r="E515" s="90">
        <v>43000</v>
      </c>
      <c r="F515" s="33" t="s">
        <v>1201</v>
      </c>
      <c r="G515" s="33" t="s">
        <v>829</v>
      </c>
      <c r="H515" s="33" t="s">
        <v>86</v>
      </c>
      <c r="I515" s="33" t="s">
        <v>829</v>
      </c>
      <c r="J515" s="44">
        <v>44180</v>
      </c>
      <c r="K515" s="92" t="s">
        <v>1040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1083</v>
      </c>
      <c r="C516" s="46" t="s">
        <v>1026</v>
      </c>
      <c r="D516" s="33" t="s">
        <v>1036</v>
      </c>
      <c r="E516" s="90">
        <v>40000</v>
      </c>
      <c r="F516" s="33" t="s">
        <v>1084</v>
      </c>
      <c r="G516" s="44" t="s">
        <v>829</v>
      </c>
      <c r="H516" s="44" t="s">
        <v>86</v>
      </c>
      <c r="I516" s="44" t="s">
        <v>877</v>
      </c>
      <c r="J516" s="44">
        <v>43894</v>
      </c>
      <c r="K516" s="91" t="s">
        <v>1053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1051</v>
      </c>
      <c r="C517" s="46" t="s">
        <v>1026</v>
      </c>
      <c r="D517" s="33" t="s">
        <v>1036</v>
      </c>
      <c r="E517" s="90">
        <v>75000</v>
      </c>
      <c r="F517" s="33" t="s">
        <v>1052</v>
      </c>
      <c r="G517" s="44" t="s">
        <v>829</v>
      </c>
      <c r="H517" s="44" t="s">
        <v>86</v>
      </c>
      <c r="I517" s="44" t="s">
        <v>877</v>
      </c>
      <c r="J517" s="44">
        <v>43605</v>
      </c>
      <c r="K517" s="91" t="s">
        <v>1053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1239</v>
      </c>
      <c r="C518" s="46" t="s">
        <v>47</v>
      </c>
      <c r="D518" s="33" t="s">
        <v>1036</v>
      </c>
      <c r="E518" s="90">
        <v>3000</v>
      </c>
      <c r="F518" s="33" t="s">
        <v>1240</v>
      </c>
      <c r="G518" s="33" t="s">
        <v>903</v>
      </c>
      <c r="H518" s="33" t="s">
        <v>86</v>
      </c>
      <c r="I518" s="33" t="s">
        <v>934</v>
      </c>
      <c r="J518" s="44">
        <v>44180</v>
      </c>
      <c r="K518" s="92" t="s">
        <v>1040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1303</v>
      </c>
      <c r="C519" s="46" t="s">
        <v>1026</v>
      </c>
      <c r="D519" s="33" t="s">
        <v>1036</v>
      </c>
      <c r="E519" s="90">
        <v>2000</v>
      </c>
      <c r="F519" s="33" t="s">
        <v>1304</v>
      </c>
      <c r="G519" s="44" t="s">
        <v>834</v>
      </c>
      <c r="H519" s="44" t="s">
        <v>1175</v>
      </c>
      <c r="I519" s="44" t="s">
        <v>970</v>
      </c>
      <c r="J519" s="44">
        <v>44322</v>
      </c>
      <c r="K519" s="91" t="s">
        <v>1040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1228</v>
      </c>
      <c r="C520" s="33" t="s">
        <v>1026</v>
      </c>
      <c r="D520" s="33" t="s">
        <v>1027</v>
      </c>
      <c r="E520" s="90">
        <v>104633.35</v>
      </c>
      <c r="F520" s="33" t="s">
        <v>1229</v>
      </c>
      <c r="G520" s="44" t="s">
        <v>834</v>
      </c>
      <c r="H520" s="44" t="s">
        <v>1175</v>
      </c>
      <c r="I520" s="44" t="s">
        <v>974</v>
      </c>
      <c r="J520" s="44">
        <v>44273</v>
      </c>
      <c r="K520" s="91" t="s">
        <v>1040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1422</v>
      </c>
      <c r="C521" s="33" t="s">
        <v>47</v>
      </c>
      <c r="D521" s="33" t="s">
        <v>1027</v>
      </c>
      <c r="E521" s="90">
        <v>0</v>
      </c>
      <c r="F521" s="33" t="s">
        <v>1423</v>
      </c>
      <c r="G521" s="33" t="s">
        <v>834</v>
      </c>
      <c r="H521" s="33" t="s">
        <v>86</v>
      </c>
      <c r="I521" s="33" t="s">
        <v>838</v>
      </c>
      <c r="J521" s="44">
        <v>44133</v>
      </c>
      <c r="K521" s="92" t="s">
        <v>1053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1432</v>
      </c>
      <c r="C522" s="46" t="s">
        <v>1026</v>
      </c>
      <c r="D522" s="33" t="s">
        <v>1036</v>
      </c>
      <c r="E522" s="90">
        <v>50000</v>
      </c>
      <c r="F522" s="33" t="s">
        <v>1433</v>
      </c>
      <c r="G522" s="44" t="s">
        <v>834</v>
      </c>
      <c r="H522" s="44" t="s">
        <v>1175</v>
      </c>
      <c r="I522" s="44" t="s">
        <v>972</v>
      </c>
      <c r="J522" s="44">
        <v>44340</v>
      </c>
      <c r="K522" s="91" t="s">
        <v>1053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1434</v>
      </c>
      <c r="C523" s="33" t="s">
        <v>1026</v>
      </c>
      <c r="D523" s="33" t="s">
        <v>1027</v>
      </c>
      <c r="E523" s="90">
        <v>397214.14</v>
      </c>
      <c r="F523" s="33" t="s">
        <v>1435</v>
      </c>
      <c r="G523" s="44" t="s">
        <v>829</v>
      </c>
      <c r="H523" s="44" t="s">
        <v>86</v>
      </c>
      <c r="I523" s="44" t="s">
        <v>968</v>
      </c>
      <c r="J523" s="44">
        <v>43539</v>
      </c>
      <c r="K523" s="91" t="s">
        <v>1040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1436</v>
      </c>
      <c r="C524" s="33" t="s">
        <v>1026</v>
      </c>
      <c r="D524" s="33" t="s">
        <v>1027</v>
      </c>
      <c r="E524" s="90">
        <v>40150.79</v>
      </c>
      <c r="F524" s="33" t="s">
        <v>1435</v>
      </c>
      <c r="G524" s="44" t="s">
        <v>829</v>
      </c>
      <c r="H524" s="44" t="s">
        <v>86</v>
      </c>
      <c r="I524" s="44" t="s">
        <v>968</v>
      </c>
      <c r="J524" s="44">
        <v>44397</v>
      </c>
      <c r="K524" s="91" t="s">
        <v>1437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1369</v>
      </c>
      <c r="C525" s="46" t="s">
        <v>1026</v>
      </c>
      <c r="D525" s="33" t="s">
        <v>1036</v>
      </c>
      <c r="E525" s="90">
        <v>20000</v>
      </c>
      <c r="F525" s="33" t="s">
        <v>1370</v>
      </c>
      <c r="G525" s="44" t="s">
        <v>834</v>
      </c>
      <c r="H525" s="44" t="s">
        <v>1175</v>
      </c>
      <c r="I525" s="44" t="s">
        <v>972</v>
      </c>
      <c r="J525" s="44">
        <v>44319</v>
      </c>
      <c r="K525" s="91" t="s">
        <v>1040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1397</v>
      </c>
      <c r="C526" s="46" t="s">
        <v>1026</v>
      </c>
      <c r="D526" s="33" t="s">
        <v>1036</v>
      </c>
      <c r="E526" s="90">
        <v>130000</v>
      </c>
      <c r="F526" s="33" t="s">
        <v>1398</v>
      </c>
      <c r="G526" s="44" t="s">
        <v>834</v>
      </c>
      <c r="H526" s="44" t="s">
        <v>1175</v>
      </c>
      <c r="I526" s="44" t="s">
        <v>972</v>
      </c>
      <c r="J526" s="44">
        <v>44280</v>
      </c>
      <c r="K526" s="91" t="s">
        <v>1040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1173</v>
      </c>
      <c r="C527" s="46" t="s">
        <v>1026</v>
      </c>
      <c r="D527" s="33" t="s">
        <v>1036</v>
      </c>
      <c r="E527" s="90">
        <v>20000</v>
      </c>
      <c r="F527" s="33" t="s">
        <v>1174</v>
      </c>
      <c r="G527" s="44" t="s">
        <v>834</v>
      </c>
      <c r="H527" s="44" t="s">
        <v>1175</v>
      </c>
      <c r="I527" s="44" t="s">
        <v>972</v>
      </c>
      <c r="J527" s="44">
        <v>44321</v>
      </c>
      <c r="K527" s="91" t="s">
        <v>1040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1092</v>
      </c>
      <c r="C528" s="46" t="s">
        <v>1026</v>
      </c>
      <c r="D528" s="33" t="s">
        <v>1036</v>
      </c>
      <c r="E528" s="90">
        <v>300000</v>
      </c>
      <c r="F528" s="33" t="s">
        <v>1093</v>
      </c>
      <c r="G528" s="44" t="s">
        <v>829</v>
      </c>
      <c r="H528" s="44" t="s">
        <v>86</v>
      </c>
      <c r="I528" s="44" t="s">
        <v>877</v>
      </c>
      <c r="J528" s="44">
        <v>43564</v>
      </c>
      <c r="K528" s="91" t="s">
        <v>1029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1182</v>
      </c>
      <c r="C529" s="46" t="s">
        <v>47</v>
      </c>
      <c r="D529" s="33" t="s">
        <v>1036</v>
      </c>
      <c r="E529" s="90">
        <v>25000</v>
      </c>
      <c r="F529" s="33" t="s">
        <v>1183</v>
      </c>
      <c r="G529" s="33" t="s">
        <v>903</v>
      </c>
      <c r="H529" s="33" t="s">
        <v>86</v>
      </c>
      <c r="I529" s="33" t="s">
        <v>911</v>
      </c>
      <c r="J529" s="44">
        <v>44263</v>
      </c>
      <c r="K529" s="92" t="s">
        <v>1040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1051</v>
      </c>
      <c r="C530" s="46" t="s">
        <v>1026</v>
      </c>
      <c r="D530" s="33" t="s">
        <v>1036</v>
      </c>
      <c r="E530" s="90">
        <v>17000</v>
      </c>
      <c r="F530" s="33" t="s">
        <v>1052</v>
      </c>
      <c r="G530" s="44" t="s">
        <v>829</v>
      </c>
      <c r="H530" s="44" t="s">
        <v>86</v>
      </c>
      <c r="I530" s="44" t="s">
        <v>877</v>
      </c>
      <c r="J530" s="44">
        <v>43605</v>
      </c>
      <c r="K530" s="91" t="s">
        <v>1053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1438</v>
      </c>
      <c r="C531" s="33" t="s">
        <v>47</v>
      </c>
      <c r="D531" s="33" t="s">
        <v>1027</v>
      </c>
      <c r="E531" s="90">
        <v>0</v>
      </c>
      <c r="F531" s="33" t="s">
        <v>1439</v>
      </c>
      <c r="G531" s="33" t="s">
        <v>834</v>
      </c>
      <c r="H531" s="33" t="s">
        <v>86</v>
      </c>
      <c r="I531" s="33" t="s">
        <v>838</v>
      </c>
      <c r="J531" s="44">
        <v>44245</v>
      </c>
      <c r="K531" s="92" t="s">
        <v>1040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1440</v>
      </c>
      <c r="C532" s="46" t="s">
        <v>47</v>
      </c>
      <c r="D532" s="33" t="s">
        <v>1036</v>
      </c>
      <c r="E532" s="90">
        <v>150000</v>
      </c>
      <c r="F532" s="33" t="s">
        <v>1441</v>
      </c>
      <c r="G532" s="33" t="s">
        <v>834</v>
      </c>
      <c r="H532" s="33" t="s">
        <v>86</v>
      </c>
      <c r="I532" s="33" t="s">
        <v>838</v>
      </c>
      <c r="J532" s="44">
        <v>44326</v>
      </c>
      <c r="K532" s="92" t="s">
        <v>1178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1442</v>
      </c>
      <c r="C533" s="46" t="s">
        <v>47</v>
      </c>
      <c r="D533" s="33" t="s">
        <v>1036</v>
      </c>
      <c r="E533" s="90">
        <v>84278.97</v>
      </c>
      <c r="F533" s="33" t="s">
        <v>1443</v>
      </c>
      <c r="G533" s="33" t="s">
        <v>829</v>
      </c>
      <c r="H533" s="33" t="s">
        <v>86</v>
      </c>
      <c r="I533" s="33" t="s">
        <v>829</v>
      </c>
      <c r="J533" s="44">
        <v>44355</v>
      </c>
      <c r="K533" s="92" t="s">
        <v>1053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1344</v>
      </c>
      <c r="C534" s="46" t="s">
        <v>1026</v>
      </c>
      <c r="D534" s="33" t="s">
        <v>1036</v>
      </c>
      <c r="E534" s="90">
        <v>130000</v>
      </c>
      <c r="F534" s="33" t="s">
        <v>1345</v>
      </c>
      <c r="G534" s="44" t="s">
        <v>834</v>
      </c>
      <c r="H534" s="44" t="s">
        <v>1175</v>
      </c>
      <c r="I534" s="44" t="s">
        <v>972</v>
      </c>
      <c r="J534" s="44">
        <v>44313</v>
      </c>
      <c r="K534" s="91" t="s">
        <v>1040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1444</v>
      </c>
      <c r="C535" s="33" t="s">
        <v>47</v>
      </c>
      <c r="D535" s="33" t="s">
        <v>1027</v>
      </c>
      <c r="E535" s="90">
        <v>0</v>
      </c>
      <c r="F535" s="33" t="s">
        <v>1445</v>
      </c>
      <c r="G535" s="33" t="s">
        <v>834</v>
      </c>
      <c r="H535" s="33" t="s">
        <v>86</v>
      </c>
      <c r="I535" s="33" t="s">
        <v>838</v>
      </c>
      <c r="J535" s="44">
        <v>44085</v>
      </c>
      <c r="K535" s="92" t="s">
        <v>1178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1446</v>
      </c>
      <c r="C536" s="33" t="s">
        <v>47</v>
      </c>
      <c r="D536" s="33" t="s">
        <v>1027</v>
      </c>
      <c r="E536" s="90">
        <v>0</v>
      </c>
      <c r="F536" s="33" t="s">
        <v>1447</v>
      </c>
      <c r="G536" s="33" t="s">
        <v>834</v>
      </c>
      <c r="H536" s="33" t="s">
        <v>86</v>
      </c>
      <c r="I536" s="33" t="s">
        <v>838</v>
      </c>
      <c r="J536" s="44">
        <v>44147</v>
      </c>
      <c r="K536" s="92" t="s">
        <v>1053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1305</v>
      </c>
      <c r="C537" s="46" t="s">
        <v>1026</v>
      </c>
      <c r="D537" s="33" t="s">
        <v>1036</v>
      </c>
      <c r="E537" s="90">
        <v>20000</v>
      </c>
      <c r="F537" s="33" t="s">
        <v>1306</v>
      </c>
      <c r="G537" s="44" t="s">
        <v>834</v>
      </c>
      <c r="H537" s="44" t="s">
        <v>1175</v>
      </c>
      <c r="I537" s="44" t="s">
        <v>974</v>
      </c>
      <c r="J537" s="44">
        <v>44266</v>
      </c>
      <c r="K537" s="91" t="s">
        <v>1053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1448</v>
      </c>
      <c r="C538" s="33" t="s">
        <v>47</v>
      </c>
      <c r="D538" s="33" t="s">
        <v>1027</v>
      </c>
      <c r="E538" s="90">
        <v>0</v>
      </c>
      <c r="F538" s="33" t="s">
        <v>1449</v>
      </c>
      <c r="G538" s="33" t="s">
        <v>834</v>
      </c>
      <c r="H538" s="33" t="s">
        <v>86</v>
      </c>
      <c r="I538" s="33" t="s">
        <v>1450</v>
      </c>
      <c r="J538" s="44">
        <v>44096</v>
      </c>
      <c r="K538" s="92" t="s">
        <v>1040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1451</v>
      </c>
      <c r="C539" s="46" t="s">
        <v>1026</v>
      </c>
      <c r="D539" s="33" t="s">
        <v>1036</v>
      </c>
      <c r="E539" s="90">
        <v>300000</v>
      </c>
      <c r="F539" s="33" t="s">
        <v>1452</v>
      </c>
      <c r="G539" s="44" t="s">
        <v>976</v>
      </c>
      <c r="H539" s="44" t="s">
        <v>86</v>
      </c>
      <c r="I539" s="44" t="s">
        <v>976</v>
      </c>
      <c r="J539" s="44">
        <v>44021</v>
      </c>
      <c r="K539" s="91" t="s">
        <v>1040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1275</v>
      </c>
      <c r="C540" s="46" t="s">
        <v>1026</v>
      </c>
      <c r="D540" s="33" t="s">
        <v>1036</v>
      </c>
      <c r="E540" s="90">
        <v>25000</v>
      </c>
      <c r="F540" s="33" t="s">
        <v>1276</v>
      </c>
      <c r="G540" s="44" t="s">
        <v>834</v>
      </c>
      <c r="H540" s="44" t="s">
        <v>1175</v>
      </c>
      <c r="I540" s="44" t="s">
        <v>970</v>
      </c>
      <c r="J540" s="44">
        <v>44279</v>
      </c>
      <c r="K540" s="91" t="s">
        <v>1040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1453</v>
      </c>
      <c r="C541" s="33" t="s">
        <v>1026</v>
      </c>
      <c r="D541" s="33" t="s">
        <v>1027</v>
      </c>
      <c r="E541" s="90">
        <v>130029.24</v>
      </c>
      <c r="F541" s="33" t="s">
        <v>1454</v>
      </c>
      <c r="G541" s="44" t="s">
        <v>976</v>
      </c>
      <c r="H541" s="44" t="s">
        <v>86</v>
      </c>
      <c r="I541" s="44" t="s">
        <v>976</v>
      </c>
      <c r="J541" s="44">
        <v>43441</v>
      </c>
      <c r="K541" s="91" t="s">
        <v>1029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1090</v>
      </c>
      <c r="C542" s="33" t="s">
        <v>1026</v>
      </c>
      <c r="D542" s="33" t="s">
        <v>1027</v>
      </c>
      <c r="E542" s="90">
        <v>555581.43999999994</v>
      </c>
      <c r="F542" s="33" t="s">
        <v>1091</v>
      </c>
      <c r="G542" s="44" t="s">
        <v>829</v>
      </c>
      <c r="H542" s="44" t="s">
        <v>86</v>
      </c>
      <c r="I542" s="44" t="s">
        <v>968</v>
      </c>
      <c r="J542" s="44">
        <v>43607</v>
      </c>
      <c r="K542" s="91" t="s">
        <v>1032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1455</v>
      </c>
      <c r="C543" s="46" t="s">
        <v>1026</v>
      </c>
      <c r="D543" s="33" t="s">
        <v>1036</v>
      </c>
      <c r="E543" s="90">
        <v>17000</v>
      </c>
      <c r="F543" s="33" t="s">
        <v>1456</v>
      </c>
      <c r="G543" s="44" t="s">
        <v>834</v>
      </c>
      <c r="H543" s="44" t="s">
        <v>1175</v>
      </c>
      <c r="I543" s="44" t="s">
        <v>972</v>
      </c>
      <c r="J543" s="44">
        <v>44263</v>
      </c>
      <c r="K543" s="91" t="s">
        <v>1053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1457</v>
      </c>
      <c r="C544" s="46" t="s">
        <v>1026</v>
      </c>
      <c r="D544" s="33" t="s">
        <v>1036</v>
      </c>
      <c r="E544" s="90">
        <v>2502500.1</v>
      </c>
      <c r="F544" s="33" t="s">
        <v>1458</v>
      </c>
      <c r="G544" s="44" t="s">
        <v>834</v>
      </c>
      <c r="H544" s="44" t="s">
        <v>1175</v>
      </c>
      <c r="I544" s="44" t="s">
        <v>972</v>
      </c>
      <c r="J544" s="44">
        <v>44266</v>
      </c>
      <c r="K544" s="91" t="s">
        <v>1121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1459</v>
      </c>
      <c r="C545" s="46" t="s">
        <v>47</v>
      </c>
      <c r="D545" s="33" t="s">
        <v>1061</v>
      </c>
      <c r="E545" s="90">
        <v>0</v>
      </c>
      <c r="F545" s="33" t="s">
        <v>1460</v>
      </c>
      <c r="G545" s="33" t="s">
        <v>829</v>
      </c>
      <c r="H545" s="33" t="s">
        <v>86</v>
      </c>
      <c r="I545" s="33" t="s">
        <v>829</v>
      </c>
      <c r="J545" s="44">
        <v>43869</v>
      </c>
      <c r="K545" s="92" t="s">
        <v>1040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1461</v>
      </c>
      <c r="C546" s="33" t="s">
        <v>47</v>
      </c>
      <c r="D546" s="33" t="s">
        <v>1027</v>
      </c>
      <c r="E546" s="90">
        <v>0</v>
      </c>
      <c r="F546" s="33" t="s">
        <v>1462</v>
      </c>
      <c r="G546" s="33" t="s">
        <v>834</v>
      </c>
      <c r="H546" s="33" t="s">
        <v>86</v>
      </c>
      <c r="I546" s="33" t="s">
        <v>838</v>
      </c>
      <c r="J546" s="44">
        <v>44203</v>
      </c>
      <c r="K546" s="92" t="s">
        <v>1040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1463</v>
      </c>
      <c r="C547" s="33" t="s">
        <v>47</v>
      </c>
      <c r="D547" s="33" t="s">
        <v>1027</v>
      </c>
      <c r="E547" s="90">
        <v>0</v>
      </c>
      <c r="F547" s="33" t="s">
        <v>1462</v>
      </c>
      <c r="G547" s="33" t="s">
        <v>834</v>
      </c>
      <c r="H547" s="33" t="s">
        <v>86</v>
      </c>
      <c r="I547" s="33" t="s">
        <v>838</v>
      </c>
      <c r="J547" s="44">
        <v>44203</v>
      </c>
      <c r="K547" s="92" t="s">
        <v>1437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1464</v>
      </c>
      <c r="C548" s="46" t="s">
        <v>47</v>
      </c>
      <c r="D548" s="33" t="s">
        <v>1036</v>
      </c>
      <c r="E548" s="47">
        <v>4000</v>
      </c>
      <c r="F548" s="33" t="s">
        <v>1465</v>
      </c>
      <c r="G548" s="33" t="s">
        <v>903</v>
      </c>
      <c r="H548" s="33" t="s">
        <v>86</v>
      </c>
      <c r="I548" s="33" t="s">
        <v>848</v>
      </c>
      <c r="J548" s="44">
        <v>44362</v>
      </c>
      <c r="K548" s="92" t="s">
        <v>1053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1176</v>
      </c>
      <c r="C549" s="46" t="s">
        <v>1026</v>
      </c>
      <c r="D549" s="33" t="s">
        <v>1036</v>
      </c>
      <c r="E549" s="47">
        <v>20000</v>
      </c>
      <c r="F549" s="33" t="s">
        <v>1177</v>
      </c>
      <c r="G549" s="44" t="s">
        <v>834</v>
      </c>
      <c r="H549" s="44" t="s">
        <v>1175</v>
      </c>
      <c r="I549" s="44" t="s">
        <v>972</v>
      </c>
      <c r="J549" s="44">
        <v>44295</v>
      </c>
      <c r="K549" s="91" t="s">
        <v>1178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1307</v>
      </c>
      <c r="C550" s="46" t="s">
        <v>1026</v>
      </c>
      <c r="D550" s="33" t="s">
        <v>1036</v>
      </c>
      <c r="E550" s="47">
        <v>5000</v>
      </c>
      <c r="F550" s="33" t="s">
        <v>1308</v>
      </c>
      <c r="G550" s="44" t="s">
        <v>834</v>
      </c>
      <c r="H550" s="44" t="s">
        <v>1175</v>
      </c>
      <c r="I550" s="44" t="s">
        <v>970</v>
      </c>
      <c r="J550" s="44">
        <v>44319</v>
      </c>
      <c r="K550" s="91" t="s">
        <v>1040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1466</v>
      </c>
      <c r="C551" s="33" t="s">
        <v>47</v>
      </c>
      <c r="D551" s="33" t="s">
        <v>1027</v>
      </c>
      <c r="E551" s="90">
        <v>0</v>
      </c>
      <c r="F551" s="33" t="s">
        <v>1467</v>
      </c>
      <c r="G551" s="33" t="s">
        <v>889</v>
      </c>
      <c r="H551" s="33" t="s">
        <v>86</v>
      </c>
      <c r="I551" s="33" t="s">
        <v>903</v>
      </c>
      <c r="J551" s="44">
        <v>44250</v>
      </c>
      <c r="K551" s="92" t="s">
        <v>1437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1468</v>
      </c>
      <c r="C552" s="33" t="s">
        <v>47</v>
      </c>
      <c r="D552" s="33" t="s">
        <v>1027</v>
      </c>
      <c r="E552" s="90">
        <v>0</v>
      </c>
      <c r="F552" s="33" t="s">
        <v>1469</v>
      </c>
      <c r="G552" s="33" t="s">
        <v>834</v>
      </c>
      <c r="H552" s="33" t="s">
        <v>86</v>
      </c>
      <c r="I552" s="33" t="s">
        <v>838</v>
      </c>
      <c r="J552" s="44">
        <v>44120</v>
      </c>
      <c r="K552" s="92" t="s">
        <v>1040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1301</v>
      </c>
      <c r="C553" s="46" t="s">
        <v>1026</v>
      </c>
      <c r="D553" s="33" t="s">
        <v>1036</v>
      </c>
      <c r="E553" s="47">
        <v>10000</v>
      </c>
      <c r="F553" s="33" t="s">
        <v>1302</v>
      </c>
      <c r="G553" s="44" t="s">
        <v>834</v>
      </c>
      <c r="H553" s="44" t="s">
        <v>1175</v>
      </c>
      <c r="I553" s="44" t="s">
        <v>970</v>
      </c>
      <c r="J553" s="44">
        <v>44295</v>
      </c>
      <c r="K553" s="91" t="s">
        <v>1121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1451</v>
      </c>
      <c r="C554" s="46" t="s">
        <v>1026</v>
      </c>
      <c r="D554" s="33" t="s">
        <v>1036</v>
      </c>
      <c r="E554" s="47">
        <v>300000</v>
      </c>
      <c r="F554" s="33" t="s">
        <v>1452</v>
      </c>
      <c r="G554" s="44" t="s">
        <v>976</v>
      </c>
      <c r="H554" s="44" t="s">
        <v>86</v>
      </c>
      <c r="I554" s="44" t="s">
        <v>976</v>
      </c>
      <c r="J554" s="44">
        <v>44021</v>
      </c>
      <c r="K554" s="91" t="s">
        <v>1040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1470</v>
      </c>
      <c r="C555" s="33" t="s">
        <v>47</v>
      </c>
      <c r="D555" s="33" t="s">
        <v>1027</v>
      </c>
      <c r="E555" s="90">
        <v>0</v>
      </c>
      <c r="F555" s="33" t="s">
        <v>1471</v>
      </c>
      <c r="G555" s="33" t="s">
        <v>834</v>
      </c>
      <c r="H555" s="33" t="s">
        <v>86</v>
      </c>
      <c r="I555" s="33" t="s">
        <v>838</v>
      </c>
      <c r="J555" s="44">
        <v>44202</v>
      </c>
      <c r="K555" s="92" t="s">
        <v>1040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1472</v>
      </c>
      <c r="C556" s="46" t="s">
        <v>47</v>
      </c>
      <c r="D556" s="33" t="s">
        <v>1036</v>
      </c>
      <c r="E556" s="47">
        <v>135728.28</v>
      </c>
      <c r="F556" s="33" t="s">
        <v>1473</v>
      </c>
      <c r="G556" s="33" t="s">
        <v>834</v>
      </c>
      <c r="H556" s="33" t="s">
        <v>1298</v>
      </c>
      <c r="I556" s="33" t="s">
        <v>885</v>
      </c>
      <c r="J556" s="44">
        <v>44204</v>
      </c>
      <c r="K556" s="92" t="s">
        <v>1040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1474</v>
      </c>
      <c r="C557" s="33" t="s">
        <v>1026</v>
      </c>
      <c r="D557" s="33" t="s">
        <v>1027</v>
      </c>
      <c r="E557" s="94">
        <v>107666.91</v>
      </c>
      <c r="F557" s="33" t="s">
        <v>1475</v>
      </c>
      <c r="G557" s="44" t="s">
        <v>829</v>
      </c>
      <c r="H557" s="44" t="s">
        <v>86</v>
      </c>
      <c r="I557" s="44" t="s">
        <v>877</v>
      </c>
      <c r="J557" s="44">
        <v>43843</v>
      </c>
      <c r="K557" s="91" t="s">
        <v>1053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1476</v>
      </c>
      <c r="C558" s="33" t="s">
        <v>47</v>
      </c>
      <c r="D558" s="33" t="s">
        <v>1027</v>
      </c>
      <c r="E558" s="90">
        <v>0</v>
      </c>
      <c r="F558" s="33" t="s">
        <v>1477</v>
      </c>
      <c r="G558" s="33" t="s">
        <v>834</v>
      </c>
      <c r="H558" s="33" t="s">
        <v>86</v>
      </c>
      <c r="I558" s="33" t="s">
        <v>838</v>
      </c>
      <c r="J558" s="44">
        <v>44384</v>
      </c>
      <c r="K558" s="92" t="s">
        <v>1178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1047</v>
      </c>
      <c r="C559" s="46" t="s">
        <v>1026</v>
      </c>
      <c r="D559" s="33" t="s">
        <v>1036</v>
      </c>
      <c r="E559" s="47">
        <v>7500</v>
      </c>
      <c r="F559" s="33" t="s">
        <v>1048</v>
      </c>
      <c r="G559" s="44" t="s">
        <v>829</v>
      </c>
      <c r="H559" s="44" t="s">
        <v>86</v>
      </c>
      <c r="I559" s="44" t="s">
        <v>877</v>
      </c>
      <c r="J559" s="44">
        <v>43703</v>
      </c>
      <c r="K559" s="91" t="s">
        <v>1032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1478</v>
      </c>
      <c r="C560" s="33" t="s">
        <v>47</v>
      </c>
      <c r="D560" s="33" t="s">
        <v>1027</v>
      </c>
      <c r="E560" s="90">
        <v>0</v>
      </c>
      <c r="F560" s="33" t="s">
        <v>1479</v>
      </c>
      <c r="G560" s="33" t="s">
        <v>834</v>
      </c>
      <c r="H560" s="33" t="s">
        <v>86</v>
      </c>
      <c r="I560" s="33" t="s">
        <v>838</v>
      </c>
      <c r="J560" s="44">
        <v>44186</v>
      </c>
      <c r="K560" s="92" t="s">
        <v>1040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1480</v>
      </c>
      <c r="C561" s="33" t="s">
        <v>47</v>
      </c>
      <c r="D561" s="33" t="s">
        <v>1027</v>
      </c>
      <c r="E561" s="90">
        <v>0</v>
      </c>
      <c r="F561" s="33" t="s">
        <v>1481</v>
      </c>
      <c r="G561" s="33" t="s">
        <v>834</v>
      </c>
      <c r="H561" s="33" t="s">
        <v>86</v>
      </c>
      <c r="I561" s="33" t="s">
        <v>838</v>
      </c>
      <c r="J561" s="44">
        <v>44456</v>
      </c>
      <c r="K561" s="92" t="s">
        <v>1437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1346</v>
      </c>
      <c r="C562" s="46" t="s">
        <v>1026</v>
      </c>
      <c r="D562" s="33" t="s">
        <v>1036</v>
      </c>
      <c r="E562" s="39">
        <v>159337.69</v>
      </c>
      <c r="F562" s="33" t="s">
        <v>1347</v>
      </c>
      <c r="G562" s="44" t="s">
        <v>834</v>
      </c>
      <c r="H562" s="44" t="s">
        <v>1175</v>
      </c>
      <c r="I562" s="44" t="s">
        <v>972</v>
      </c>
      <c r="J562" s="44">
        <v>44280</v>
      </c>
      <c r="K562" s="91" t="s">
        <v>1178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1482</v>
      </c>
      <c r="C563" s="46" t="s">
        <v>1026</v>
      </c>
      <c r="D563" s="33" t="s">
        <v>1036</v>
      </c>
      <c r="E563" s="47">
        <v>20000</v>
      </c>
      <c r="F563" s="33" t="s">
        <v>1483</v>
      </c>
      <c r="G563" s="44" t="s">
        <v>834</v>
      </c>
      <c r="H563" s="44" t="s">
        <v>1175</v>
      </c>
      <c r="I563" s="44" t="s">
        <v>970</v>
      </c>
      <c r="J563" s="44">
        <v>44319</v>
      </c>
      <c r="K563" s="91" t="s">
        <v>1121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1315</v>
      </c>
      <c r="C564" s="46" t="s">
        <v>1026</v>
      </c>
      <c r="D564" s="33" t="s">
        <v>1036</v>
      </c>
      <c r="E564" s="47">
        <v>271802.71999999997</v>
      </c>
      <c r="F564" s="33" t="s">
        <v>1316</v>
      </c>
      <c r="G564" s="44" t="s">
        <v>834</v>
      </c>
      <c r="H564" s="44" t="s">
        <v>1175</v>
      </c>
      <c r="I564" s="44" t="s">
        <v>972</v>
      </c>
      <c r="J564" s="44">
        <v>44328</v>
      </c>
      <c r="K564" s="91" t="s">
        <v>1040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1385</v>
      </c>
      <c r="C565" s="33" t="s">
        <v>47</v>
      </c>
      <c r="D565" s="33" t="s">
        <v>1027</v>
      </c>
      <c r="E565" s="90">
        <v>0</v>
      </c>
      <c r="F565" s="33" t="s">
        <v>1386</v>
      </c>
      <c r="G565" s="33" t="s">
        <v>834</v>
      </c>
      <c r="H565" s="33" t="s">
        <v>86</v>
      </c>
      <c r="I565" s="33" t="s">
        <v>846</v>
      </c>
      <c r="J565" s="44"/>
      <c r="K565" s="92" t="s">
        <v>1029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1457</v>
      </c>
      <c r="C566" s="46" t="s">
        <v>1026</v>
      </c>
      <c r="D566" s="33" t="s">
        <v>1036</v>
      </c>
      <c r="E566" s="47">
        <v>100000</v>
      </c>
      <c r="F566" s="33" t="s">
        <v>1458</v>
      </c>
      <c r="G566" s="44" t="s">
        <v>834</v>
      </c>
      <c r="H566" s="44" t="s">
        <v>1175</v>
      </c>
      <c r="I566" s="44" t="s">
        <v>972</v>
      </c>
      <c r="J566" s="44">
        <v>44266</v>
      </c>
      <c r="K566" s="91" t="s">
        <v>1121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1484</v>
      </c>
      <c r="C567" s="46" t="s">
        <v>47</v>
      </c>
      <c r="D567" s="33" t="s">
        <v>1061</v>
      </c>
      <c r="E567" s="90">
        <v>157308.25</v>
      </c>
      <c r="F567" s="33" t="s">
        <v>1485</v>
      </c>
      <c r="G567" s="33" t="s">
        <v>829</v>
      </c>
      <c r="H567" s="33" t="s">
        <v>86</v>
      </c>
      <c r="I567" s="33" t="s">
        <v>829</v>
      </c>
      <c r="J567" s="44">
        <v>44250</v>
      </c>
      <c r="K567" s="92" t="s">
        <v>1040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1486</v>
      </c>
      <c r="C568" s="33" t="s">
        <v>47</v>
      </c>
      <c r="D568" s="33" t="s">
        <v>1027</v>
      </c>
      <c r="E568" s="90">
        <v>0</v>
      </c>
      <c r="F568" s="33" t="s">
        <v>1487</v>
      </c>
      <c r="G568" s="33" t="s">
        <v>834</v>
      </c>
      <c r="H568" s="33" t="s">
        <v>86</v>
      </c>
      <c r="I568" s="33" t="s">
        <v>838</v>
      </c>
      <c r="J568" s="44">
        <v>44088</v>
      </c>
      <c r="K568" s="92" t="s">
        <v>1029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1119</v>
      </c>
      <c r="C569" s="46" t="s">
        <v>1075</v>
      </c>
      <c r="D569" s="33" t="s">
        <v>1036</v>
      </c>
      <c r="E569" s="47">
        <v>50000</v>
      </c>
      <c r="F569" s="33" t="s">
        <v>1120</v>
      </c>
      <c r="G569" s="44" t="s">
        <v>834</v>
      </c>
      <c r="H569" s="44" t="s">
        <v>86</v>
      </c>
      <c r="I569" s="44" t="s">
        <v>919</v>
      </c>
      <c r="J569" s="44">
        <v>43934</v>
      </c>
      <c r="K569" s="91" t="s">
        <v>1121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1488</v>
      </c>
      <c r="C570" s="46" t="s">
        <v>1026</v>
      </c>
      <c r="D570" s="33" t="s">
        <v>1036</v>
      </c>
      <c r="E570" s="47">
        <v>30000</v>
      </c>
      <c r="F570" s="33" t="s">
        <v>1489</v>
      </c>
      <c r="G570" s="44" t="s">
        <v>834</v>
      </c>
      <c r="H570" s="44" t="s">
        <v>1175</v>
      </c>
      <c r="I570" s="44" t="s">
        <v>972</v>
      </c>
      <c r="J570" s="44">
        <v>44319</v>
      </c>
      <c r="K570" s="91" t="s">
        <v>1040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1239</v>
      </c>
      <c r="C571" s="46" t="s">
        <v>47</v>
      </c>
      <c r="D571" s="33" t="s">
        <v>1036</v>
      </c>
      <c r="E571" s="47">
        <v>20000</v>
      </c>
      <c r="F571" s="33" t="s">
        <v>1240</v>
      </c>
      <c r="G571" s="33" t="s">
        <v>903</v>
      </c>
      <c r="H571" s="33" t="s">
        <v>86</v>
      </c>
      <c r="I571" s="33" t="s">
        <v>934</v>
      </c>
      <c r="J571" s="44">
        <v>44180</v>
      </c>
      <c r="K571" s="92" t="s">
        <v>1040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1490</v>
      </c>
      <c r="C572" s="46" t="s">
        <v>1026</v>
      </c>
      <c r="D572" s="33" t="s">
        <v>1061</v>
      </c>
      <c r="E572" s="47">
        <v>1421504</v>
      </c>
      <c r="F572" s="33" t="s">
        <v>1491</v>
      </c>
      <c r="G572" s="44" t="s">
        <v>834</v>
      </c>
      <c r="H572" s="44" t="s">
        <v>1175</v>
      </c>
      <c r="I572" s="44" t="s">
        <v>972</v>
      </c>
      <c r="J572" s="44">
        <v>44280</v>
      </c>
      <c r="K572" s="91" t="s">
        <v>1029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1492</v>
      </c>
      <c r="C573" s="46" t="s">
        <v>1026</v>
      </c>
      <c r="D573" s="33" t="s">
        <v>1036</v>
      </c>
      <c r="E573" s="47">
        <v>8000</v>
      </c>
      <c r="F573" s="33" t="s">
        <v>1048</v>
      </c>
      <c r="G573" s="44" t="s">
        <v>829</v>
      </c>
      <c r="H573" s="44" t="s">
        <v>86</v>
      </c>
      <c r="I573" s="44" t="s">
        <v>877</v>
      </c>
      <c r="J573" s="44">
        <v>43704</v>
      </c>
      <c r="K573" s="91" t="s">
        <v>1053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1303</v>
      </c>
      <c r="C574" s="46" t="s">
        <v>1026</v>
      </c>
      <c r="D574" s="33" t="s">
        <v>1036</v>
      </c>
      <c r="E574" s="47">
        <v>20000</v>
      </c>
      <c r="F574" s="33" t="s">
        <v>1304</v>
      </c>
      <c r="G574" s="44" t="s">
        <v>834</v>
      </c>
      <c r="H574" s="44" t="s">
        <v>1175</v>
      </c>
      <c r="I574" s="44" t="s">
        <v>970</v>
      </c>
      <c r="J574" s="44">
        <v>44322</v>
      </c>
      <c r="K574" s="91" t="s">
        <v>1040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1457</v>
      </c>
      <c r="C575" s="46" t="s">
        <v>1026</v>
      </c>
      <c r="D575" s="33" t="s">
        <v>1036</v>
      </c>
      <c r="E575" s="47">
        <v>300000</v>
      </c>
      <c r="F575" s="33" t="s">
        <v>1458</v>
      </c>
      <c r="G575" s="44" t="s">
        <v>834</v>
      </c>
      <c r="H575" s="44" t="s">
        <v>1175</v>
      </c>
      <c r="I575" s="44" t="s">
        <v>972</v>
      </c>
      <c r="J575" s="44">
        <v>44266</v>
      </c>
      <c r="K575" s="91" t="s">
        <v>1121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1307</v>
      </c>
      <c r="C576" s="46" t="s">
        <v>1026</v>
      </c>
      <c r="D576" s="33" t="s">
        <v>1036</v>
      </c>
      <c r="E576" s="47">
        <v>10000</v>
      </c>
      <c r="F576" s="33" t="s">
        <v>1308</v>
      </c>
      <c r="G576" s="44" t="s">
        <v>834</v>
      </c>
      <c r="H576" s="44" t="s">
        <v>1175</v>
      </c>
      <c r="I576" s="44" t="s">
        <v>970</v>
      </c>
      <c r="J576" s="44">
        <v>44319</v>
      </c>
      <c r="K576" s="91" t="s">
        <v>1040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1051</v>
      </c>
      <c r="C577" s="46" t="s">
        <v>1026</v>
      </c>
      <c r="D577" s="33" t="s">
        <v>1036</v>
      </c>
      <c r="E577" s="47">
        <v>12000</v>
      </c>
      <c r="F577" s="33" t="s">
        <v>1052</v>
      </c>
      <c r="G577" s="44" t="s">
        <v>829</v>
      </c>
      <c r="H577" s="44" t="s">
        <v>86</v>
      </c>
      <c r="I577" s="44" t="s">
        <v>877</v>
      </c>
      <c r="J577" s="44">
        <v>43605</v>
      </c>
      <c r="K577" s="91" t="s">
        <v>1053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1493</v>
      </c>
      <c r="C578" s="46" t="s">
        <v>1026</v>
      </c>
      <c r="D578" s="33" t="s">
        <v>1036</v>
      </c>
      <c r="E578" s="47">
        <v>100000</v>
      </c>
      <c r="F578" s="33" t="s">
        <v>1494</v>
      </c>
      <c r="G578" s="44" t="s">
        <v>834</v>
      </c>
      <c r="H578" s="44" t="s">
        <v>1175</v>
      </c>
      <c r="I578" s="44" t="s">
        <v>974</v>
      </c>
      <c r="J578" s="44">
        <v>44299</v>
      </c>
      <c r="K578" s="91" t="s">
        <v>1040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1495</v>
      </c>
      <c r="C579" s="33" t="s">
        <v>47</v>
      </c>
      <c r="D579" s="33" t="s">
        <v>1027</v>
      </c>
      <c r="E579" s="90">
        <v>0</v>
      </c>
      <c r="F579" s="33" t="s">
        <v>1496</v>
      </c>
      <c r="G579" s="33" t="s">
        <v>903</v>
      </c>
      <c r="H579" s="33" t="s">
        <v>86</v>
      </c>
      <c r="I579" s="33" t="s">
        <v>1217</v>
      </c>
      <c r="J579" s="44">
        <v>44917</v>
      </c>
      <c r="K579" s="92" t="s">
        <v>1121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1497</v>
      </c>
      <c r="C580" s="46" t="s">
        <v>1026</v>
      </c>
      <c r="D580" s="33" t="s">
        <v>1036</v>
      </c>
      <c r="E580" s="47" t="s">
        <v>1498</v>
      </c>
      <c r="F580" s="33" t="s">
        <v>1499</v>
      </c>
      <c r="G580" s="44" t="s">
        <v>834</v>
      </c>
      <c r="H580" s="44" t="s">
        <v>1175</v>
      </c>
      <c r="I580" s="44" t="s">
        <v>970</v>
      </c>
      <c r="J580" s="44">
        <v>44391</v>
      </c>
      <c r="K580" s="91" t="s">
        <v>1040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1329</v>
      </c>
      <c r="C581" s="46" t="s">
        <v>1026</v>
      </c>
      <c r="D581" s="33" t="s">
        <v>1036</v>
      </c>
      <c r="E581" s="47">
        <v>30000</v>
      </c>
      <c r="F581" s="33" t="s">
        <v>1330</v>
      </c>
      <c r="G581" s="44" t="s">
        <v>834</v>
      </c>
      <c r="H581" s="44" t="s">
        <v>1175</v>
      </c>
      <c r="I581" s="44" t="s">
        <v>972</v>
      </c>
      <c r="J581" s="44">
        <v>44319</v>
      </c>
      <c r="K581" s="91" t="s">
        <v>1040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1275</v>
      </c>
      <c r="C582" s="46" t="s">
        <v>1026</v>
      </c>
      <c r="D582" s="33" t="s">
        <v>1036</v>
      </c>
      <c r="E582" s="47">
        <v>100000</v>
      </c>
      <c r="F582" s="33" t="s">
        <v>1276</v>
      </c>
      <c r="G582" s="44" t="s">
        <v>834</v>
      </c>
      <c r="H582" s="44" t="s">
        <v>1175</v>
      </c>
      <c r="I582" s="44" t="s">
        <v>970</v>
      </c>
      <c r="J582" s="44">
        <v>44279</v>
      </c>
      <c r="K582" s="91" t="s">
        <v>1040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1500</v>
      </c>
      <c r="C583" s="46" t="s">
        <v>1026</v>
      </c>
      <c r="D583" s="33" t="s">
        <v>1036</v>
      </c>
      <c r="E583" s="47">
        <v>120000</v>
      </c>
      <c r="F583" s="33" t="s">
        <v>1501</v>
      </c>
      <c r="G583" s="44" t="s">
        <v>834</v>
      </c>
      <c r="H583" s="44" t="s">
        <v>1175</v>
      </c>
      <c r="I583" s="44" t="s">
        <v>974</v>
      </c>
      <c r="J583" s="44">
        <v>44279</v>
      </c>
      <c r="K583" s="91" t="s">
        <v>1121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1502</v>
      </c>
      <c r="C584" s="46" t="s">
        <v>47</v>
      </c>
      <c r="D584" s="33" t="s">
        <v>1061</v>
      </c>
      <c r="E584" s="90">
        <v>456422.62</v>
      </c>
      <c r="F584" s="33" t="s">
        <v>1503</v>
      </c>
      <c r="G584" s="33" t="s">
        <v>903</v>
      </c>
      <c r="H584" s="33" t="s">
        <v>86</v>
      </c>
      <c r="I584" s="33" t="s">
        <v>893</v>
      </c>
      <c r="J584" s="44">
        <v>44130</v>
      </c>
      <c r="K584" s="92" t="s">
        <v>1040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1367</v>
      </c>
      <c r="C585" s="46" t="s">
        <v>1026</v>
      </c>
      <c r="D585" s="33" t="s">
        <v>1036</v>
      </c>
      <c r="E585" s="47">
        <v>100000</v>
      </c>
      <c r="F585" s="33" t="s">
        <v>1368</v>
      </c>
      <c r="G585" s="44" t="s">
        <v>834</v>
      </c>
      <c r="H585" s="44" t="s">
        <v>1175</v>
      </c>
      <c r="I585" s="44" t="s">
        <v>970</v>
      </c>
      <c r="J585" s="44">
        <v>44321</v>
      </c>
      <c r="K585" s="91" t="s">
        <v>1053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1287</v>
      </c>
      <c r="C586" s="46" t="s">
        <v>1026</v>
      </c>
      <c r="D586" s="33" t="s">
        <v>1036</v>
      </c>
      <c r="E586" s="47">
        <v>14000</v>
      </c>
      <c r="F586" s="33" t="s">
        <v>1288</v>
      </c>
      <c r="G586" s="44" t="s">
        <v>834</v>
      </c>
      <c r="H586" s="44" t="s">
        <v>1175</v>
      </c>
      <c r="I586" s="44" t="s">
        <v>972</v>
      </c>
      <c r="J586" s="44">
        <v>44280</v>
      </c>
      <c r="K586" s="91" t="s">
        <v>1040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1305</v>
      </c>
      <c r="C587" s="46" t="s">
        <v>1026</v>
      </c>
      <c r="D587" s="33" t="s">
        <v>1036</v>
      </c>
      <c r="E587" s="47">
        <v>45000</v>
      </c>
      <c r="F587" s="33" t="s">
        <v>1306</v>
      </c>
      <c r="G587" s="44" t="s">
        <v>834</v>
      </c>
      <c r="H587" s="44" t="s">
        <v>1175</v>
      </c>
      <c r="I587" s="44" t="s">
        <v>974</v>
      </c>
      <c r="J587" s="44">
        <v>44266</v>
      </c>
      <c r="K587" s="91" t="s">
        <v>1053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1317</v>
      </c>
      <c r="C588" s="46" t="s">
        <v>1026</v>
      </c>
      <c r="D588" s="33" t="s">
        <v>1036</v>
      </c>
      <c r="E588" s="47">
        <v>10000</v>
      </c>
      <c r="F588" s="33" t="s">
        <v>1318</v>
      </c>
      <c r="G588" s="44" t="s">
        <v>834</v>
      </c>
      <c r="H588" s="44" t="s">
        <v>1175</v>
      </c>
      <c r="I588" s="44" t="s">
        <v>974</v>
      </c>
      <c r="J588" s="44">
        <v>44260</v>
      </c>
      <c r="K588" s="91" t="s">
        <v>1040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1504</v>
      </c>
      <c r="C589" s="46" t="s">
        <v>1026</v>
      </c>
      <c r="D589" s="33" t="s">
        <v>1036</v>
      </c>
      <c r="E589" s="47">
        <v>100000</v>
      </c>
      <c r="F589" s="33" t="s">
        <v>1505</v>
      </c>
      <c r="G589" s="44" t="s">
        <v>834</v>
      </c>
      <c r="H589" s="44" t="s">
        <v>1175</v>
      </c>
      <c r="I589" s="44" t="s">
        <v>970</v>
      </c>
      <c r="J589" s="44">
        <v>44393</v>
      </c>
      <c r="K589" s="91" t="s">
        <v>1506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1317</v>
      </c>
      <c r="C590" s="33" t="s">
        <v>1026</v>
      </c>
      <c r="D590" s="33" t="s">
        <v>1027</v>
      </c>
      <c r="E590" s="90">
        <v>151371.24</v>
      </c>
      <c r="F590" s="33" t="s">
        <v>1318</v>
      </c>
      <c r="G590" s="44" t="s">
        <v>834</v>
      </c>
      <c r="H590" s="44" t="s">
        <v>1175</v>
      </c>
      <c r="I590" s="44" t="s">
        <v>974</v>
      </c>
      <c r="J590" s="44">
        <v>44260</v>
      </c>
      <c r="K590" s="91" t="s">
        <v>1040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1500</v>
      </c>
      <c r="C591" s="46" t="s">
        <v>1026</v>
      </c>
      <c r="D591" s="33" t="s">
        <v>1036</v>
      </c>
      <c r="E591" s="47">
        <v>80000</v>
      </c>
      <c r="F591" s="33" t="s">
        <v>1501</v>
      </c>
      <c r="G591" s="44" t="s">
        <v>834</v>
      </c>
      <c r="H591" s="44" t="s">
        <v>1175</v>
      </c>
      <c r="I591" s="44" t="s">
        <v>974</v>
      </c>
      <c r="J591" s="44">
        <v>44279</v>
      </c>
      <c r="K591" s="91" t="s">
        <v>1121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1409</v>
      </c>
      <c r="C592" s="33" t="s">
        <v>47</v>
      </c>
      <c r="D592" s="33" t="s">
        <v>1027</v>
      </c>
      <c r="E592" s="90">
        <v>0</v>
      </c>
      <c r="F592" s="33" t="s">
        <v>1410</v>
      </c>
      <c r="G592" s="33" t="s">
        <v>903</v>
      </c>
      <c r="H592" s="33" t="s">
        <v>86</v>
      </c>
      <c r="I592" s="33" t="s">
        <v>964</v>
      </c>
      <c r="J592" s="44">
        <v>44397</v>
      </c>
      <c r="K592" s="92" t="s">
        <v>1053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1507</v>
      </c>
      <c r="C593" s="33" t="s">
        <v>47</v>
      </c>
      <c r="D593" s="33" t="s">
        <v>1027</v>
      </c>
      <c r="E593" s="90">
        <v>0</v>
      </c>
      <c r="F593" s="33" t="s">
        <v>1508</v>
      </c>
      <c r="G593" s="33" t="s">
        <v>834</v>
      </c>
      <c r="H593" s="33" t="s">
        <v>86</v>
      </c>
      <c r="I593" s="33" t="s">
        <v>846</v>
      </c>
      <c r="J593" s="44">
        <v>44302</v>
      </c>
      <c r="K593" s="92" t="s">
        <v>1029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1509</v>
      </c>
      <c r="C594" s="33" t="s">
        <v>1026</v>
      </c>
      <c r="D594" s="33" t="s">
        <v>1027</v>
      </c>
      <c r="E594" s="90">
        <v>172836.33</v>
      </c>
      <c r="F594" s="33" t="s">
        <v>1510</v>
      </c>
      <c r="G594" s="44" t="s">
        <v>829</v>
      </c>
      <c r="H594" s="44" t="s">
        <v>86</v>
      </c>
      <c r="I594" s="44" t="s">
        <v>877</v>
      </c>
      <c r="J594" s="44">
        <v>43865</v>
      </c>
      <c r="K594" s="91" t="s">
        <v>1040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1159</v>
      </c>
      <c r="C595" s="33" t="s">
        <v>1026</v>
      </c>
      <c r="D595" s="33" t="s">
        <v>1027</v>
      </c>
      <c r="E595" s="90">
        <v>154589.26999999999</v>
      </c>
      <c r="F595" s="33" t="s">
        <v>1160</v>
      </c>
      <c r="G595" s="44" t="s">
        <v>829</v>
      </c>
      <c r="H595" s="44" t="s">
        <v>86</v>
      </c>
      <c r="I595" s="44" t="s">
        <v>877</v>
      </c>
      <c r="J595" s="44">
        <v>43873</v>
      </c>
      <c r="K595" s="91" t="s">
        <v>1040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1500</v>
      </c>
      <c r="C596" s="33" t="s">
        <v>1026</v>
      </c>
      <c r="D596" s="33" t="s">
        <v>1027</v>
      </c>
      <c r="E596" s="90">
        <v>237009.79</v>
      </c>
      <c r="F596" s="33" t="s">
        <v>1501</v>
      </c>
      <c r="G596" s="44" t="s">
        <v>834</v>
      </c>
      <c r="H596" s="44" t="s">
        <v>1175</v>
      </c>
      <c r="I596" s="44" t="s">
        <v>974</v>
      </c>
      <c r="J596" s="44">
        <v>44279</v>
      </c>
      <c r="K596" s="91" t="s">
        <v>1121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1317</v>
      </c>
      <c r="C597" s="46" t="s">
        <v>1026</v>
      </c>
      <c r="D597" s="33" t="s">
        <v>1036</v>
      </c>
      <c r="E597" s="39">
        <v>49307.71</v>
      </c>
      <c r="F597" s="33" t="s">
        <v>1318</v>
      </c>
      <c r="G597" s="44" t="s">
        <v>834</v>
      </c>
      <c r="H597" s="44" t="s">
        <v>1175</v>
      </c>
      <c r="I597" s="44" t="s">
        <v>974</v>
      </c>
      <c r="J597" s="44">
        <v>44260</v>
      </c>
      <c r="K597" s="91" t="s">
        <v>1040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1346</v>
      </c>
      <c r="C598" s="46" t="s">
        <v>1026</v>
      </c>
      <c r="D598" s="33" t="s">
        <v>1036</v>
      </c>
      <c r="E598" s="47">
        <v>56000</v>
      </c>
      <c r="F598" s="33" t="s">
        <v>1347</v>
      </c>
      <c r="G598" s="44" t="s">
        <v>834</v>
      </c>
      <c r="H598" s="44" t="s">
        <v>1175</v>
      </c>
      <c r="I598" s="44" t="s">
        <v>972</v>
      </c>
      <c r="J598" s="44">
        <v>44280</v>
      </c>
      <c r="K598" s="91" t="s">
        <v>1178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1482</v>
      </c>
      <c r="C599" s="46" t="s">
        <v>1026</v>
      </c>
      <c r="D599" s="33" t="s">
        <v>1036</v>
      </c>
      <c r="E599" s="47">
        <v>5500</v>
      </c>
      <c r="F599" s="33" t="s">
        <v>1483</v>
      </c>
      <c r="G599" s="44" t="s">
        <v>834</v>
      </c>
      <c r="H599" s="44" t="s">
        <v>1175</v>
      </c>
      <c r="I599" s="44" t="s">
        <v>970</v>
      </c>
      <c r="J599" s="44">
        <v>44319</v>
      </c>
      <c r="K599" s="91" t="s">
        <v>1121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1344</v>
      </c>
      <c r="C600" s="46" t="s">
        <v>1026</v>
      </c>
      <c r="D600" s="33" t="s">
        <v>1036</v>
      </c>
      <c r="E600" s="47">
        <v>175000</v>
      </c>
      <c r="F600" s="33" t="s">
        <v>1345</v>
      </c>
      <c r="G600" s="44" t="s">
        <v>834</v>
      </c>
      <c r="H600" s="44" t="s">
        <v>1175</v>
      </c>
      <c r="I600" s="44" t="s">
        <v>972</v>
      </c>
      <c r="J600" s="44">
        <v>44313</v>
      </c>
      <c r="K600" s="91" t="s">
        <v>1040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1511</v>
      </c>
      <c r="C601" s="46" t="s">
        <v>1026</v>
      </c>
      <c r="D601" s="33" t="s">
        <v>1036</v>
      </c>
      <c r="E601" s="47">
        <v>10000</v>
      </c>
      <c r="F601" s="33" t="s">
        <v>1512</v>
      </c>
      <c r="G601" s="44" t="s">
        <v>834</v>
      </c>
      <c r="H601" s="44" t="s">
        <v>1175</v>
      </c>
      <c r="I601" s="44" t="s">
        <v>972</v>
      </c>
      <c r="J601" s="44">
        <v>44421</v>
      </c>
      <c r="K601" s="91" t="s">
        <v>1040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1397</v>
      </c>
      <c r="C602" s="46" t="s">
        <v>1026</v>
      </c>
      <c r="D602" s="33" t="s">
        <v>1036</v>
      </c>
      <c r="E602" s="47">
        <v>10000</v>
      </c>
      <c r="F602" s="33" t="s">
        <v>1398</v>
      </c>
      <c r="G602" s="44" t="s">
        <v>834</v>
      </c>
      <c r="H602" s="44" t="s">
        <v>1175</v>
      </c>
      <c r="I602" s="44" t="s">
        <v>972</v>
      </c>
      <c r="J602" s="44">
        <v>44280</v>
      </c>
      <c r="K602" s="91" t="s">
        <v>1040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1047</v>
      </c>
      <c r="C603" s="46" t="s">
        <v>1026</v>
      </c>
      <c r="D603" s="33" t="s">
        <v>1036</v>
      </c>
      <c r="E603" s="47">
        <v>10000</v>
      </c>
      <c r="F603" s="33" t="s">
        <v>1048</v>
      </c>
      <c r="G603" s="44" t="s">
        <v>829</v>
      </c>
      <c r="H603" s="44" t="s">
        <v>86</v>
      </c>
      <c r="I603" s="44" t="s">
        <v>877</v>
      </c>
      <c r="J603" s="44">
        <v>43703</v>
      </c>
      <c r="K603" s="91" t="s">
        <v>1032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1173</v>
      </c>
      <c r="C604" s="46" t="s">
        <v>1026</v>
      </c>
      <c r="D604" s="33" t="s">
        <v>1036</v>
      </c>
      <c r="E604" s="47">
        <v>40000</v>
      </c>
      <c r="F604" s="33" t="s">
        <v>1174</v>
      </c>
      <c r="G604" s="44" t="s">
        <v>834</v>
      </c>
      <c r="H604" s="44" t="s">
        <v>1175</v>
      </c>
      <c r="I604" s="44" t="s">
        <v>972</v>
      </c>
      <c r="J604" s="44">
        <v>44321</v>
      </c>
      <c r="K604" s="91" t="s">
        <v>1040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1513</v>
      </c>
      <c r="C605" s="46" t="s">
        <v>1026</v>
      </c>
      <c r="D605" s="33" t="s">
        <v>1036</v>
      </c>
      <c r="E605" s="47">
        <v>150000</v>
      </c>
      <c r="F605" s="33" t="s">
        <v>1514</v>
      </c>
      <c r="G605" s="44" t="s">
        <v>829</v>
      </c>
      <c r="H605" s="44" t="s">
        <v>86</v>
      </c>
      <c r="I605" s="44" t="s">
        <v>877</v>
      </c>
      <c r="J605" s="44">
        <v>43879</v>
      </c>
      <c r="K605" s="91" t="s">
        <v>1040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1500</v>
      </c>
      <c r="C606" s="46" t="s">
        <v>1026</v>
      </c>
      <c r="D606" s="33" t="s">
        <v>1036</v>
      </c>
      <c r="E606" s="47">
        <v>30000</v>
      </c>
      <c r="F606" s="33" t="s">
        <v>1501</v>
      </c>
      <c r="G606" s="44" t="s">
        <v>834</v>
      </c>
      <c r="H606" s="44" t="s">
        <v>1175</v>
      </c>
      <c r="I606" s="44" t="s">
        <v>974</v>
      </c>
      <c r="J606" s="44">
        <v>44279</v>
      </c>
      <c r="K606" s="91" t="s">
        <v>1121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1303</v>
      </c>
      <c r="C607" s="46" t="s">
        <v>1026</v>
      </c>
      <c r="D607" s="33" t="s">
        <v>1036</v>
      </c>
      <c r="E607" s="47">
        <v>20000</v>
      </c>
      <c r="F607" s="33" t="s">
        <v>1304</v>
      </c>
      <c r="G607" s="44" t="s">
        <v>834</v>
      </c>
      <c r="H607" s="44" t="s">
        <v>1175</v>
      </c>
      <c r="I607" s="44" t="s">
        <v>970</v>
      </c>
      <c r="J607" s="44">
        <v>44322</v>
      </c>
      <c r="K607" s="91" t="s">
        <v>1040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1515</v>
      </c>
      <c r="C608" s="46" t="s">
        <v>1026</v>
      </c>
      <c r="D608" s="33" t="s">
        <v>1061</v>
      </c>
      <c r="E608" s="90">
        <v>121689.31</v>
      </c>
      <c r="F608" s="33" t="s">
        <v>1516</v>
      </c>
      <c r="G608" s="44" t="s">
        <v>834</v>
      </c>
      <c r="H608" s="44" t="s">
        <v>1175</v>
      </c>
      <c r="I608" s="44" t="s">
        <v>972</v>
      </c>
      <c r="J608" s="44">
        <v>44333</v>
      </c>
      <c r="K608" s="91" t="s">
        <v>1040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1226</v>
      </c>
      <c r="C609" s="46" t="s">
        <v>47</v>
      </c>
      <c r="D609" s="33" t="s">
        <v>1061</v>
      </c>
      <c r="E609" s="90">
        <v>94947.93</v>
      </c>
      <c r="F609" s="33" t="s">
        <v>1227</v>
      </c>
      <c r="G609" s="33" t="s">
        <v>903</v>
      </c>
      <c r="H609" s="33" t="s">
        <v>86</v>
      </c>
      <c r="I609" s="33" t="s">
        <v>960</v>
      </c>
      <c r="J609" s="44">
        <v>44105</v>
      </c>
      <c r="K609" s="92" t="s">
        <v>1029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1517</v>
      </c>
      <c r="C610" s="33" t="s">
        <v>47</v>
      </c>
      <c r="D610" s="33" t="s">
        <v>1027</v>
      </c>
      <c r="E610" s="90">
        <v>0</v>
      </c>
      <c r="F610" s="33" t="s">
        <v>1390</v>
      </c>
      <c r="G610" s="33" t="s">
        <v>903</v>
      </c>
      <c r="H610" s="33" t="s">
        <v>86</v>
      </c>
      <c r="I610" s="33" t="s">
        <v>848</v>
      </c>
      <c r="J610" s="44">
        <v>44238</v>
      </c>
      <c r="K610" s="92" t="s">
        <v>1121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1455</v>
      </c>
      <c r="C611" s="46" t="s">
        <v>1026</v>
      </c>
      <c r="D611" s="33" t="s">
        <v>1036</v>
      </c>
      <c r="E611" s="47">
        <v>20000</v>
      </c>
      <c r="F611" s="33" t="s">
        <v>1456</v>
      </c>
      <c r="G611" s="44" t="s">
        <v>834</v>
      </c>
      <c r="H611" s="44" t="s">
        <v>1175</v>
      </c>
      <c r="I611" s="44" t="s">
        <v>972</v>
      </c>
      <c r="J611" s="44">
        <v>44263</v>
      </c>
      <c r="K611" s="91" t="s">
        <v>1053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1518</v>
      </c>
      <c r="C612" s="33" t="s">
        <v>1026</v>
      </c>
      <c r="D612" s="33" t="s">
        <v>1027</v>
      </c>
      <c r="E612" s="90">
        <v>489398.81</v>
      </c>
      <c r="F612" s="33" t="s">
        <v>1519</v>
      </c>
      <c r="G612" s="44" t="s">
        <v>834</v>
      </c>
      <c r="H612" s="44" t="s">
        <v>1175</v>
      </c>
      <c r="I612" s="44" t="s">
        <v>970</v>
      </c>
      <c r="J612" s="44">
        <v>44280</v>
      </c>
      <c r="K612" s="91" t="s">
        <v>1121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1520</v>
      </c>
      <c r="C613" s="46" t="s">
        <v>47</v>
      </c>
      <c r="D613" s="33" t="s">
        <v>1061</v>
      </c>
      <c r="E613" s="90">
        <v>274363.67</v>
      </c>
      <c r="F613" s="33" t="s">
        <v>1521</v>
      </c>
      <c r="G613" s="33" t="s">
        <v>834</v>
      </c>
      <c r="H613" s="33" t="s">
        <v>1298</v>
      </c>
      <c r="I613" s="33" t="s">
        <v>840</v>
      </c>
      <c r="J613" s="44">
        <v>44356</v>
      </c>
      <c r="K613" s="92" t="s">
        <v>1053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1522</v>
      </c>
      <c r="C614" s="46" t="s">
        <v>47</v>
      </c>
      <c r="D614" s="33" t="s">
        <v>1036</v>
      </c>
      <c r="E614" s="90">
        <v>150000</v>
      </c>
      <c r="F614" s="33" t="s">
        <v>1523</v>
      </c>
      <c r="G614" s="33" t="s">
        <v>829</v>
      </c>
      <c r="H614" s="33" t="s">
        <v>86</v>
      </c>
      <c r="I614" s="33" t="s">
        <v>829</v>
      </c>
      <c r="J614" s="44">
        <v>44118</v>
      </c>
      <c r="K614" s="92" t="s">
        <v>1029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1064</v>
      </c>
      <c r="C615" s="33" t="s">
        <v>1026</v>
      </c>
      <c r="D615" s="33" t="s">
        <v>1027</v>
      </c>
      <c r="E615" s="90">
        <v>15.64</v>
      </c>
      <c r="F615" s="33" t="s">
        <v>1065</v>
      </c>
      <c r="G615" s="44" t="s">
        <v>829</v>
      </c>
      <c r="H615" s="44" t="s">
        <v>86</v>
      </c>
      <c r="I615" s="44" t="s">
        <v>968</v>
      </c>
      <c r="J615" s="44">
        <v>43559</v>
      </c>
      <c r="K615" s="91" t="s">
        <v>1032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1105</v>
      </c>
      <c r="C616" s="33" t="s">
        <v>1026</v>
      </c>
      <c r="D616" s="33" t="s">
        <v>1027</v>
      </c>
      <c r="E616" s="90">
        <v>115.28</v>
      </c>
      <c r="F616" s="33" t="s">
        <v>1106</v>
      </c>
      <c r="G616" s="44" t="s">
        <v>829</v>
      </c>
      <c r="H616" s="44" t="s">
        <v>86</v>
      </c>
      <c r="I616" s="44" t="s">
        <v>877</v>
      </c>
      <c r="J616" s="44">
        <v>43620</v>
      </c>
      <c r="K616" s="91" t="s">
        <v>1029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1129</v>
      </c>
      <c r="C617" s="33" t="s">
        <v>1026</v>
      </c>
      <c r="D617" s="33" t="s">
        <v>1027</v>
      </c>
      <c r="E617" s="90">
        <v>13.08</v>
      </c>
      <c r="F617" s="33" t="s">
        <v>1130</v>
      </c>
      <c r="G617" s="44" t="s">
        <v>829</v>
      </c>
      <c r="H617" s="44" t="s">
        <v>86</v>
      </c>
      <c r="I617" s="44" t="s">
        <v>877</v>
      </c>
      <c r="J617" s="44">
        <v>43675</v>
      </c>
      <c r="K617" s="91" t="s">
        <v>1032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1524</v>
      </c>
      <c r="C618" s="33" t="s">
        <v>1026</v>
      </c>
      <c r="D618" s="33" t="s">
        <v>1027</v>
      </c>
      <c r="E618" s="90"/>
      <c r="F618" s="33" t="s">
        <v>1525</v>
      </c>
      <c r="G618" s="44" t="s">
        <v>829</v>
      </c>
      <c r="H618" s="44" t="s">
        <v>86</v>
      </c>
      <c r="I618" s="44" t="s">
        <v>829</v>
      </c>
      <c r="J618" s="44" t="s">
        <v>1263</v>
      </c>
      <c r="K618" s="91" t="s">
        <v>1040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1285</v>
      </c>
      <c r="C619" s="33" t="s">
        <v>1026</v>
      </c>
      <c r="D619" s="33" t="s">
        <v>1027</v>
      </c>
      <c r="E619" s="90">
        <v>3049.18</v>
      </c>
      <c r="F619" s="33" t="s">
        <v>1286</v>
      </c>
      <c r="G619" s="44" t="s">
        <v>829</v>
      </c>
      <c r="H619" s="44" t="s">
        <v>86</v>
      </c>
      <c r="I619" s="44" t="s">
        <v>829</v>
      </c>
      <c r="J619" s="44">
        <v>44124</v>
      </c>
      <c r="K619" s="91" t="s">
        <v>1040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1283</v>
      </c>
      <c r="C620" s="33" t="s">
        <v>1026</v>
      </c>
      <c r="D620" s="33" t="s">
        <v>1027</v>
      </c>
      <c r="E620" s="90">
        <v>693.98</v>
      </c>
      <c r="F620" s="33" t="s">
        <v>1284</v>
      </c>
      <c r="G620" s="44" t="s">
        <v>829</v>
      </c>
      <c r="H620" s="44" t="s">
        <v>86</v>
      </c>
      <c r="I620" s="44" t="s">
        <v>829</v>
      </c>
      <c r="J620" s="44">
        <v>44118</v>
      </c>
      <c r="K620" s="91" t="s">
        <v>1040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1526</v>
      </c>
      <c r="C621" s="33" t="s">
        <v>1026</v>
      </c>
      <c r="D621" s="33" t="s">
        <v>1027</v>
      </c>
      <c r="E621" s="90"/>
      <c r="F621" s="33" t="s">
        <v>1527</v>
      </c>
      <c r="G621" s="44" t="s">
        <v>829</v>
      </c>
      <c r="H621" s="44" t="s">
        <v>86</v>
      </c>
      <c r="I621" s="44" t="s">
        <v>968</v>
      </c>
      <c r="J621" s="44">
        <v>43609</v>
      </c>
      <c r="K621" s="91" t="s">
        <v>1029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1528</v>
      </c>
      <c r="C622" s="33" t="s">
        <v>1026</v>
      </c>
      <c r="D622" s="33" t="s">
        <v>1027</v>
      </c>
      <c r="E622" s="90"/>
      <c r="F622" s="33" t="s">
        <v>1527</v>
      </c>
      <c r="G622" s="44" t="s">
        <v>829</v>
      </c>
      <c r="H622" s="44" t="s">
        <v>86</v>
      </c>
      <c r="I622" s="44" t="s">
        <v>968</v>
      </c>
      <c r="J622" s="44">
        <v>43609</v>
      </c>
      <c r="K622" s="91" t="s">
        <v>1053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1529</v>
      </c>
      <c r="C623" s="33" t="s">
        <v>1026</v>
      </c>
      <c r="D623" s="33" t="s">
        <v>1027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1530</v>
      </c>
      <c r="C624" s="33" t="s">
        <v>1026</v>
      </c>
      <c r="D624" s="33" t="s">
        <v>1027</v>
      </c>
      <c r="E624" s="90"/>
      <c r="F624" s="33" t="s">
        <v>1531</v>
      </c>
      <c r="G624" s="44" t="s">
        <v>829</v>
      </c>
      <c r="H624" s="44" t="s">
        <v>86</v>
      </c>
      <c r="I624" s="44" t="s">
        <v>877</v>
      </c>
      <c r="J624" s="44" t="s">
        <v>1263</v>
      </c>
      <c r="K624" s="91" t="s">
        <v>1040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1226</v>
      </c>
      <c r="C625" s="33" t="s">
        <v>47</v>
      </c>
      <c r="D625" s="33" t="s">
        <v>1027</v>
      </c>
      <c r="E625" s="90">
        <v>0</v>
      </c>
      <c r="F625" s="33" t="s">
        <v>1227</v>
      </c>
      <c r="G625" s="33" t="s">
        <v>903</v>
      </c>
      <c r="H625" s="33" t="s">
        <v>86</v>
      </c>
      <c r="I625" s="33" t="s">
        <v>960</v>
      </c>
      <c r="J625" s="44">
        <v>44105</v>
      </c>
      <c r="K625" s="92" t="s">
        <v>1029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1161</v>
      </c>
      <c r="C626" s="33" t="s">
        <v>1026</v>
      </c>
      <c r="D626" s="33" t="s">
        <v>1061</v>
      </c>
      <c r="E626" s="52">
        <v>73572.75</v>
      </c>
      <c r="F626" s="33" t="s">
        <v>1162</v>
      </c>
      <c r="G626" s="44" t="s">
        <v>829</v>
      </c>
      <c r="H626" s="44" t="s">
        <v>86</v>
      </c>
      <c r="I626" s="44" t="s">
        <v>877</v>
      </c>
      <c r="J626" s="44">
        <v>43875</v>
      </c>
      <c r="K626" s="91" t="s">
        <v>1053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1176</v>
      </c>
      <c r="C627" s="33" t="s">
        <v>1026</v>
      </c>
      <c r="D627" s="33" t="s">
        <v>1036</v>
      </c>
      <c r="E627" s="47">
        <v>10000</v>
      </c>
      <c r="F627" s="33" t="s">
        <v>1177</v>
      </c>
      <c r="G627" s="44" t="s">
        <v>834</v>
      </c>
      <c r="H627" s="44" t="s">
        <v>1175</v>
      </c>
      <c r="I627" s="44" t="s">
        <v>972</v>
      </c>
      <c r="J627" s="44">
        <v>44295</v>
      </c>
      <c r="K627" s="91" t="s">
        <v>1178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1482</v>
      </c>
      <c r="C628" s="46" t="s">
        <v>1026</v>
      </c>
      <c r="D628" s="33" t="s">
        <v>1027</v>
      </c>
      <c r="E628" s="47">
        <v>161212.56</v>
      </c>
      <c r="F628" s="33" t="s">
        <v>1483</v>
      </c>
      <c r="G628" s="44" t="s">
        <v>834</v>
      </c>
      <c r="H628" s="44" t="s">
        <v>1175</v>
      </c>
      <c r="I628" s="44" t="s">
        <v>970</v>
      </c>
      <c r="J628" s="44">
        <v>44319</v>
      </c>
      <c r="K628" s="91" t="s">
        <v>1121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1532</v>
      </c>
      <c r="C629" s="33" t="s">
        <v>1026</v>
      </c>
      <c r="D629" s="33" t="s">
        <v>1027</v>
      </c>
      <c r="E629" s="90"/>
      <c r="F629" s="33" t="s">
        <v>1533</v>
      </c>
      <c r="G629" s="44" t="s">
        <v>829</v>
      </c>
      <c r="H629" s="44" t="s">
        <v>86</v>
      </c>
      <c r="I629" s="44" t="s">
        <v>968</v>
      </c>
      <c r="J629" s="44" t="s">
        <v>1263</v>
      </c>
      <c r="K629" s="91" t="s">
        <v>1053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1534</v>
      </c>
      <c r="C630" s="33" t="s">
        <v>1026</v>
      </c>
      <c r="D630" s="33" t="s">
        <v>1027</v>
      </c>
      <c r="E630" s="90"/>
      <c r="F630" s="33" t="s">
        <v>1533</v>
      </c>
      <c r="G630" s="44" t="s">
        <v>829</v>
      </c>
      <c r="H630" s="44" t="s">
        <v>86</v>
      </c>
      <c r="I630" s="44" t="s">
        <v>968</v>
      </c>
      <c r="J630" s="44" t="s">
        <v>1263</v>
      </c>
      <c r="K630" s="91" t="s">
        <v>1029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1234</v>
      </c>
      <c r="C631" s="33" t="s">
        <v>1026</v>
      </c>
      <c r="D631" s="33" t="s">
        <v>1027</v>
      </c>
      <c r="E631" s="90">
        <v>1.47</v>
      </c>
      <c r="F631" s="33" t="s">
        <v>1235</v>
      </c>
      <c r="G631" s="44" t="s">
        <v>829</v>
      </c>
      <c r="H631" s="44" t="s">
        <v>86</v>
      </c>
      <c r="I631" s="44" t="s">
        <v>968</v>
      </c>
      <c r="J631" s="44">
        <v>43861</v>
      </c>
      <c r="K631" s="91" t="s">
        <v>1053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1155</v>
      </c>
      <c r="C632" s="33" t="s">
        <v>1026</v>
      </c>
      <c r="D632" s="33" t="s">
        <v>1027</v>
      </c>
      <c r="E632" s="90">
        <v>2.93</v>
      </c>
      <c r="F632" s="33" t="s">
        <v>1156</v>
      </c>
      <c r="G632" s="44" t="s">
        <v>829</v>
      </c>
      <c r="H632" s="44" t="s">
        <v>86</v>
      </c>
      <c r="I632" s="44" t="s">
        <v>968</v>
      </c>
      <c r="J632" s="44">
        <v>43622</v>
      </c>
      <c r="K632" s="91" t="s">
        <v>1053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1535</v>
      </c>
      <c r="C633" s="33" t="s">
        <v>1026</v>
      </c>
      <c r="D633" s="33" t="s">
        <v>1027</v>
      </c>
      <c r="E633" s="90"/>
      <c r="F633" s="33" t="s">
        <v>1156</v>
      </c>
      <c r="G633" s="44" t="s">
        <v>829</v>
      </c>
      <c r="H633" s="44" t="s">
        <v>86</v>
      </c>
      <c r="I633" s="44" t="s">
        <v>968</v>
      </c>
      <c r="J633" s="44">
        <v>43622</v>
      </c>
      <c r="K633" s="91" t="s">
        <v>1040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1323</v>
      </c>
      <c r="C634" s="33" t="s">
        <v>1026</v>
      </c>
      <c r="D634" s="33" t="s">
        <v>1027</v>
      </c>
      <c r="E634" s="90">
        <v>0.22</v>
      </c>
      <c r="F634" s="33" t="s">
        <v>1324</v>
      </c>
      <c r="G634" s="44" t="s">
        <v>829</v>
      </c>
      <c r="H634" s="44" t="s">
        <v>86</v>
      </c>
      <c r="I634" s="44" t="s">
        <v>829</v>
      </c>
      <c r="J634" s="44">
        <v>44036</v>
      </c>
      <c r="K634" s="91" t="s">
        <v>1053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1536</v>
      </c>
      <c r="C635" s="33" t="s">
        <v>1026</v>
      </c>
      <c r="D635" s="33" t="s">
        <v>1027</v>
      </c>
      <c r="E635" s="90"/>
      <c r="F635" s="33" t="s">
        <v>1537</v>
      </c>
      <c r="G635" s="44" t="s">
        <v>829</v>
      </c>
      <c r="H635" s="44" t="s">
        <v>86</v>
      </c>
      <c r="I635" s="44" t="s">
        <v>968</v>
      </c>
      <c r="J635" s="44" t="s">
        <v>1263</v>
      </c>
      <c r="K635" s="91" t="s">
        <v>1053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1110</v>
      </c>
      <c r="C636" s="33" t="s">
        <v>1026</v>
      </c>
      <c r="D636" s="33" t="s">
        <v>1027</v>
      </c>
      <c r="E636" s="90">
        <v>146.69</v>
      </c>
      <c r="F636" s="33" t="s">
        <v>1111</v>
      </c>
      <c r="G636" s="44" t="s">
        <v>829</v>
      </c>
      <c r="H636" s="44" t="s">
        <v>86</v>
      </c>
      <c r="I636" s="44" t="s">
        <v>877</v>
      </c>
      <c r="J636" s="44">
        <v>43732</v>
      </c>
      <c r="K636" s="91" t="s">
        <v>1032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1538</v>
      </c>
      <c r="C637" s="33" t="s">
        <v>1026</v>
      </c>
      <c r="D637" s="33" t="s">
        <v>1027</v>
      </c>
      <c r="E637" s="90">
        <v>78</v>
      </c>
      <c r="F637" s="33" t="s">
        <v>1539</v>
      </c>
      <c r="G637" s="44" t="s">
        <v>829</v>
      </c>
      <c r="H637" s="44" t="s">
        <v>86</v>
      </c>
      <c r="I637" s="44" t="s">
        <v>968</v>
      </c>
      <c r="J637" s="44">
        <v>43853</v>
      </c>
      <c r="K637" s="91" t="s">
        <v>1040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1540</v>
      </c>
      <c r="C638" s="46" t="s">
        <v>47</v>
      </c>
      <c r="D638" s="33" t="s">
        <v>1061</v>
      </c>
      <c r="E638" s="47">
        <v>44080.95</v>
      </c>
      <c r="F638" s="33" t="s">
        <v>1541</v>
      </c>
      <c r="G638" s="33" t="s">
        <v>903</v>
      </c>
      <c r="H638" s="33" t="s">
        <v>86</v>
      </c>
      <c r="I638" s="33" t="s">
        <v>1542</v>
      </c>
      <c r="J638" s="44">
        <v>44537</v>
      </c>
      <c r="K638" s="92" t="s">
        <v>1121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1504</v>
      </c>
      <c r="C639" s="46" t="s">
        <v>1026</v>
      </c>
      <c r="D639" s="33" t="s">
        <v>1036</v>
      </c>
      <c r="E639" s="47">
        <v>70000</v>
      </c>
      <c r="F639" s="33" t="s">
        <v>1505</v>
      </c>
      <c r="G639" s="44" t="s">
        <v>834</v>
      </c>
      <c r="H639" s="44" t="s">
        <v>1175</v>
      </c>
      <c r="I639" s="44" t="s">
        <v>970</v>
      </c>
      <c r="J639" s="44">
        <v>44393</v>
      </c>
      <c r="K639" s="91" t="s">
        <v>1506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1543</v>
      </c>
      <c r="C640" s="46" t="s">
        <v>47</v>
      </c>
      <c r="D640" s="33" t="s">
        <v>1036</v>
      </c>
      <c r="E640" s="47">
        <v>100000</v>
      </c>
      <c r="F640" s="54" t="s">
        <v>1539</v>
      </c>
      <c r="G640" s="33" t="s">
        <v>829</v>
      </c>
      <c r="H640" s="33" t="s">
        <v>86</v>
      </c>
      <c r="I640" s="33" t="s">
        <v>829</v>
      </c>
      <c r="J640" s="33" t="s">
        <v>1544</v>
      </c>
      <c r="K640" s="92" t="s">
        <v>1053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1545</v>
      </c>
      <c r="C641" s="46" t="s">
        <v>47</v>
      </c>
      <c r="D641" s="33" t="s">
        <v>1027</v>
      </c>
      <c r="E641" s="47">
        <v>90625.34</v>
      </c>
      <c r="F641" s="33" t="s">
        <v>1546</v>
      </c>
      <c r="G641" s="33" t="s">
        <v>834</v>
      </c>
      <c r="H641" s="33" t="s">
        <v>1298</v>
      </c>
      <c r="I641" s="33" t="s">
        <v>885</v>
      </c>
      <c r="J641" s="44">
        <v>44362</v>
      </c>
      <c r="K641" s="92" t="s">
        <v>1121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1239</v>
      </c>
      <c r="C642" s="46" t="s">
        <v>47</v>
      </c>
      <c r="D642" s="33" t="s">
        <v>1036</v>
      </c>
      <c r="E642" s="47">
        <v>16000</v>
      </c>
      <c r="F642" s="33" t="s">
        <v>1240</v>
      </c>
      <c r="G642" s="33" t="s">
        <v>903</v>
      </c>
      <c r="H642" s="33" t="s">
        <v>86</v>
      </c>
      <c r="I642" s="33" t="s">
        <v>934</v>
      </c>
      <c r="J642" s="44">
        <v>44180</v>
      </c>
      <c r="K642" s="92" t="s">
        <v>1040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1547</v>
      </c>
      <c r="C643" s="46" t="s">
        <v>47</v>
      </c>
      <c r="D643" s="33" t="s">
        <v>1027</v>
      </c>
      <c r="E643" s="47">
        <v>661576.63</v>
      </c>
      <c r="F643" s="33" t="s">
        <v>1548</v>
      </c>
      <c r="G643" s="33" t="s">
        <v>903</v>
      </c>
      <c r="H643" s="33" t="s">
        <v>86</v>
      </c>
      <c r="I643" s="33" t="s">
        <v>842</v>
      </c>
      <c r="J643" s="44">
        <v>44490</v>
      </c>
      <c r="K643" s="92" t="s">
        <v>1121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1190</v>
      </c>
      <c r="C644" s="46" t="s">
        <v>1026</v>
      </c>
      <c r="D644" s="33" t="s">
        <v>1027</v>
      </c>
      <c r="E644" s="47">
        <v>1915</v>
      </c>
      <c r="F644" s="33" t="s">
        <v>1191</v>
      </c>
      <c r="G644" s="44" t="s">
        <v>829</v>
      </c>
      <c r="H644" s="44" t="s">
        <v>86</v>
      </c>
      <c r="I644" s="44" t="s">
        <v>877</v>
      </c>
      <c r="J644" s="44">
        <v>43725</v>
      </c>
      <c r="K644" s="91" t="s">
        <v>1032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1083</v>
      </c>
      <c r="C645" s="46" t="s">
        <v>1026</v>
      </c>
      <c r="D645" s="33" t="s">
        <v>1036</v>
      </c>
      <c r="E645" s="47">
        <v>3000</v>
      </c>
      <c r="F645" s="33" t="s">
        <v>1084</v>
      </c>
      <c r="G645" s="44" t="s">
        <v>829</v>
      </c>
      <c r="H645" s="44" t="s">
        <v>86</v>
      </c>
      <c r="I645" s="44" t="s">
        <v>877</v>
      </c>
      <c r="J645" s="44">
        <v>43894</v>
      </c>
      <c r="K645" s="91" t="s">
        <v>1053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1549</v>
      </c>
      <c r="C646" s="46" t="s">
        <v>47</v>
      </c>
      <c r="D646" s="33" t="s">
        <v>1027</v>
      </c>
      <c r="E646" s="47">
        <v>792665.02</v>
      </c>
      <c r="F646" s="33" t="s">
        <v>1550</v>
      </c>
      <c r="G646" s="33" t="s">
        <v>903</v>
      </c>
      <c r="H646" s="33" t="s">
        <v>86</v>
      </c>
      <c r="I646" s="33" t="s">
        <v>901</v>
      </c>
      <c r="J646" s="44">
        <v>44368</v>
      </c>
      <c r="K646" s="92" t="s">
        <v>1029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1176</v>
      </c>
      <c r="C647" s="46" t="s">
        <v>1026</v>
      </c>
      <c r="D647" s="33" t="s">
        <v>1036</v>
      </c>
      <c r="E647" s="47">
        <v>10000</v>
      </c>
      <c r="F647" s="33" t="s">
        <v>1177</v>
      </c>
      <c r="G647" s="44" t="s">
        <v>834</v>
      </c>
      <c r="H647" s="44" t="s">
        <v>1175</v>
      </c>
      <c r="I647" s="44" t="s">
        <v>972</v>
      </c>
      <c r="J647" s="44">
        <v>44295</v>
      </c>
      <c r="K647" s="91" t="s">
        <v>1178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1051</v>
      </c>
      <c r="C648" s="46" t="s">
        <v>1026</v>
      </c>
      <c r="D648" s="33" t="s">
        <v>1036</v>
      </c>
      <c r="E648" s="47">
        <v>12000</v>
      </c>
      <c r="F648" s="33" t="s">
        <v>1052</v>
      </c>
      <c r="G648" s="44" t="s">
        <v>829</v>
      </c>
      <c r="H648" s="44" t="s">
        <v>86</v>
      </c>
      <c r="I648" s="44" t="s">
        <v>877</v>
      </c>
      <c r="J648" s="44">
        <v>43605</v>
      </c>
      <c r="K648" s="91" t="s">
        <v>1053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1551</v>
      </c>
      <c r="C649" s="46" t="s">
        <v>1026</v>
      </c>
      <c r="D649" s="33" t="s">
        <v>1036</v>
      </c>
      <c r="E649" s="47">
        <v>33000</v>
      </c>
      <c r="F649" s="33" t="s">
        <v>1552</v>
      </c>
      <c r="G649" s="33" t="s">
        <v>834</v>
      </c>
      <c r="H649" s="33" t="s">
        <v>1175</v>
      </c>
      <c r="I649" s="33" t="s">
        <v>974</v>
      </c>
      <c r="J649" s="44">
        <v>44383</v>
      </c>
      <c r="K649" s="92" t="s">
        <v>1053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1307</v>
      </c>
      <c r="C650" s="46" t="s">
        <v>1026</v>
      </c>
      <c r="D650" s="33" t="s">
        <v>1036</v>
      </c>
      <c r="E650" s="47">
        <v>10000</v>
      </c>
      <c r="F650" s="33" t="s">
        <v>1308</v>
      </c>
      <c r="G650" s="44" t="s">
        <v>834</v>
      </c>
      <c r="H650" s="44" t="s">
        <v>1175</v>
      </c>
      <c r="I650" s="44" t="s">
        <v>970</v>
      </c>
      <c r="J650" s="44">
        <v>44319</v>
      </c>
      <c r="K650" s="91" t="s">
        <v>1040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1553</v>
      </c>
      <c r="C651" s="46" t="s">
        <v>47</v>
      </c>
      <c r="D651" s="33" t="s">
        <v>1027</v>
      </c>
      <c r="E651" s="47">
        <v>295388.82</v>
      </c>
      <c r="F651" s="33" t="s">
        <v>1554</v>
      </c>
      <c r="G651" s="33" t="s">
        <v>903</v>
      </c>
      <c r="H651" s="33" t="s">
        <v>86</v>
      </c>
      <c r="I651" s="33" t="s">
        <v>889</v>
      </c>
      <c r="J651" s="44">
        <v>44111</v>
      </c>
      <c r="K651" s="92" t="s">
        <v>1121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1287</v>
      </c>
      <c r="C652" s="46" t="s">
        <v>1026</v>
      </c>
      <c r="D652" s="33" t="s">
        <v>1036</v>
      </c>
      <c r="E652" s="47">
        <v>14000</v>
      </c>
      <c r="F652" s="33" t="s">
        <v>1288</v>
      </c>
      <c r="G652" s="44" t="s">
        <v>834</v>
      </c>
      <c r="H652" s="44" t="s">
        <v>1175</v>
      </c>
      <c r="I652" s="44" t="s">
        <v>972</v>
      </c>
      <c r="J652" s="44">
        <v>44280</v>
      </c>
      <c r="K652" s="91" t="s">
        <v>1040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1305</v>
      </c>
      <c r="C653" s="46" t="s">
        <v>1026</v>
      </c>
      <c r="D653" s="33" t="s">
        <v>1036</v>
      </c>
      <c r="E653" s="47">
        <v>40000</v>
      </c>
      <c r="F653" s="33" t="s">
        <v>1306</v>
      </c>
      <c r="G653" s="44" t="s">
        <v>834</v>
      </c>
      <c r="H653" s="44" t="s">
        <v>1175</v>
      </c>
      <c r="I653" s="44" t="s">
        <v>974</v>
      </c>
      <c r="J653" s="44">
        <v>44266</v>
      </c>
      <c r="K653" s="91" t="s">
        <v>1053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1555</v>
      </c>
      <c r="C654" s="46" t="s">
        <v>47</v>
      </c>
      <c r="D654" s="33" t="s">
        <v>1027</v>
      </c>
      <c r="E654" s="47">
        <v>142605.94</v>
      </c>
      <c r="F654" s="33" t="s">
        <v>1556</v>
      </c>
      <c r="G654" s="33" t="s">
        <v>834</v>
      </c>
      <c r="H654" s="33" t="s">
        <v>86</v>
      </c>
      <c r="I654" s="33" t="s">
        <v>865</v>
      </c>
      <c r="J654" s="44">
        <v>44271</v>
      </c>
      <c r="K654" s="92" t="s">
        <v>1437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1557</v>
      </c>
      <c r="C655" s="46" t="s">
        <v>47</v>
      </c>
      <c r="D655" s="33" t="s">
        <v>1027</v>
      </c>
      <c r="E655" s="47">
        <v>148678.48000000001</v>
      </c>
      <c r="F655" s="33" t="s">
        <v>1556</v>
      </c>
      <c r="G655" s="33" t="s">
        <v>834</v>
      </c>
      <c r="H655" s="33" t="s">
        <v>86</v>
      </c>
      <c r="I655" s="33" t="s">
        <v>838</v>
      </c>
      <c r="J655" s="44">
        <v>44272</v>
      </c>
      <c r="K655" s="92" t="s">
        <v>1053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1266</v>
      </c>
      <c r="C656" s="46" t="s">
        <v>1026</v>
      </c>
      <c r="D656" s="33" t="s">
        <v>1036</v>
      </c>
      <c r="E656" s="47">
        <v>20000</v>
      </c>
      <c r="F656" s="33" t="s">
        <v>1267</v>
      </c>
      <c r="G656" s="44" t="s">
        <v>834</v>
      </c>
      <c r="H656" s="44" t="s">
        <v>1175</v>
      </c>
      <c r="I656" s="44" t="s">
        <v>970</v>
      </c>
      <c r="J656" s="44">
        <v>44298</v>
      </c>
      <c r="K656" s="91" t="s">
        <v>1040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1309</v>
      </c>
      <c r="C657" s="46" t="s">
        <v>1026</v>
      </c>
      <c r="D657" s="33" t="s">
        <v>1036</v>
      </c>
      <c r="E657" s="47">
        <v>30000</v>
      </c>
      <c r="F657" s="33" t="s">
        <v>1310</v>
      </c>
      <c r="G657" s="44" t="s">
        <v>834</v>
      </c>
      <c r="H657" s="44" t="s">
        <v>1175</v>
      </c>
      <c r="I657" s="44" t="s">
        <v>972</v>
      </c>
      <c r="J657" s="44">
        <v>44280</v>
      </c>
      <c r="K657" s="91" t="s">
        <v>1121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1112</v>
      </c>
      <c r="C658" s="46" t="s">
        <v>1026</v>
      </c>
      <c r="D658" s="33" t="s">
        <v>1036</v>
      </c>
      <c r="E658" s="47">
        <v>200000</v>
      </c>
      <c r="F658" s="33" t="s">
        <v>1113</v>
      </c>
      <c r="G658" s="44" t="s">
        <v>829</v>
      </c>
      <c r="H658" s="44" t="s">
        <v>86</v>
      </c>
      <c r="I658" s="44" t="s">
        <v>877</v>
      </c>
      <c r="J658" s="44">
        <v>43620</v>
      </c>
      <c r="K658" s="91" t="s">
        <v>1040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1266</v>
      </c>
      <c r="C659" s="46" t="s">
        <v>1026</v>
      </c>
      <c r="D659" s="33" t="s">
        <v>1036</v>
      </c>
      <c r="E659" s="47">
        <v>3000</v>
      </c>
      <c r="F659" s="33" t="s">
        <v>1267</v>
      </c>
      <c r="G659" s="44" t="s">
        <v>834</v>
      </c>
      <c r="H659" s="44" t="s">
        <v>1175</v>
      </c>
      <c r="I659" s="44" t="s">
        <v>970</v>
      </c>
      <c r="J659" s="44">
        <v>44298</v>
      </c>
      <c r="K659" s="91" t="s">
        <v>1040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1173</v>
      </c>
      <c r="C660" s="46" t="s">
        <v>1026</v>
      </c>
      <c r="D660" s="33" t="s">
        <v>1036</v>
      </c>
      <c r="E660" s="47">
        <v>40000</v>
      </c>
      <c r="F660" s="33" t="s">
        <v>1174</v>
      </c>
      <c r="G660" s="44" t="s">
        <v>834</v>
      </c>
      <c r="H660" s="44" t="s">
        <v>1175</v>
      </c>
      <c r="I660" s="44" t="s">
        <v>972</v>
      </c>
      <c r="J660" s="44">
        <v>44321</v>
      </c>
      <c r="K660" s="91" t="s">
        <v>1040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1275</v>
      </c>
      <c r="C661" s="46" t="s">
        <v>1026</v>
      </c>
      <c r="D661" s="33" t="s">
        <v>1036</v>
      </c>
      <c r="E661" s="47">
        <v>30000</v>
      </c>
      <c r="F661" s="33" t="s">
        <v>1276</v>
      </c>
      <c r="G661" s="44" t="s">
        <v>834</v>
      </c>
      <c r="H661" s="44" t="s">
        <v>1175</v>
      </c>
      <c r="I661" s="44" t="s">
        <v>970</v>
      </c>
      <c r="J661" s="44">
        <v>44279</v>
      </c>
      <c r="K661" s="91" t="s">
        <v>1040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1182</v>
      </c>
      <c r="C662" s="46" t="s">
        <v>47</v>
      </c>
      <c r="D662" s="33" t="s">
        <v>1036</v>
      </c>
      <c r="E662" s="47">
        <v>5000</v>
      </c>
      <c r="F662" s="33" t="s">
        <v>1183</v>
      </c>
      <c r="G662" s="33" t="s">
        <v>903</v>
      </c>
      <c r="H662" s="33" t="s">
        <v>86</v>
      </c>
      <c r="I662" s="33" t="s">
        <v>911</v>
      </c>
      <c r="J662" s="44">
        <v>44263</v>
      </c>
      <c r="K662" s="92" t="s">
        <v>1040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1340</v>
      </c>
      <c r="C663" s="46" t="s">
        <v>47</v>
      </c>
      <c r="D663" s="33" t="s">
        <v>1036</v>
      </c>
      <c r="E663" s="47">
        <v>12284.53</v>
      </c>
      <c r="F663" s="33" t="s">
        <v>1341</v>
      </c>
      <c r="G663" s="33" t="s">
        <v>903</v>
      </c>
      <c r="H663" s="33" t="s">
        <v>86</v>
      </c>
      <c r="I663" s="33" t="s">
        <v>1558</v>
      </c>
      <c r="J663" s="44">
        <v>44180</v>
      </c>
      <c r="K663" s="92" t="s">
        <v>1053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1559</v>
      </c>
      <c r="C664" s="46" t="s">
        <v>47</v>
      </c>
      <c r="D664" s="33" t="s">
        <v>1027</v>
      </c>
      <c r="E664" s="47">
        <v>282779.84000000003</v>
      </c>
      <c r="F664" s="33" t="s">
        <v>1560</v>
      </c>
      <c r="G664" s="33" t="s">
        <v>903</v>
      </c>
      <c r="H664" s="33" t="s">
        <v>86</v>
      </c>
      <c r="I664" s="33" t="s">
        <v>848</v>
      </c>
      <c r="J664" s="44">
        <v>44238</v>
      </c>
      <c r="K664" s="92" t="s">
        <v>1121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1455</v>
      </c>
      <c r="C665" s="46" t="s">
        <v>1026</v>
      </c>
      <c r="D665" s="33" t="s">
        <v>1036</v>
      </c>
      <c r="E665" s="47">
        <v>25000</v>
      </c>
      <c r="F665" s="33" t="s">
        <v>1456</v>
      </c>
      <c r="G665" s="44" t="s">
        <v>834</v>
      </c>
      <c r="H665" s="44" t="s">
        <v>1175</v>
      </c>
      <c r="I665" s="44" t="s">
        <v>972</v>
      </c>
      <c r="J665" s="44">
        <v>44263</v>
      </c>
      <c r="K665" s="91" t="s">
        <v>1053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1377</v>
      </c>
      <c r="C666" s="46" t="s">
        <v>1026</v>
      </c>
      <c r="D666" s="33" t="s">
        <v>1036</v>
      </c>
      <c r="E666" s="47">
        <v>50000</v>
      </c>
      <c r="F666" s="33" t="s">
        <v>1378</v>
      </c>
      <c r="G666" s="44" t="s">
        <v>834</v>
      </c>
      <c r="H666" s="44" t="s">
        <v>1175</v>
      </c>
      <c r="I666" s="44" t="s">
        <v>972</v>
      </c>
      <c r="J666" s="44">
        <v>44263</v>
      </c>
      <c r="K666" s="91" t="s">
        <v>1121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1561</v>
      </c>
      <c r="C667" s="46" t="s">
        <v>1026</v>
      </c>
      <c r="D667" s="33" t="s">
        <v>1036</v>
      </c>
      <c r="E667" s="47">
        <v>10000</v>
      </c>
      <c r="F667" s="33" t="s">
        <v>1562</v>
      </c>
      <c r="G667" s="44" t="s">
        <v>834</v>
      </c>
      <c r="H667" s="44" t="s">
        <v>1175</v>
      </c>
      <c r="I667" s="44" t="s">
        <v>972</v>
      </c>
      <c r="J667" s="44">
        <v>44323</v>
      </c>
      <c r="K667" s="91" t="s">
        <v>1437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1563</v>
      </c>
      <c r="C668" s="46" t="s">
        <v>47</v>
      </c>
      <c r="D668" s="33" t="s">
        <v>1036</v>
      </c>
      <c r="E668" s="47">
        <v>18000</v>
      </c>
      <c r="F668" s="33" t="s">
        <v>1564</v>
      </c>
      <c r="G668" s="33" t="s">
        <v>829</v>
      </c>
      <c r="H668" s="33" t="s">
        <v>86</v>
      </c>
      <c r="I668" s="33" t="s">
        <v>829</v>
      </c>
      <c r="J668" s="44">
        <v>44151</v>
      </c>
      <c r="K668" s="92" t="s">
        <v>1040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1565</v>
      </c>
      <c r="C669" s="46" t="s">
        <v>1026</v>
      </c>
      <c r="D669" s="33" t="s">
        <v>1061</v>
      </c>
      <c r="E669" s="39">
        <v>52493.45</v>
      </c>
      <c r="F669" s="33" t="s">
        <v>1566</v>
      </c>
      <c r="G669" s="44" t="s">
        <v>834</v>
      </c>
      <c r="H669" s="44" t="s">
        <v>1175</v>
      </c>
      <c r="I669" s="44" t="s">
        <v>972</v>
      </c>
      <c r="J669" s="44">
        <v>44411</v>
      </c>
      <c r="K669" s="91" t="s">
        <v>1040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1049</v>
      </c>
      <c r="C670" s="46" t="s">
        <v>1026</v>
      </c>
      <c r="D670" s="33" t="s">
        <v>1036</v>
      </c>
      <c r="E670" s="47">
        <v>200000</v>
      </c>
      <c r="F670" s="33" t="s">
        <v>1050</v>
      </c>
      <c r="G670" s="44" t="s">
        <v>829</v>
      </c>
      <c r="H670" s="44" t="s">
        <v>86</v>
      </c>
      <c r="I670" s="44" t="s">
        <v>877</v>
      </c>
      <c r="J670" s="44">
        <v>43567</v>
      </c>
      <c r="K670" s="91" t="s">
        <v>1040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1567</v>
      </c>
      <c r="C671" s="46" t="s">
        <v>1026</v>
      </c>
      <c r="D671" s="33" t="s">
        <v>1027</v>
      </c>
      <c r="E671" s="47">
        <v>386234.9</v>
      </c>
      <c r="F671" s="33" t="s">
        <v>1568</v>
      </c>
      <c r="G671" s="44" t="s">
        <v>829</v>
      </c>
      <c r="H671" s="44" t="s">
        <v>86</v>
      </c>
      <c r="I671" s="44" t="s">
        <v>877</v>
      </c>
      <c r="J671" s="44">
        <v>43692</v>
      </c>
      <c r="K671" s="91" t="s">
        <v>1032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1488</v>
      </c>
      <c r="C672" s="46" t="s">
        <v>1026</v>
      </c>
      <c r="D672" s="33" t="s">
        <v>1061</v>
      </c>
      <c r="E672" s="47">
        <v>1035319</v>
      </c>
      <c r="F672" s="33" t="s">
        <v>1489</v>
      </c>
      <c r="G672" s="44" t="s">
        <v>834</v>
      </c>
      <c r="H672" s="44" t="s">
        <v>1175</v>
      </c>
      <c r="I672" s="44" t="s">
        <v>972</v>
      </c>
      <c r="J672" s="44">
        <v>44319</v>
      </c>
      <c r="K672" s="91" t="s">
        <v>1040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1569</v>
      </c>
      <c r="C673" s="46" t="s">
        <v>1026</v>
      </c>
      <c r="D673" s="33" t="s">
        <v>1036</v>
      </c>
      <c r="E673" s="47">
        <v>359568.24</v>
      </c>
      <c r="F673" s="33" t="s">
        <v>1570</v>
      </c>
      <c r="G673" s="44" t="s">
        <v>829</v>
      </c>
      <c r="H673" s="44" t="s">
        <v>86</v>
      </c>
      <c r="I673" s="44" t="s">
        <v>877</v>
      </c>
      <c r="J673" s="44">
        <v>43570</v>
      </c>
      <c r="K673" s="91" t="s">
        <v>1053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1047</v>
      </c>
      <c r="C674" s="46" t="s">
        <v>1026</v>
      </c>
      <c r="D674" s="33" t="s">
        <v>1036</v>
      </c>
      <c r="E674" s="98">
        <v>10000</v>
      </c>
      <c r="F674" s="33" t="s">
        <v>1048</v>
      </c>
      <c r="G674" s="44" t="s">
        <v>829</v>
      </c>
      <c r="H674" s="44" t="s">
        <v>86</v>
      </c>
      <c r="I674" s="44" t="s">
        <v>877</v>
      </c>
      <c r="J674" s="44">
        <v>43703</v>
      </c>
      <c r="K674" s="91" t="s">
        <v>1032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1571</v>
      </c>
      <c r="C675" s="46" t="s">
        <v>1026</v>
      </c>
      <c r="D675" s="33" t="s">
        <v>1027</v>
      </c>
      <c r="E675" s="98">
        <v>103527.44</v>
      </c>
      <c r="F675" s="33" t="s">
        <v>1572</v>
      </c>
      <c r="G675" s="44" t="s">
        <v>829</v>
      </c>
      <c r="H675" s="44" t="s">
        <v>86</v>
      </c>
      <c r="I675" s="44" t="s">
        <v>968</v>
      </c>
      <c r="J675" s="44">
        <v>43633</v>
      </c>
      <c r="K675" s="91" t="s">
        <v>1053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1239</v>
      </c>
      <c r="C676" s="46" t="s">
        <v>47</v>
      </c>
      <c r="D676" s="33" t="s">
        <v>1036</v>
      </c>
      <c r="E676" s="98">
        <v>20000</v>
      </c>
      <c r="F676" s="33" t="s">
        <v>1240</v>
      </c>
      <c r="G676" s="33" t="s">
        <v>903</v>
      </c>
      <c r="H676" s="33" t="s">
        <v>86</v>
      </c>
      <c r="I676" s="33" t="s">
        <v>934</v>
      </c>
      <c r="J676" s="44">
        <v>44180</v>
      </c>
      <c r="K676" s="92" t="s">
        <v>1040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1176</v>
      </c>
      <c r="C677" s="46" t="s">
        <v>1026</v>
      </c>
      <c r="D677" s="33" t="s">
        <v>1036</v>
      </c>
      <c r="E677" s="98">
        <v>10000</v>
      </c>
      <c r="F677" s="33" t="s">
        <v>1177</v>
      </c>
      <c r="G677" s="44" t="s">
        <v>834</v>
      </c>
      <c r="H677" s="44" t="s">
        <v>1175</v>
      </c>
      <c r="I677" s="44" t="s">
        <v>972</v>
      </c>
      <c r="J677" s="44">
        <v>44295</v>
      </c>
      <c r="K677" s="91" t="s">
        <v>1178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1313</v>
      </c>
      <c r="C678" s="46" t="s">
        <v>1026</v>
      </c>
      <c r="D678" s="33" t="s">
        <v>1061</v>
      </c>
      <c r="E678" s="103">
        <v>52575.43</v>
      </c>
      <c r="F678" s="33" t="s">
        <v>1314</v>
      </c>
      <c r="G678" s="44" t="s">
        <v>834</v>
      </c>
      <c r="H678" s="44" t="s">
        <v>1175</v>
      </c>
      <c r="I678" s="44" t="s">
        <v>972</v>
      </c>
      <c r="J678" s="44">
        <v>44322</v>
      </c>
      <c r="K678" s="91" t="s">
        <v>1040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1511</v>
      </c>
      <c r="C679" s="46" t="s">
        <v>1026</v>
      </c>
      <c r="D679" s="33" t="s">
        <v>1036</v>
      </c>
      <c r="E679" s="39">
        <v>6843.64</v>
      </c>
      <c r="F679" s="33" t="s">
        <v>1512</v>
      </c>
      <c r="G679" s="44" t="s">
        <v>834</v>
      </c>
      <c r="H679" s="44" t="s">
        <v>1175</v>
      </c>
      <c r="I679" s="44" t="s">
        <v>972</v>
      </c>
      <c r="J679" s="44">
        <v>44421</v>
      </c>
      <c r="K679" s="91" t="s">
        <v>1040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1573</v>
      </c>
      <c r="C680" s="46" t="s">
        <v>47</v>
      </c>
      <c r="D680" s="33" t="s">
        <v>1027</v>
      </c>
      <c r="E680" s="98">
        <v>124370.77</v>
      </c>
      <c r="F680" s="33" t="s">
        <v>1574</v>
      </c>
      <c r="G680" s="33" t="s">
        <v>903</v>
      </c>
      <c r="H680" s="33" t="s">
        <v>86</v>
      </c>
      <c r="I680" s="33" t="s">
        <v>966</v>
      </c>
      <c r="J680" s="44">
        <v>44209</v>
      </c>
      <c r="K680" s="92" t="s">
        <v>1437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1303</v>
      </c>
      <c r="C681" s="46" t="s">
        <v>1026</v>
      </c>
      <c r="D681" s="33" t="s">
        <v>1036</v>
      </c>
      <c r="E681" s="98">
        <v>3000</v>
      </c>
      <c r="F681" s="33" t="s">
        <v>1304</v>
      </c>
      <c r="G681" s="44" t="s">
        <v>834</v>
      </c>
      <c r="H681" s="44" t="s">
        <v>1175</v>
      </c>
      <c r="I681" s="44" t="s">
        <v>970</v>
      </c>
      <c r="J681" s="44">
        <v>44322</v>
      </c>
      <c r="K681" s="91" t="s">
        <v>1040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1565</v>
      </c>
      <c r="C682" s="46" t="s">
        <v>1026</v>
      </c>
      <c r="D682" s="33" t="s">
        <v>1027</v>
      </c>
      <c r="E682" s="98">
        <v>0</v>
      </c>
      <c r="F682" s="33" t="s">
        <v>1566</v>
      </c>
      <c r="G682" s="44" t="s">
        <v>834</v>
      </c>
      <c r="H682" s="44" t="s">
        <v>1175</v>
      </c>
      <c r="I682" s="44" t="s">
        <v>972</v>
      </c>
      <c r="J682" s="44">
        <v>44411</v>
      </c>
      <c r="K682" s="91" t="s">
        <v>1040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1313</v>
      </c>
      <c r="C683" s="46" t="s">
        <v>1026</v>
      </c>
      <c r="D683" s="33" t="s">
        <v>1027</v>
      </c>
      <c r="E683" s="103">
        <v>52575.43</v>
      </c>
      <c r="F683" s="33" t="s">
        <v>1314</v>
      </c>
      <c r="G683" s="44" t="s">
        <v>834</v>
      </c>
      <c r="H683" s="44" t="s">
        <v>1175</v>
      </c>
      <c r="I683" s="44" t="s">
        <v>972</v>
      </c>
      <c r="J683" s="44">
        <v>44322</v>
      </c>
      <c r="K683" s="91" t="s">
        <v>1040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1515</v>
      </c>
      <c r="C684" s="46" t="s">
        <v>1026</v>
      </c>
      <c r="D684" s="33" t="s">
        <v>1027</v>
      </c>
      <c r="E684" s="103">
        <v>3940.3</v>
      </c>
      <c r="F684" s="33" t="s">
        <v>1516</v>
      </c>
      <c r="G684" s="44" t="s">
        <v>834</v>
      </c>
      <c r="H684" s="44" t="s">
        <v>1175</v>
      </c>
      <c r="I684" s="44" t="s">
        <v>972</v>
      </c>
      <c r="J684" s="44">
        <v>44333</v>
      </c>
      <c r="K684" s="91" t="s">
        <v>1040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1490</v>
      </c>
      <c r="C685" s="46" t="s">
        <v>1026</v>
      </c>
      <c r="D685" s="33" t="s">
        <v>1027</v>
      </c>
      <c r="E685" s="98">
        <v>2041.36</v>
      </c>
      <c r="F685" s="33" t="s">
        <v>1491</v>
      </c>
      <c r="G685" s="44" t="s">
        <v>834</v>
      </c>
      <c r="H685" s="44" t="s">
        <v>1175</v>
      </c>
      <c r="I685" s="44" t="s">
        <v>972</v>
      </c>
      <c r="J685" s="44">
        <v>44280</v>
      </c>
      <c r="K685" s="91" t="s">
        <v>1029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1275</v>
      </c>
      <c r="C686" s="46" t="s">
        <v>1026</v>
      </c>
      <c r="D686" s="33" t="s">
        <v>1036</v>
      </c>
      <c r="E686" s="98">
        <v>54835.4</v>
      </c>
      <c r="F686" s="33" t="s">
        <v>1276</v>
      </c>
      <c r="G686" s="44" t="s">
        <v>834</v>
      </c>
      <c r="H686" s="44" t="s">
        <v>1175</v>
      </c>
      <c r="I686" s="44" t="s">
        <v>970</v>
      </c>
      <c r="J686" s="44">
        <v>44279</v>
      </c>
      <c r="K686" s="91" t="s">
        <v>1040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1367</v>
      </c>
      <c r="C687" s="46" t="s">
        <v>1026</v>
      </c>
      <c r="D687" s="33" t="s">
        <v>1036</v>
      </c>
      <c r="E687" s="98">
        <v>100000</v>
      </c>
      <c r="F687" s="33" t="s">
        <v>1368</v>
      </c>
      <c r="G687" s="44" t="s">
        <v>834</v>
      </c>
      <c r="H687" s="44" t="s">
        <v>1175</v>
      </c>
      <c r="I687" s="44" t="s">
        <v>970</v>
      </c>
      <c r="J687" s="44">
        <v>44321</v>
      </c>
      <c r="K687" s="91" t="s">
        <v>1053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1575</v>
      </c>
      <c r="C688" s="46" t="s">
        <v>47</v>
      </c>
      <c r="D688" s="33" t="s">
        <v>1027</v>
      </c>
      <c r="E688" s="98">
        <v>290532.13</v>
      </c>
      <c r="F688" s="33" t="s">
        <v>1576</v>
      </c>
      <c r="G688" s="33" t="s">
        <v>834</v>
      </c>
      <c r="H688" s="33" t="s">
        <v>1298</v>
      </c>
      <c r="I688" s="33" t="s">
        <v>885</v>
      </c>
      <c r="J688" s="44">
        <v>44259</v>
      </c>
      <c r="K688" s="92" t="s">
        <v>1029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1182</v>
      </c>
      <c r="C689" s="46" t="s">
        <v>47</v>
      </c>
      <c r="D689" s="33" t="s">
        <v>1036</v>
      </c>
      <c r="E689" s="98">
        <v>5000</v>
      </c>
      <c r="F689" s="33" t="s">
        <v>1183</v>
      </c>
      <c r="G689" s="33" t="s">
        <v>903</v>
      </c>
      <c r="H689" s="33" t="s">
        <v>86</v>
      </c>
      <c r="I689" s="33" t="s">
        <v>911</v>
      </c>
      <c r="J689" s="44">
        <v>44263</v>
      </c>
      <c r="K689" s="92" t="s">
        <v>1121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1577</v>
      </c>
      <c r="C690" s="46" t="s">
        <v>47</v>
      </c>
      <c r="D690" s="33" t="s">
        <v>1027</v>
      </c>
      <c r="E690" s="98">
        <v>93114.82</v>
      </c>
      <c r="F690" s="33" t="s">
        <v>1578</v>
      </c>
      <c r="G690" s="33" t="s">
        <v>903</v>
      </c>
      <c r="H690" s="33" t="s">
        <v>86</v>
      </c>
      <c r="I690" s="33" t="s">
        <v>930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1579</v>
      </c>
      <c r="C691" s="46" t="s">
        <v>47</v>
      </c>
      <c r="D691" s="33" t="s">
        <v>1036</v>
      </c>
      <c r="E691" s="98">
        <v>48809.84</v>
      </c>
      <c r="F691" s="33" t="s">
        <v>1580</v>
      </c>
      <c r="G691" s="33" t="s">
        <v>834</v>
      </c>
      <c r="H691" s="33" t="s">
        <v>1298</v>
      </c>
      <c r="I691" s="33" t="s">
        <v>840</v>
      </c>
      <c r="J691" s="44">
        <v>44340</v>
      </c>
      <c r="K691" s="92" t="s">
        <v>1029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1581</v>
      </c>
      <c r="C692" s="46" t="s">
        <v>47</v>
      </c>
      <c r="D692" s="33" t="s">
        <v>1036</v>
      </c>
      <c r="E692" s="98">
        <v>10000</v>
      </c>
      <c r="F692" s="33" t="s">
        <v>1582</v>
      </c>
      <c r="G692" s="33" t="s">
        <v>834</v>
      </c>
      <c r="H692" s="33" t="s">
        <v>86</v>
      </c>
      <c r="I692" s="33" t="s">
        <v>919</v>
      </c>
      <c r="J692" s="44">
        <v>44399</v>
      </c>
      <c r="K692" s="92" t="s">
        <v>1040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1321</v>
      </c>
      <c r="C693" s="46" t="s">
        <v>1026</v>
      </c>
      <c r="D693" s="33" t="s">
        <v>1027</v>
      </c>
      <c r="E693" s="98">
        <v>370651.89</v>
      </c>
      <c r="F693" s="33" t="s">
        <v>1322</v>
      </c>
      <c r="G693" s="44" t="s">
        <v>829</v>
      </c>
      <c r="H693" s="44" t="s">
        <v>86</v>
      </c>
      <c r="I693" s="44" t="s">
        <v>968</v>
      </c>
      <c r="J693" s="44">
        <v>43752</v>
      </c>
      <c r="K693" s="91" t="s">
        <v>1040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1307</v>
      </c>
      <c r="C694" s="46" t="s">
        <v>1026</v>
      </c>
      <c r="D694" s="33" t="s">
        <v>1036</v>
      </c>
      <c r="E694" s="98">
        <v>10000</v>
      </c>
      <c r="F694" s="33" t="s">
        <v>1308</v>
      </c>
      <c r="G694" s="44" t="s">
        <v>834</v>
      </c>
      <c r="H694" s="44" t="s">
        <v>1175</v>
      </c>
      <c r="I694" s="44" t="s">
        <v>970</v>
      </c>
      <c r="J694" s="44">
        <v>44319</v>
      </c>
      <c r="K694" s="91" t="s">
        <v>1040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1583</v>
      </c>
      <c r="C695" s="46" t="s">
        <v>47</v>
      </c>
      <c r="D695" s="33" t="s">
        <v>1036</v>
      </c>
      <c r="E695" s="98">
        <v>25000</v>
      </c>
      <c r="F695" s="33" t="s">
        <v>1584</v>
      </c>
      <c r="G695" s="33" t="s">
        <v>829</v>
      </c>
      <c r="H695" s="59" t="s">
        <v>86</v>
      </c>
      <c r="I695" s="59" t="s">
        <v>829</v>
      </c>
      <c r="J695" s="60">
        <v>44452</v>
      </c>
      <c r="K695" s="92" t="s">
        <v>1040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1147</v>
      </c>
      <c r="C696" s="46" t="s">
        <v>1026</v>
      </c>
      <c r="D696" s="33" t="s">
        <v>1061</v>
      </c>
      <c r="E696" s="98">
        <v>282315.92</v>
      </c>
      <c r="F696" s="33" t="s">
        <v>1148</v>
      </c>
      <c r="G696" s="44" t="s">
        <v>829</v>
      </c>
      <c r="H696" s="44" t="s">
        <v>86</v>
      </c>
      <c r="I696" s="44" t="s">
        <v>877</v>
      </c>
      <c r="J696" s="44">
        <v>43707</v>
      </c>
      <c r="K696" s="91" t="s">
        <v>1029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1585</v>
      </c>
      <c r="C697" s="46" t="s">
        <v>1026</v>
      </c>
      <c r="D697" s="33" t="s">
        <v>1061</v>
      </c>
      <c r="E697" s="98">
        <v>33813.279999999999</v>
      </c>
      <c r="F697" s="33" t="s">
        <v>1586</v>
      </c>
      <c r="G697" s="44" t="s">
        <v>829</v>
      </c>
      <c r="H697" s="44" t="s">
        <v>86</v>
      </c>
      <c r="I697" s="44" t="s">
        <v>877</v>
      </c>
      <c r="J697" s="44">
        <v>43769</v>
      </c>
      <c r="K697" s="91" t="s">
        <v>1053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1327</v>
      </c>
      <c r="C698" s="46" t="s">
        <v>1026</v>
      </c>
      <c r="D698" s="33" t="s">
        <v>1061</v>
      </c>
      <c r="E698" s="98">
        <v>90662.42</v>
      </c>
      <c r="F698" s="33" t="s">
        <v>1328</v>
      </c>
      <c r="G698" s="44" t="s">
        <v>829</v>
      </c>
      <c r="H698" s="44" t="s">
        <v>86</v>
      </c>
      <c r="I698" s="44" t="s">
        <v>877</v>
      </c>
      <c r="J698" s="44">
        <v>43753</v>
      </c>
      <c r="K698" s="91" t="s">
        <v>1040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1051</v>
      </c>
      <c r="C699" s="46" t="s">
        <v>1026</v>
      </c>
      <c r="D699" s="33" t="s">
        <v>1036</v>
      </c>
      <c r="E699" s="98">
        <v>2000</v>
      </c>
      <c r="F699" s="33" t="s">
        <v>1052</v>
      </c>
      <c r="G699" s="44" t="s">
        <v>829</v>
      </c>
      <c r="H699" s="44" t="s">
        <v>86</v>
      </c>
      <c r="I699" s="44" t="s">
        <v>877</v>
      </c>
      <c r="J699" s="44">
        <v>43605</v>
      </c>
      <c r="K699" s="91" t="s">
        <v>1053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1587</v>
      </c>
      <c r="C700" s="46" t="s">
        <v>47</v>
      </c>
      <c r="D700" s="33" t="s">
        <v>1027</v>
      </c>
      <c r="E700" s="98">
        <v>121773.16</v>
      </c>
      <c r="F700" s="33" t="s">
        <v>1588</v>
      </c>
      <c r="G700" s="33" t="s">
        <v>834</v>
      </c>
      <c r="H700" s="33" t="s">
        <v>86</v>
      </c>
      <c r="I700" s="33" t="s">
        <v>838</v>
      </c>
      <c r="J700" s="44">
        <v>44231</v>
      </c>
      <c r="K700" s="92" t="s">
        <v>1053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1589</v>
      </c>
      <c r="C701" s="46" t="s">
        <v>47</v>
      </c>
      <c r="D701" s="33" t="s">
        <v>1036</v>
      </c>
      <c r="E701" s="98">
        <v>31579.5</v>
      </c>
      <c r="F701" s="33" t="s">
        <v>1590</v>
      </c>
      <c r="G701" s="33" t="s">
        <v>834</v>
      </c>
      <c r="H701" s="33" t="s">
        <v>1298</v>
      </c>
      <c r="I701" s="33" t="s">
        <v>885</v>
      </c>
      <c r="J701" s="44">
        <v>44413</v>
      </c>
      <c r="K701" s="92" t="s">
        <v>1029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1301</v>
      </c>
      <c r="C702" s="46" t="s">
        <v>1026</v>
      </c>
      <c r="D702" s="33" t="s">
        <v>1036</v>
      </c>
      <c r="E702" s="98">
        <v>313886.59000000003</v>
      </c>
      <c r="F702" s="33" t="s">
        <v>1302</v>
      </c>
      <c r="G702" s="44" t="s">
        <v>834</v>
      </c>
      <c r="H702" s="44" t="s">
        <v>1175</v>
      </c>
      <c r="I702" s="44" t="s">
        <v>970</v>
      </c>
      <c r="J702" s="44">
        <v>44295</v>
      </c>
      <c r="K702" s="91" t="s">
        <v>1121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1149</v>
      </c>
      <c r="C703" s="46" t="s">
        <v>47</v>
      </c>
      <c r="D703" s="33" t="s">
        <v>1027</v>
      </c>
      <c r="E703" s="98">
        <v>251499.32</v>
      </c>
      <c r="F703" s="33" t="s">
        <v>1150</v>
      </c>
      <c r="G703" s="33" t="s">
        <v>829</v>
      </c>
      <c r="H703" s="59" t="s">
        <v>86</v>
      </c>
      <c r="I703" s="59" t="s">
        <v>829</v>
      </c>
      <c r="J703" s="60">
        <v>43901</v>
      </c>
      <c r="K703" s="92" t="s">
        <v>1121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1455</v>
      </c>
      <c r="C704" s="46" t="s">
        <v>1026</v>
      </c>
      <c r="D704" s="33" t="s">
        <v>1036</v>
      </c>
      <c r="E704" s="98">
        <v>20000</v>
      </c>
      <c r="F704" s="33" t="s">
        <v>1456</v>
      </c>
      <c r="G704" s="44" t="s">
        <v>834</v>
      </c>
      <c r="H704" s="44" t="s">
        <v>1175</v>
      </c>
      <c r="I704" s="44" t="s">
        <v>972</v>
      </c>
      <c r="J704" s="44">
        <v>44263</v>
      </c>
      <c r="K704" s="91" t="s">
        <v>1053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1488</v>
      </c>
      <c r="C705" s="46" t="s">
        <v>1026</v>
      </c>
      <c r="D705" s="33" t="s">
        <v>1027</v>
      </c>
      <c r="E705" s="98">
        <v>261364.56</v>
      </c>
      <c r="F705" s="33" t="s">
        <v>1489</v>
      </c>
      <c r="G705" s="44" t="s">
        <v>834</v>
      </c>
      <c r="H705" s="44" t="s">
        <v>1175</v>
      </c>
      <c r="I705" s="44" t="s">
        <v>972</v>
      </c>
      <c r="J705" s="44">
        <v>44319</v>
      </c>
      <c r="K705" s="91" t="s">
        <v>1040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1266</v>
      </c>
      <c r="C706" s="46" t="s">
        <v>1026</v>
      </c>
      <c r="D706" s="33" t="s">
        <v>1036</v>
      </c>
      <c r="E706" s="98">
        <v>80000</v>
      </c>
      <c r="F706" s="33" t="s">
        <v>1267</v>
      </c>
      <c r="G706" s="44" t="s">
        <v>834</v>
      </c>
      <c r="H706" s="44" t="s">
        <v>1175</v>
      </c>
      <c r="I706" s="44" t="s">
        <v>970</v>
      </c>
      <c r="J706" s="44">
        <v>44298</v>
      </c>
      <c r="K706" s="91" t="s">
        <v>1040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1403</v>
      </c>
      <c r="C707" s="46" t="s">
        <v>1026</v>
      </c>
      <c r="D707" s="33" t="s">
        <v>1036</v>
      </c>
      <c r="E707" s="98">
        <v>500</v>
      </c>
      <c r="F707" s="33" t="s">
        <v>1404</v>
      </c>
      <c r="G707" s="44" t="s">
        <v>834</v>
      </c>
      <c r="H707" s="44" t="s">
        <v>1175</v>
      </c>
      <c r="I707" s="44" t="s">
        <v>972</v>
      </c>
      <c r="J707" s="44">
        <v>44263</v>
      </c>
      <c r="K707" s="91" t="s">
        <v>1040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1591</v>
      </c>
      <c r="C708" s="46" t="s">
        <v>1026</v>
      </c>
      <c r="D708" s="33" t="s">
        <v>1036</v>
      </c>
      <c r="E708" s="98">
        <v>650000</v>
      </c>
      <c r="F708" s="33" t="s">
        <v>1378</v>
      </c>
      <c r="G708" s="44" t="s">
        <v>834</v>
      </c>
      <c r="H708" s="44" t="s">
        <v>1175</v>
      </c>
      <c r="I708" s="44" t="s">
        <v>972</v>
      </c>
      <c r="J708" s="44">
        <v>44390</v>
      </c>
      <c r="K708" s="91" t="s">
        <v>1040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1457</v>
      </c>
      <c r="C709" s="46" t="s">
        <v>1026</v>
      </c>
      <c r="D709" s="33" t="s">
        <v>1036</v>
      </c>
      <c r="E709" s="98">
        <v>1250000</v>
      </c>
      <c r="F709" s="33" t="s">
        <v>1458</v>
      </c>
      <c r="G709" s="44" t="s">
        <v>834</v>
      </c>
      <c r="H709" s="44" t="s">
        <v>1175</v>
      </c>
      <c r="I709" s="44" t="s">
        <v>972</v>
      </c>
      <c r="J709" s="44">
        <v>44266</v>
      </c>
      <c r="K709" s="91" t="s">
        <v>1121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1592</v>
      </c>
      <c r="C710" s="46" t="s">
        <v>47</v>
      </c>
      <c r="D710" s="33" t="s">
        <v>1036</v>
      </c>
      <c r="E710" s="98">
        <v>20000</v>
      </c>
      <c r="F710" s="33" t="s">
        <v>1593</v>
      </c>
      <c r="G710" s="33" t="s">
        <v>834</v>
      </c>
      <c r="H710" s="59" t="s">
        <v>1298</v>
      </c>
      <c r="I710" s="59" t="s">
        <v>885</v>
      </c>
      <c r="J710" s="60">
        <v>44287</v>
      </c>
      <c r="K710" s="92" t="s">
        <v>1040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1319</v>
      </c>
      <c r="C711" s="46" t="s">
        <v>47</v>
      </c>
      <c r="D711" s="33" t="s">
        <v>1061</v>
      </c>
      <c r="E711" s="98">
        <v>114197.45</v>
      </c>
      <c r="F711" s="33" t="s">
        <v>1594</v>
      </c>
      <c r="G711" s="33" t="s">
        <v>834</v>
      </c>
      <c r="H711" s="59" t="s">
        <v>1298</v>
      </c>
      <c r="I711" s="59" t="s">
        <v>885</v>
      </c>
      <c r="J711" s="60">
        <v>44298</v>
      </c>
      <c r="K711" s="33" t="s">
        <v>1053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1176</v>
      </c>
      <c r="C712" s="46" t="s">
        <v>1026</v>
      </c>
      <c r="D712" s="33" t="s">
        <v>1036</v>
      </c>
      <c r="E712" s="98">
        <v>35000</v>
      </c>
      <c r="F712" s="33" t="s">
        <v>1177</v>
      </c>
      <c r="G712" s="44" t="s">
        <v>834</v>
      </c>
      <c r="H712" s="44" t="s">
        <v>1175</v>
      </c>
      <c r="I712" s="44" t="s">
        <v>972</v>
      </c>
      <c r="J712" s="44">
        <v>44295</v>
      </c>
      <c r="K712" s="44" t="s">
        <v>1178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1595</v>
      </c>
      <c r="C713" s="46" t="s">
        <v>47</v>
      </c>
      <c r="D713" s="33" t="s">
        <v>1027</v>
      </c>
      <c r="E713" s="98">
        <v>130920.08</v>
      </c>
      <c r="F713" s="33" t="s">
        <v>1596</v>
      </c>
      <c r="G713" s="33" t="s">
        <v>834</v>
      </c>
      <c r="H713" s="33" t="s">
        <v>1298</v>
      </c>
      <c r="I713" s="33" t="s">
        <v>885</v>
      </c>
      <c r="J713" s="44">
        <v>44252</v>
      </c>
      <c r="K713" s="33" t="s">
        <v>1029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1597</v>
      </c>
      <c r="C714" s="46" t="s">
        <v>47</v>
      </c>
      <c r="D714" s="33" t="s">
        <v>1027</v>
      </c>
      <c r="E714" s="98">
        <v>98719.08</v>
      </c>
      <c r="F714" s="33" t="s">
        <v>1598</v>
      </c>
      <c r="G714" s="33" t="s">
        <v>829</v>
      </c>
      <c r="H714" s="33" t="s">
        <v>86</v>
      </c>
      <c r="I714" s="33" t="s">
        <v>829</v>
      </c>
      <c r="J714" s="44">
        <v>44390</v>
      </c>
      <c r="K714" s="33" t="s">
        <v>1040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1287</v>
      </c>
      <c r="C715" s="46" t="s">
        <v>1026</v>
      </c>
      <c r="D715" s="33" t="s">
        <v>1036</v>
      </c>
      <c r="E715" s="98">
        <v>59000</v>
      </c>
      <c r="F715" s="33" t="s">
        <v>1288</v>
      </c>
      <c r="G715" s="44" t="s">
        <v>834</v>
      </c>
      <c r="H715" s="44" t="s">
        <v>1175</v>
      </c>
      <c r="I715" s="44" t="s">
        <v>972</v>
      </c>
      <c r="J715" s="44">
        <v>44280</v>
      </c>
      <c r="K715" s="44" t="s">
        <v>1040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1599</v>
      </c>
      <c r="C716" s="46" t="s">
        <v>1026</v>
      </c>
      <c r="D716" s="33" t="s">
        <v>1061</v>
      </c>
      <c r="E716" s="98">
        <v>95072.23</v>
      </c>
      <c r="F716" s="33" t="s">
        <v>1600</v>
      </c>
      <c r="G716" s="44" t="s">
        <v>829</v>
      </c>
      <c r="H716" s="44" t="s">
        <v>86</v>
      </c>
      <c r="I716" s="44" t="s">
        <v>968</v>
      </c>
      <c r="J716" s="44">
        <v>43780</v>
      </c>
      <c r="K716" s="44" t="s">
        <v>1053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1504</v>
      </c>
      <c r="C717" s="46" t="s">
        <v>1026</v>
      </c>
      <c r="D717" s="33" t="s">
        <v>1061</v>
      </c>
      <c r="E717" s="98">
        <v>287057.81</v>
      </c>
      <c r="F717" s="33" t="s">
        <v>1505</v>
      </c>
      <c r="G717" s="44" t="s">
        <v>834</v>
      </c>
      <c r="H717" s="44" t="s">
        <v>1175</v>
      </c>
      <c r="I717" s="44" t="s">
        <v>970</v>
      </c>
      <c r="J717" s="44">
        <v>44393</v>
      </c>
      <c r="K717" s="44" t="s">
        <v>1506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1601</v>
      </c>
      <c r="C718" s="46" t="s">
        <v>47</v>
      </c>
      <c r="D718" s="33" t="s">
        <v>1036</v>
      </c>
      <c r="E718" s="98">
        <v>15000</v>
      </c>
      <c r="F718" s="33" t="s">
        <v>1602</v>
      </c>
      <c r="G718" s="33" t="s">
        <v>834</v>
      </c>
      <c r="H718" s="33" t="s">
        <v>86</v>
      </c>
      <c r="I718" s="33" t="s">
        <v>919</v>
      </c>
      <c r="J718" s="44">
        <v>44293</v>
      </c>
      <c r="K718" s="33" t="s">
        <v>1121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1413</v>
      </c>
      <c r="C719" s="46" t="s">
        <v>1026</v>
      </c>
      <c r="D719" s="33" t="s">
        <v>1036</v>
      </c>
      <c r="E719" s="98">
        <v>200000</v>
      </c>
      <c r="F719" s="33" t="s">
        <v>1414</v>
      </c>
      <c r="G719" s="44" t="s">
        <v>834</v>
      </c>
      <c r="H719" s="44" t="s">
        <v>1175</v>
      </c>
      <c r="I719" s="44" t="s">
        <v>970</v>
      </c>
      <c r="J719" s="44">
        <v>44291</v>
      </c>
      <c r="K719" s="44" t="s">
        <v>1040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1367</v>
      </c>
      <c r="C720" s="46" t="s">
        <v>1026</v>
      </c>
      <c r="D720" s="33" t="s">
        <v>1036</v>
      </c>
      <c r="E720" s="98">
        <v>150000</v>
      </c>
      <c r="F720" s="33" t="s">
        <v>1368</v>
      </c>
      <c r="G720" s="44" t="s">
        <v>834</v>
      </c>
      <c r="H720" s="44" t="s">
        <v>1175</v>
      </c>
      <c r="I720" s="44" t="s">
        <v>970</v>
      </c>
      <c r="J720" s="44">
        <v>44321</v>
      </c>
      <c r="K720" s="44" t="s">
        <v>1053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1603</v>
      </c>
      <c r="C721" s="46" t="s">
        <v>1026</v>
      </c>
      <c r="D721" s="33" t="s">
        <v>1036</v>
      </c>
      <c r="E721" s="98">
        <v>500000</v>
      </c>
      <c r="F721" s="33" t="s">
        <v>1604</v>
      </c>
      <c r="G721" s="44" t="s">
        <v>834</v>
      </c>
      <c r="H721" s="44" t="s">
        <v>1175</v>
      </c>
      <c r="I721" s="44" t="s">
        <v>970</v>
      </c>
      <c r="J721" s="44">
        <v>44280</v>
      </c>
      <c r="K721" s="44" t="s">
        <v>1040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1275</v>
      </c>
      <c r="C722" s="46" t="s">
        <v>1026</v>
      </c>
      <c r="D722" s="33" t="s">
        <v>1036</v>
      </c>
      <c r="E722" s="98">
        <v>50000</v>
      </c>
      <c r="F722" s="33" t="s">
        <v>1276</v>
      </c>
      <c r="G722" s="44" t="s">
        <v>834</v>
      </c>
      <c r="H722" s="44" t="s">
        <v>1175</v>
      </c>
      <c r="I722" s="44" t="s">
        <v>970</v>
      </c>
      <c r="J722" s="44">
        <v>44279</v>
      </c>
      <c r="K722" s="44" t="s">
        <v>1040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1176</v>
      </c>
      <c r="C723" s="46" t="s">
        <v>1026</v>
      </c>
      <c r="D723" s="33" t="s">
        <v>1036</v>
      </c>
      <c r="E723" s="98">
        <v>10000</v>
      </c>
      <c r="F723" s="33" t="s">
        <v>1177</v>
      </c>
      <c r="G723" s="44" t="s">
        <v>834</v>
      </c>
      <c r="H723" s="44" t="s">
        <v>1175</v>
      </c>
      <c r="I723" s="44" t="s">
        <v>972</v>
      </c>
      <c r="J723" s="44">
        <v>44295</v>
      </c>
      <c r="K723" s="44" t="s">
        <v>1178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1455</v>
      </c>
      <c r="C724" s="46" t="s">
        <v>1026</v>
      </c>
      <c r="D724" s="33" t="s">
        <v>1036</v>
      </c>
      <c r="E724" s="98">
        <v>20000</v>
      </c>
      <c r="F724" s="33" t="s">
        <v>1456</v>
      </c>
      <c r="G724" s="44" t="s">
        <v>834</v>
      </c>
      <c r="H724" s="44" t="s">
        <v>1175</v>
      </c>
      <c r="I724" s="44" t="s">
        <v>972</v>
      </c>
      <c r="J724" s="44">
        <v>44263</v>
      </c>
      <c r="K724" s="44" t="s">
        <v>1053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1307</v>
      </c>
      <c r="C725" s="46" t="s">
        <v>1026</v>
      </c>
      <c r="D725" s="33" t="s">
        <v>1036</v>
      </c>
      <c r="E725" s="98">
        <v>12000</v>
      </c>
      <c r="F725" s="33" t="s">
        <v>1308</v>
      </c>
      <c r="G725" s="44" t="s">
        <v>834</v>
      </c>
      <c r="H725" s="44" t="s">
        <v>1175</v>
      </c>
      <c r="I725" s="44" t="s">
        <v>970</v>
      </c>
      <c r="J725" s="44">
        <v>44319</v>
      </c>
      <c r="K725" s="44" t="s">
        <v>1040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1173</v>
      </c>
      <c r="C726" s="46" t="s">
        <v>1026</v>
      </c>
      <c r="D726" s="33" t="s">
        <v>1036</v>
      </c>
      <c r="E726" s="98">
        <v>40000</v>
      </c>
      <c r="F726" s="33" t="s">
        <v>1174</v>
      </c>
      <c r="G726" s="44" t="s">
        <v>834</v>
      </c>
      <c r="H726" s="44" t="s">
        <v>1175</v>
      </c>
      <c r="I726" s="44" t="s">
        <v>972</v>
      </c>
      <c r="J726" s="44">
        <v>44321</v>
      </c>
      <c r="K726" s="44" t="s">
        <v>1040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1239</v>
      </c>
      <c r="C727" s="46" t="s">
        <v>47</v>
      </c>
      <c r="D727" s="33" t="s">
        <v>1036</v>
      </c>
      <c r="E727" s="98">
        <v>5800</v>
      </c>
      <c r="F727" s="33" t="s">
        <v>1240</v>
      </c>
      <c r="G727" s="33" t="s">
        <v>903</v>
      </c>
      <c r="H727" s="33" t="s">
        <v>86</v>
      </c>
      <c r="I727" s="33" t="s">
        <v>934</v>
      </c>
      <c r="J727" s="44">
        <v>44180</v>
      </c>
      <c r="K727" s="33" t="s">
        <v>1040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1393</v>
      </c>
      <c r="C728" s="46" t="s">
        <v>47</v>
      </c>
      <c r="D728" s="33" t="s">
        <v>1036</v>
      </c>
      <c r="E728" s="98">
        <v>200000</v>
      </c>
      <c r="F728" s="35" t="s">
        <v>1394</v>
      </c>
      <c r="G728" s="33" t="s">
        <v>829</v>
      </c>
      <c r="H728" s="59" t="s">
        <v>86</v>
      </c>
      <c r="I728" s="59" t="s">
        <v>829</v>
      </c>
      <c r="J728" s="60">
        <v>44235</v>
      </c>
      <c r="K728" s="35" t="s">
        <v>1040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1403</v>
      </c>
      <c r="C729" s="46" t="s">
        <v>1026</v>
      </c>
      <c r="D729" s="33" t="s">
        <v>1036</v>
      </c>
      <c r="E729" s="98">
        <v>500</v>
      </c>
      <c r="F729" s="33" t="s">
        <v>1404</v>
      </c>
      <c r="G729" s="44" t="s">
        <v>834</v>
      </c>
      <c r="H729" s="44" t="s">
        <v>1175</v>
      </c>
      <c r="I729" s="44" t="s">
        <v>972</v>
      </c>
      <c r="J729" s="44">
        <v>44263</v>
      </c>
      <c r="K729" s="44" t="s">
        <v>1040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1303</v>
      </c>
      <c r="C730" s="46" t="s">
        <v>1026</v>
      </c>
      <c r="D730" s="33" t="s">
        <v>1036</v>
      </c>
      <c r="E730" s="98">
        <v>10000</v>
      </c>
      <c r="F730" s="33" t="s">
        <v>1304</v>
      </c>
      <c r="G730" s="44" t="s">
        <v>834</v>
      </c>
      <c r="H730" s="44" t="s">
        <v>1175</v>
      </c>
      <c r="I730" s="44" t="s">
        <v>970</v>
      </c>
      <c r="J730" s="44">
        <v>44322</v>
      </c>
      <c r="K730" s="44" t="s">
        <v>1040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1047</v>
      </c>
      <c r="C731" s="46" t="s">
        <v>1026</v>
      </c>
      <c r="D731" s="33" t="s">
        <v>1036</v>
      </c>
      <c r="E731" s="98">
        <v>25000</v>
      </c>
      <c r="F731" s="33" t="s">
        <v>1048</v>
      </c>
      <c r="G731" s="44" t="s">
        <v>829</v>
      </c>
      <c r="H731" s="44" t="s">
        <v>86</v>
      </c>
      <c r="I731" s="44" t="s">
        <v>877</v>
      </c>
      <c r="J731" s="44">
        <v>43703</v>
      </c>
      <c r="K731" s="44" t="s">
        <v>1032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1081</v>
      </c>
      <c r="C732" s="46" t="s">
        <v>1026</v>
      </c>
      <c r="D732" s="33" t="s">
        <v>1036</v>
      </c>
      <c r="E732" s="98">
        <v>6000</v>
      </c>
      <c r="F732" s="33" t="s">
        <v>1082</v>
      </c>
      <c r="G732" s="44" t="s">
        <v>829</v>
      </c>
      <c r="H732" s="44" t="s">
        <v>86</v>
      </c>
      <c r="I732" s="44" t="s">
        <v>877</v>
      </c>
      <c r="J732" s="44">
        <v>43717</v>
      </c>
      <c r="K732" s="44" t="s">
        <v>1032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1051</v>
      </c>
      <c r="C733" s="46" t="s">
        <v>1026</v>
      </c>
      <c r="D733" s="33" t="s">
        <v>1036</v>
      </c>
      <c r="E733" s="98">
        <v>12000</v>
      </c>
      <c r="F733" s="33" t="s">
        <v>1052</v>
      </c>
      <c r="G733" s="44" t="s">
        <v>829</v>
      </c>
      <c r="H733" s="44" t="s">
        <v>86</v>
      </c>
      <c r="I733" s="44" t="s">
        <v>877</v>
      </c>
      <c r="J733" s="44">
        <v>43605</v>
      </c>
      <c r="K733" s="44" t="s">
        <v>1053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1087</v>
      </c>
      <c r="C734" s="46" t="s">
        <v>1026</v>
      </c>
      <c r="D734" s="33" t="s">
        <v>1036</v>
      </c>
      <c r="E734" s="98">
        <v>100000</v>
      </c>
      <c r="F734" s="33" t="s">
        <v>1088</v>
      </c>
      <c r="G734" s="44" t="s">
        <v>829</v>
      </c>
      <c r="H734" s="44" t="s">
        <v>86</v>
      </c>
      <c r="I734" s="44" t="s">
        <v>877</v>
      </c>
      <c r="J734" s="44">
        <v>43867</v>
      </c>
      <c r="K734" s="44" t="s">
        <v>1040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1455</v>
      </c>
      <c r="C735" s="46" t="s">
        <v>1026</v>
      </c>
      <c r="D735" s="33" t="s">
        <v>1036</v>
      </c>
      <c r="E735" s="98">
        <v>20000</v>
      </c>
      <c r="F735" s="33" t="s">
        <v>1456</v>
      </c>
      <c r="G735" s="44" t="s">
        <v>834</v>
      </c>
      <c r="H735" s="44" t="s">
        <v>1175</v>
      </c>
      <c r="I735" s="44" t="s">
        <v>972</v>
      </c>
      <c r="J735" s="44">
        <v>44263</v>
      </c>
      <c r="K735" s="44" t="s">
        <v>1053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1083</v>
      </c>
      <c r="C736" s="46" t="s">
        <v>1026</v>
      </c>
      <c r="D736" s="33" t="s">
        <v>1036</v>
      </c>
      <c r="E736" s="98">
        <v>4000</v>
      </c>
      <c r="F736" s="33" t="s">
        <v>1084</v>
      </c>
      <c r="G736" s="44" t="s">
        <v>829</v>
      </c>
      <c r="H736" s="44" t="s">
        <v>86</v>
      </c>
      <c r="I736" s="44" t="s">
        <v>877</v>
      </c>
      <c r="J736" s="44">
        <v>43894</v>
      </c>
      <c r="K736" s="44" t="s">
        <v>1053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1401</v>
      </c>
      <c r="C737" s="46" t="s">
        <v>47</v>
      </c>
      <c r="D737" s="33" t="s">
        <v>1027</v>
      </c>
      <c r="E737" s="98">
        <v>165996.78</v>
      </c>
      <c r="F737" s="33" t="s">
        <v>1402</v>
      </c>
      <c r="G737" s="33" t="s">
        <v>903</v>
      </c>
      <c r="H737" s="33" t="s">
        <v>86</v>
      </c>
      <c r="I737" s="49" t="s">
        <v>942</v>
      </c>
      <c r="J737" s="44">
        <v>44130</v>
      </c>
      <c r="K737" s="92" t="s">
        <v>1040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1540</v>
      </c>
      <c r="C738" s="46" t="s">
        <v>47</v>
      </c>
      <c r="D738" s="33" t="s">
        <v>1027</v>
      </c>
      <c r="E738" s="98">
        <v>2049.5500000000002</v>
      </c>
      <c r="F738" s="33" t="s">
        <v>1541</v>
      </c>
      <c r="G738" s="33" t="s">
        <v>903</v>
      </c>
      <c r="H738" s="33" t="s">
        <v>86</v>
      </c>
      <c r="I738" s="33" t="s">
        <v>854</v>
      </c>
      <c r="J738" s="44">
        <v>44075</v>
      </c>
      <c r="K738" s="33" t="s">
        <v>1121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47</v>
      </c>
      <c r="D739" s="33" t="s">
        <v>1036</v>
      </c>
      <c r="E739" s="98">
        <v>24469.7</v>
      </c>
      <c r="F739" s="33" t="s">
        <v>1605</v>
      </c>
      <c r="G739" s="44" t="s">
        <v>834</v>
      </c>
      <c r="H739" s="44" t="s">
        <v>1298</v>
      </c>
      <c r="I739" s="44" t="s">
        <v>905</v>
      </c>
      <c r="J739" s="44">
        <v>44487</v>
      </c>
      <c r="K739" s="44" t="s">
        <v>1040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1305</v>
      </c>
      <c r="C740" s="46" t="s">
        <v>1026</v>
      </c>
      <c r="D740" s="33" t="s">
        <v>1036</v>
      </c>
      <c r="E740" s="98">
        <v>10000</v>
      </c>
      <c r="F740" s="33" t="s">
        <v>1306</v>
      </c>
      <c r="G740" s="44" t="s">
        <v>834</v>
      </c>
      <c r="H740" s="44" t="s">
        <v>1175</v>
      </c>
      <c r="I740" s="44" t="s">
        <v>974</v>
      </c>
      <c r="J740" s="44">
        <v>44266</v>
      </c>
      <c r="K740" s="44" t="s">
        <v>1053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1563</v>
      </c>
      <c r="C741" s="46" t="s">
        <v>47</v>
      </c>
      <c r="D741" s="33" t="s">
        <v>1027</v>
      </c>
      <c r="E741" s="98">
        <v>79069.899999999994</v>
      </c>
      <c r="F741" s="33" t="s">
        <v>1564</v>
      </c>
      <c r="G741" s="33" t="s">
        <v>829</v>
      </c>
      <c r="H741" s="33" t="s">
        <v>86</v>
      </c>
      <c r="I741" s="33" t="s">
        <v>829</v>
      </c>
      <c r="J741" s="44">
        <v>44151</v>
      </c>
      <c r="K741" s="33" t="s">
        <v>1040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1606</v>
      </c>
      <c r="C742" s="46" t="s">
        <v>1026</v>
      </c>
      <c r="D742" s="33" t="s">
        <v>1036</v>
      </c>
      <c r="E742" s="98">
        <v>104000</v>
      </c>
      <c r="F742" s="33" t="s">
        <v>1607</v>
      </c>
      <c r="G742" s="44" t="s">
        <v>834</v>
      </c>
      <c r="H742" s="44" t="s">
        <v>1175</v>
      </c>
      <c r="I742" s="44" t="s">
        <v>972</v>
      </c>
      <c r="J742" s="44">
        <v>44263</v>
      </c>
      <c r="K742" s="44" t="s">
        <v>1040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1608</v>
      </c>
      <c r="C743" s="46" t="s">
        <v>47</v>
      </c>
      <c r="D743" s="33" t="s">
        <v>1061</v>
      </c>
      <c r="E743" s="98">
        <v>47268.23</v>
      </c>
      <c r="F743" s="33" t="s">
        <v>1609</v>
      </c>
      <c r="G743" s="33" t="s">
        <v>829</v>
      </c>
      <c r="H743" s="33" t="s">
        <v>86</v>
      </c>
      <c r="I743" s="33" t="s">
        <v>829</v>
      </c>
      <c r="J743" s="44">
        <v>44734</v>
      </c>
      <c r="K743" s="33" t="s">
        <v>1040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1200</v>
      </c>
      <c r="C744" s="46" t="s">
        <v>47</v>
      </c>
      <c r="D744" s="33" t="s">
        <v>1036</v>
      </c>
      <c r="E744" s="98">
        <v>5000</v>
      </c>
      <c r="F744" s="33" t="s">
        <v>1201</v>
      </c>
      <c r="G744" s="33" t="s">
        <v>829</v>
      </c>
      <c r="H744" s="33" t="s">
        <v>86</v>
      </c>
      <c r="I744" s="33" t="s">
        <v>829</v>
      </c>
      <c r="J744" s="44">
        <v>44180</v>
      </c>
      <c r="K744" s="33" t="s">
        <v>1040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1176</v>
      </c>
      <c r="C745" s="46" t="s">
        <v>1026</v>
      </c>
      <c r="D745" s="33" t="s">
        <v>1036</v>
      </c>
      <c r="E745" s="98">
        <v>5000</v>
      </c>
      <c r="F745" s="33" t="s">
        <v>1177</v>
      </c>
      <c r="G745" s="44" t="s">
        <v>834</v>
      </c>
      <c r="H745" s="44" t="s">
        <v>1175</v>
      </c>
      <c r="I745" s="44" t="s">
        <v>972</v>
      </c>
      <c r="J745" s="44">
        <v>44295</v>
      </c>
      <c r="K745" s="44" t="s">
        <v>1178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1182</v>
      </c>
      <c r="C746" s="46" t="s">
        <v>47</v>
      </c>
      <c r="D746" s="33" t="s">
        <v>1036</v>
      </c>
      <c r="E746" s="98">
        <v>5000</v>
      </c>
      <c r="F746" s="33" t="s">
        <v>1610</v>
      </c>
      <c r="G746" s="33" t="s">
        <v>903</v>
      </c>
      <c r="H746" s="59" t="s">
        <v>86</v>
      </c>
      <c r="I746" s="59" t="s">
        <v>911</v>
      </c>
      <c r="J746" s="60">
        <v>44263</v>
      </c>
      <c r="K746" s="33" t="s">
        <v>1040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1611</v>
      </c>
      <c r="C747" s="46" t="s">
        <v>47</v>
      </c>
      <c r="D747" s="33" t="s">
        <v>1027</v>
      </c>
      <c r="E747" s="98">
        <v>110068.61</v>
      </c>
      <c r="F747" s="33" t="s">
        <v>1612</v>
      </c>
      <c r="G747" s="33" t="s">
        <v>834</v>
      </c>
      <c r="H747" s="33" t="s">
        <v>1298</v>
      </c>
      <c r="I747" s="33" t="s">
        <v>885</v>
      </c>
      <c r="J747" s="44">
        <v>44369</v>
      </c>
      <c r="K747" s="33" t="s">
        <v>1029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1613</v>
      </c>
      <c r="C748" s="46" t="s">
        <v>1026</v>
      </c>
      <c r="D748" s="33" t="s">
        <v>1036</v>
      </c>
      <c r="E748" s="98">
        <v>114749.72</v>
      </c>
      <c r="F748" s="33" t="s">
        <v>1614</v>
      </c>
      <c r="G748" s="44" t="s">
        <v>834</v>
      </c>
      <c r="H748" s="44" t="s">
        <v>1175</v>
      </c>
      <c r="I748" s="44" t="s">
        <v>970</v>
      </c>
      <c r="J748" s="44">
        <v>44321</v>
      </c>
      <c r="K748" s="44" t="s">
        <v>1121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1275</v>
      </c>
      <c r="C749" s="46" t="s">
        <v>1026</v>
      </c>
      <c r="D749" s="33" t="s">
        <v>1036</v>
      </c>
      <c r="E749" s="98">
        <v>30000</v>
      </c>
      <c r="F749" s="33" t="s">
        <v>1276</v>
      </c>
      <c r="G749" s="44" t="s">
        <v>834</v>
      </c>
      <c r="H749" s="44" t="s">
        <v>1175</v>
      </c>
      <c r="I749" s="44" t="s">
        <v>970</v>
      </c>
      <c r="J749" s="44">
        <v>44279</v>
      </c>
      <c r="K749" s="44" t="s">
        <v>1040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1055</v>
      </c>
      <c r="C750" s="46" t="s">
        <v>1026</v>
      </c>
      <c r="D750" s="33" t="s">
        <v>1027</v>
      </c>
      <c r="E750" s="98">
        <v>240263.39</v>
      </c>
      <c r="F750" s="33" t="s">
        <v>1056</v>
      </c>
      <c r="G750" s="44" t="s">
        <v>829</v>
      </c>
      <c r="H750" s="44" t="s">
        <v>86</v>
      </c>
      <c r="I750" s="44" t="s">
        <v>877</v>
      </c>
      <c r="J750" s="44">
        <v>43822</v>
      </c>
      <c r="K750" s="44" t="s">
        <v>1053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1051</v>
      </c>
      <c r="C751" s="46" t="s">
        <v>1026</v>
      </c>
      <c r="D751" s="33" t="s">
        <v>1036</v>
      </c>
      <c r="E751" s="98">
        <v>5000</v>
      </c>
      <c r="F751" s="33" t="s">
        <v>1052</v>
      </c>
      <c r="G751" s="44" t="s">
        <v>829</v>
      </c>
      <c r="H751" s="44" t="s">
        <v>86</v>
      </c>
      <c r="I751" s="44" t="s">
        <v>877</v>
      </c>
      <c r="J751" s="44">
        <v>43605</v>
      </c>
      <c r="K751" s="44" t="s">
        <v>1053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1346</v>
      </c>
      <c r="C752" s="46" t="s">
        <v>1026</v>
      </c>
      <c r="D752" s="33" t="s">
        <v>1036</v>
      </c>
      <c r="E752" s="98">
        <v>5000</v>
      </c>
      <c r="F752" s="33" t="s">
        <v>1347</v>
      </c>
      <c r="G752" s="44" t="s">
        <v>834</v>
      </c>
      <c r="H752" s="44" t="s">
        <v>1175</v>
      </c>
      <c r="I752" s="44" t="s">
        <v>972</v>
      </c>
      <c r="J752" s="44">
        <v>44280</v>
      </c>
      <c r="K752" s="44" t="s">
        <v>1178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1087</v>
      </c>
      <c r="C753" s="46" t="s">
        <v>1026</v>
      </c>
      <c r="D753" s="33" t="s">
        <v>1027</v>
      </c>
      <c r="E753" s="98">
        <v>840387.52</v>
      </c>
      <c r="F753" s="33" t="s">
        <v>1088</v>
      </c>
      <c r="G753" s="44" t="s">
        <v>829</v>
      </c>
      <c r="H753" s="44" t="s">
        <v>86</v>
      </c>
      <c r="I753" s="44" t="s">
        <v>877</v>
      </c>
      <c r="J753" s="44">
        <v>43867</v>
      </c>
      <c r="K753" s="44" t="s">
        <v>1040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1397</v>
      </c>
      <c r="C754" s="46" t="s">
        <v>1026</v>
      </c>
      <c r="D754" s="33" t="s">
        <v>1036</v>
      </c>
      <c r="E754" s="98">
        <v>40000</v>
      </c>
      <c r="F754" s="33" t="s">
        <v>1398</v>
      </c>
      <c r="G754" s="44" t="s">
        <v>834</v>
      </c>
      <c r="H754" s="44" t="s">
        <v>1175</v>
      </c>
      <c r="I754" s="44" t="s">
        <v>972</v>
      </c>
      <c r="J754" s="44">
        <v>44280</v>
      </c>
      <c r="K754" s="44" t="s">
        <v>1040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1615</v>
      </c>
      <c r="C755" s="46" t="s">
        <v>47</v>
      </c>
      <c r="D755" s="33" t="s">
        <v>1061</v>
      </c>
      <c r="E755" s="98">
        <v>368899.52</v>
      </c>
      <c r="F755" s="33" t="s">
        <v>1616</v>
      </c>
      <c r="G755" s="33" t="s">
        <v>834</v>
      </c>
      <c r="H755" s="33" t="s">
        <v>1298</v>
      </c>
      <c r="I755" s="33" t="s">
        <v>885</v>
      </c>
      <c r="J755" s="44">
        <v>44251</v>
      </c>
      <c r="K755" s="33" t="s">
        <v>1040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1455</v>
      </c>
      <c r="C756" s="46" t="s">
        <v>1026</v>
      </c>
      <c r="D756" s="33" t="s">
        <v>1036</v>
      </c>
      <c r="E756" s="98">
        <v>30000</v>
      </c>
      <c r="F756" s="33" t="s">
        <v>1456</v>
      </c>
      <c r="G756" s="44" t="s">
        <v>834</v>
      </c>
      <c r="H756" s="44" t="s">
        <v>1175</v>
      </c>
      <c r="I756" s="44" t="s">
        <v>972</v>
      </c>
      <c r="J756" s="44">
        <v>44263</v>
      </c>
      <c r="K756" s="44" t="s">
        <v>1053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1561</v>
      </c>
      <c r="C757" s="46" t="s">
        <v>1026</v>
      </c>
      <c r="D757" s="33" t="s">
        <v>1036</v>
      </c>
      <c r="E757" s="98">
        <v>40000</v>
      </c>
      <c r="F757" s="33" t="s">
        <v>1562</v>
      </c>
      <c r="G757" s="44" t="s">
        <v>834</v>
      </c>
      <c r="H757" s="44" t="s">
        <v>1175</v>
      </c>
      <c r="I757" s="44" t="s">
        <v>972</v>
      </c>
      <c r="J757" s="44">
        <v>44323</v>
      </c>
      <c r="K757" s="44" t="s">
        <v>1437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1457</v>
      </c>
      <c r="C758" s="46" t="s">
        <v>1026</v>
      </c>
      <c r="D758" s="33" t="s">
        <v>1036</v>
      </c>
      <c r="E758" s="98">
        <v>100000</v>
      </c>
      <c r="F758" s="33" t="s">
        <v>1458</v>
      </c>
      <c r="G758" s="44" t="s">
        <v>834</v>
      </c>
      <c r="H758" s="44" t="s">
        <v>1175</v>
      </c>
      <c r="I758" s="44" t="s">
        <v>972</v>
      </c>
      <c r="J758" s="44">
        <v>44266</v>
      </c>
      <c r="K758" s="44" t="s">
        <v>1121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1051</v>
      </c>
      <c r="C759" s="46" t="s">
        <v>1026</v>
      </c>
      <c r="D759" s="33" t="s">
        <v>1036</v>
      </c>
      <c r="E759" s="98">
        <v>14000</v>
      </c>
      <c r="F759" s="33" t="s">
        <v>1052</v>
      </c>
      <c r="G759" s="44" t="s">
        <v>829</v>
      </c>
      <c r="H759" s="44" t="s">
        <v>86</v>
      </c>
      <c r="I759" s="44" t="s">
        <v>877</v>
      </c>
      <c r="J759" s="44">
        <v>43605</v>
      </c>
      <c r="K759" s="44" t="s">
        <v>1053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1081</v>
      </c>
      <c r="C760" s="46" t="s">
        <v>1026</v>
      </c>
      <c r="D760" s="33" t="s">
        <v>1036</v>
      </c>
      <c r="E760" s="98">
        <v>5000</v>
      </c>
      <c r="F760" s="33" t="s">
        <v>1082</v>
      </c>
      <c r="G760" s="44" t="s">
        <v>829</v>
      </c>
      <c r="H760" s="44" t="s">
        <v>86</v>
      </c>
      <c r="I760" s="44" t="s">
        <v>877</v>
      </c>
      <c r="J760" s="44">
        <v>43717</v>
      </c>
      <c r="K760" s="44" t="s">
        <v>1032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1617</v>
      </c>
      <c r="C761" s="46" t="s">
        <v>47</v>
      </c>
      <c r="D761" s="33" t="s">
        <v>1027</v>
      </c>
      <c r="E761" s="98">
        <v>97410.240000000005</v>
      </c>
      <c r="F761" s="33" t="s">
        <v>1618</v>
      </c>
      <c r="G761" s="33" t="s">
        <v>834</v>
      </c>
      <c r="H761" s="33" t="s">
        <v>86</v>
      </c>
      <c r="I761" s="33" t="s">
        <v>846</v>
      </c>
      <c r="J761" s="44">
        <v>44354</v>
      </c>
      <c r="K761" s="33" t="s">
        <v>1029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1455</v>
      </c>
      <c r="C762" s="46" t="s">
        <v>1026</v>
      </c>
      <c r="D762" s="33" t="s">
        <v>1036</v>
      </c>
      <c r="E762" s="98" t="s">
        <v>1619</v>
      </c>
      <c r="F762" s="33" t="s">
        <v>1456</v>
      </c>
      <c r="G762" s="44" t="s">
        <v>834</v>
      </c>
      <c r="H762" s="44" t="s">
        <v>1175</v>
      </c>
      <c r="I762" s="44" t="s">
        <v>972</v>
      </c>
      <c r="J762" s="44">
        <v>44263</v>
      </c>
      <c r="K762" s="44" t="s">
        <v>1053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1620</v>
      </c>
      <c r="C763" s="46" t="s">
        <v>1026</v>
      </c>
      <c r="D763" s="33" t="s">
        <v>1061</v>
      </c>
      <c r="E763" s="39">
        <v>648751.76</v>
      </c>
      <c r="F763" s="33" t="s">
        <v>1621</v>
      </c>
      <c r="G763" s="44" t="s">
        <v>834</v>
      </c>
      <c r="H763" s="44" t="s">
        <v>1175</v>
      </c>
      <c r="I763" s="44" t="s">
        <v>972</v>
      </c>
      <c r="J763" s="44">
        <v>44280</v>
      </c>
      <c r="K763" s="44" t="s">
        <v>1121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1622</v>
      </c>
      <c r="C764" s="46" t="s">
        <v>1026</v>
      </c>
      <c r="D764" s="33" t="s">
        <v>1061</v>
      </c>
      <c r="E764" s="52">
        <v>146875.19</v>
      </c>
      <c r="F764" s="33" t="s">
        <v>1623</v>
      </c>
      <c r="G764" s="44" t="s">
        <v>834</v>
      </c>
      <c r="H764" s="44" t="s">
        <v>1175</v>
      </c>
      <c r="I764" s="44" t="s">
        <v>970</v>
      </c>
      <c r="J764" s="44">
        <v>44340</v>
      </c>
      <c r="K764" s="44" t="s">
        <v>1053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1413</v>
      </c>
      <c r="C765" s="46" t="s">
        <v>1026</v>
      </c>
      <c r="D765" s="33" t="s">
        <v>1036</v>
      </c>
      <c r="E765" s="98" t="s">
        <v>1624</v>
      </c>
      <c r="F765" s="33" t="s">
        <v>1414</v>
      </c>
      <c r="G765" s="44" t="s">
        <v>834</v>
      </c>
      <c r="H765" s="44" t="s">
        <v>1175</v>
      </c>
      <c r="I765" s="44" t="s">
        <v>970</v>
      </c>
      <c r="J765" s="44">
        <v>44291</v>
      </c>
      <c r="K765" s="44" t="s">
        <v>1040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1367</v>
      </c>
      <c r="C766" s="46" t="s">
        <v>1026</v>
      </c>
      <c r="D766" s="33" t="s">
        <v>1036</v>
      </c>
      <c r="E766" s="98" t="s">
        <v>1625</v>
      </c>
      <c r="F766" s="33" t="s">
        <v>1368</v>
      </c>
      <c r="G766" s="44" t="s">
        <v>834</v>
      </c>
      <c r="H766" s="44" t="s">
        <v>1175</v>
      </c>
      <c r="I766" s="44" t="s">
        <v>970</v>
      </c>
      <c r="J766" s="44">
        <v>44321</v>
      </c>
      <c r="K766" s="44" t="s">
        <v>1053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1626</v>
      </c>
      <c r="C767" s="46" t="s">
        <v>1026</v>
      </c>
      <c r="D767" s="33" t="s">
        <v>1036</v>
      </c>
      <c r="E767" s="98" t="s">
        <v>1627</v>
      </c>
      <c r="F767" s="33" t="s">
        <v>1628</v>
      </c>
      <c r="G767" s="44" t="s">
        <v>834</v>
      </c>
      <c r="H767" s="44" t="s">
        <v>1175</v>
      </c>
      <c r="I767" s="44" t="s">
        <v>970</v>
      </c>
      <c r="J767" s="44">
        <v>44280</v>
      </c>
      <c r="K767" s="44" t="s">
        <v>1121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1629</v>
      </c>
      <c r="C768" s="46" t="s">
        <v>1075</v>
      </c>
      <c r="D768" s="33" t="s">
        <v>1027</v>
      </c>
      <c r="E768" s="98">
        <v>151280.20000000001</v>
      </c>
      <c r="F768" s="33" t="s">
        <v>1630</v>
      </c>
      <c r="G768" s="44" t="s">
        <v>834</v>
      </c>
      <c r="H768" s="44" t="s">
        <v>86</v>
      </c>
      <c r="I768" s="44" t="s">
        <v>982</v>
      </c>
      <c r="J768" s="44">
        <v>43731</v>
      </c>
      <c r="K768" s="44" t="s">
        <v>1121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1455</v>
      </c>
      <c r="C769" s="46" t="s">
        <v>1026</v>
      </c>
      <c r="D769" s="33" t="s">
        <v>1036</v>
      </c>
      <c r="E769" s="98" t="s">
        <v>1631</v>
      </c>
      <c r="F769" s="33" t="s">
        <v>1456</v>
      </c>
      <c r="G769" s="44" t="s">
        <v>834</v>
      </c>
      <c r="H769" s="44" t="s">
        <v>1175</v>
      </c>
      <c r="I769" s="44" t="s">
        <v>972</v>
      </c>
      <c r="J769" s="44">
        <v>44263</v>
      </c>
      <c r="K769" s="44" t="s">
        <v>1053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1163</v>
      </c>
      <c r="C770" s="46" t="s">
        <v>1075</v>
      </c>
      <c r="D770" s="33" t="s">
        <v>1036</v>
      </c>
      <c r="E770" s="98">
        <v>8500</v>
      </c>
      <c r="F770" s="33" t="s">
        <v>1164</v>
      </c>
      <c r="G770" s="44" t="s">
        <v>834</v>
      </c>
      <c r="H770" s="44" t="s">
        <v>86</v>
      </c>
      <c r="I770" s="44" t="s">
        <v>834</v>
      </c>
      <c r="J770" s="44">
        <v>44062</v>
      </c>
      <c r="K770" s="44" t="s">
        <v>1040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1176</v>
      </c>
      <c r="C771" s="46" t="s">
        <v>1026</v>
      </c>
      <c r="D771" s="33" t="s">
        <v>1036</v>
      </c>
      <c r="E771" s="98" t="s">
        <v>1632</v>
      </c>
      <c r="F771" s="33" t="s">
        <v>1177</v>
      </c>
      <c r="G771" s="44" t="s">
        <v>834</v>
      </c>
      <c r="H771" s="44" t="s">
        <v>1175</v>
      </c>
      <c r="I771" s="44" t="s">
        <v>972</v>
      </c>
      <c r="J771" s="44">
        <v>44295</v>
      </c>
      <c r="K771" s="44" t="s">
        <v>1178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1307</v>
      </c>
      <c r="C772" s="46" t="s">
        <v>1026</v>
      </c>
      <c r="D772" s="33" t="s">
        <v>1036</v>
      </c>
      <c r="E772" s="98" t="s">
        <v>1632</v>
      </c>
      <c r="F772" s="33" t="s">
        <v>1308</v>
      </c>
      <c r="G772" s="44" t="s">
        <v>834</v>
      </c>
      <c r="H772" s="44" t="s">
        <v>1175</v>
      </c>
      <c r="I772" s="44" t="s">
        <v>970</v>
      </c>
      <c r="J772" s="44">
        <v>44319</v>
      </c>
      <c r="K772" s="44" t="s">
        <v>1040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1633</v>
      </c>
      <c r="C773" s="46" t="s">
        <v>1075</v>
      </c>
      <c r="D773" s="33" t="s">
        <v>1061</v>
      </c>
      <c r="E773" s="98">
        <v>9354.08</v>
      </c>
      <c r="F773" s="33" t="s">
        <v>1634</v>
      </c>
      <c r="G773" s="44" t="s">
        <v>834</v>
      </c>
      <c r="H773" s="44" t="s">
        <v>86</v>
      </c>
      <c r="I773" s="44" t="s">
        <v>984</v>
      </c>
      <c r="J773" s="44">
        <v>43718</v>
      </c>
      <c r="K773" s="44" t="s">
        <v>1053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1303</v>
      </c>
      <c r="C774" s="46" t="s">
        <v>1026</v>
      </c>
      <c r="D774" s="33" t="s">
        <v>1036</v>
      </c>
      <c r="E774" s="98">
        <v>3000</v>
      </c>
      <c r="F774" s="33" t="s">
        <v>1304</v>
      </c>
      <c r="G774" s="44" t="s">
        <v>834</v>
      </c>
      <c r="H774" s="44" t="s">
        <v>1175</v>
      </c>
      <c r="I774" s="44" t="s">
        <v>970</v>
      </c>
      <c r="J774" s="44">
        <v>44322</v>
      </c>
      <c r="K774" s="44" t="s">
        <v>1040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1635</v>
      </c>
      <c r="C775" s="46" t="s">
        <v>47</v>
      </c>
      <c r="D775" s="33" t="s">
        <v>1027</v>
      </c>
      <c r="E775" s="98">
        <v>659874.72</v>
      </c>
      <c r="F775" s="33" t="s">
        <v>1636</v>
      </c>
      <c r="G775" s="33" t="s">
        <v>903</v>
      </c>
      <c r="H775" s="33" t="s">
        <v>86</v>
      </c>
      <c r="I775" s="33" t="s">
        <v>879</v>
      </c>
      <c r="J775" s="44">
        <v>44005</v>
      </c>
      <c r="K775" s="33" t="s">
        <v>1121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1637</v>
      </c>
      <c r="C776" s="46" t="s">
        <v>1075</v>
      </c>
      <c r="D776" s="33" t="s">
        <v>1027</v>
      </c>
      <c r="E776" s="98">
        <v>147515.9</v>
      </c>
      <c r="F776" s="33" t="s">
        <v>1638</v>
      </c>
      <c r="G776" s="44" t="s">
        <v>834</v>
      </c>
      <c r="H776" s="44" t="s">
        <v>86</v>
      </c>
      <c r="I776" s="44" t="s">
        <v>919</v>
      </c>
      <c r="J776" s="44">
        <v>43873</v>
      </c>
      <c r="K776" s="44" t="s">
        <v>1121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1266</v>
      </c>
      <c r="C777" s="46" t="s">
        <v>1026</v>
      </c>
      <c r="D777" s="33" t="s">
        <v>1036</v>
      </c>
      <c r="E777" s="98">
        <v>80000</v>
      </c>
      <c r="F777" s="33" t="s">
        <v>1267</v>
      </c>
      <c r="G777" s="44" t="s">
        <v>834</v>
      </c>
      <c r="H777" s="44" t="s">
        <v>1175</v>
      </c>
      <c r="I777" s="44" t="s">
        <v>970</v>
      </c>
      <c r="J777" s="44">
        <v>44298</v>
      </c>
      <c r="K777" s="44" t="s">
        <v>1040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1083</v>
      </c>
      <c r="C778" s="46" t="s">
        <v>1026</v>
      </c>
      <c r="D778" s="33" t="s">
        <v>1036</v>
      </c>
      <c r="E778" s="98">
        <v>5000</v>
      </c>
      <c r="F778" s="33" t="s">
        <v>1084</v>
      </c>
      <c r="G778" s="44" t="s">
        <v>829</v>
      </c>
      <c r="H778" s="44" t="s">
        <v>86</v>
      </c>
      <c r="I778" s="44" t="s">
        <v>877</v>
      </c>
      <c r="J778" s="44">
        <v>43894</v>
      </c>
      <c r="K778" s="44" t="s">
        <v>1053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1266</v>
      </c>
      <c r="C779" s="46" t="s">
        <v>1026</v>
      </c>
      <c r="D779" s="33" t="s">
        <v>1027</v>
      </c>
      <c r="E779" s="98">
        <v>181959.12</v>
      </c>
      <c r="F779" s="33" t="s">
        <v>1267</v>
      </c>
      <c r="G779" s="44" t="s">
        <v>834</v>
      </c>
      <c r="H779" s="44" t="s">
        <v>1175</v>
      </c>
      <c r="I779" s="44" t="s">
        <v>970</v>
      </c>
      <c r="J779" s="44">
        <v>44298</v>
      </c>
      <c r="K779" s="44" t="s">
        <v>1040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1639</v>
      </c>
      <c r="C780" s="46" t="s">
        <v>47</v>
      </c>
      <c r="D780" s="33" t="s">
        <v>1036</v>
      </c>
      <c r="E780" s="98">
        <v>50000</v>
      </c>
      <c r="F780" s="33" t="s">
        <v>1640</v>
      </c>
      <c r="G780" s="33" t="s">
        <v>834</v>
      </c>
      <c r="H780" s="33" t="s">
        <v>86</v>
      </c>
      <c r="I780" s="33" t="s">
        <v>875</v>
      </c>
      <c r="J780" s="44">
        <v>44061</v>
      </c>
      <c r="K780" s="33" t="s">
        <v>1040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1176</v>
      </c>
      <c r="C781" s="46" t="s">
        <v>1026</v>
      </c>
      <c r="D781" s="33" t="s">
        <v>1036</v>
      </c>
      <c r="E781" s="98">
        <v>10000</v>
      </c>
      <c r="F781" s="33" t="s">
        <v>1177</v>
      </c>
      <c r="G781" s="44" t="s">
        <v>834</v>
      </c>
      <c r="H781" s="44" t="s">
        <v>1175</v>
      </c>
      <c r="I781" s="44" t="s">
        <v>972</v>
      </c>
      <c r="J781" s="44">
        <v>44295</v>
      </c>
      <c r="K781" s="44" t="s">
        <v>1178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1641</v>
      </c>
      <c r="C782" s="46" t="s">
        <v>1026</v>
      </c>
      <c r="D782" s="33" t="s">
        <v>1036</v>
      </c>
      <c r="E782" s="98">
        <v>15000</v>
      </c>
      <c r="F782" s="33" t="s">
        <v>1642</v>
      </c>
      <c r="G782" s="44" t="s">
        <v>834</v>
      </c>
      <c r="H782" s="44" t="s">
        <v>1175</v>
      </c>
      <c r="I782" s="44" t="s">
        <v>970</v>
      </c>
      <c r="J782" s="44">
        <v>44333</v>
      </c>
      <c r="K782" s="44" t="s">
        <v>1053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1643</v>
      </c>
      <c r="C783" s="46" t="s">
        <v>47</v>
      </c>
      <c r="D783" s="33" t="s">
        <v>1027</v>
      </c>
      <c r="E783" s="98">
        <v>109449.2</v>
      </c>
      <c r="F783" s="33" t="s">
        <v>1644</v>
      </c>
      <c r="G783" s="33" t="s">
        <v>903</v>
      </c>
      <c r="H783" s="33" t="s">
        <v>86</v>
      </c>
      <c r="I783" s="33" t="s">
        <v>867</v>
      </c>
      <c r="J783" s="44">
        <v>44202</v>
      </c>
      <c r="K783" s="33" t="s">
        <v>1121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1472</v>
      </c>
      <c r="C784" s="46" t="s">
        <v>47</v>
      </c>
      <c r="D784" s="33" t="s">
        <v>1061</v>
      </c>
      <c r="E784" s="98">
        <v>139991.04000000001</v>
      </c>
      <c r="F784" s="33" t="s">
        <v>1645</v>
      </c>
      <c r="G784" s="33" t="s">
        <v>834</v>
      </c>
      <c r="H784" s="33" t="s">
        <v>1298</v>
      </c>
      <c r="I784" s="33" t="s">
        <v>885</v>
      </c>
      <c r="J784" s="44">
        <v>44204</v>
      </c>
      <c r="K784" s="33" t="s">
        <v>1339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47</v>
      </c>
      <c r="D785" s="33" t="s">
        <v>1061</v>
      </c>
      <c r="E785" s="98">
        <v>193747.43</v>
      </c>
      <c r="F785" s="33" t="s">
        <v>1646</v>
      </c>
      <c r="G785" s="44" t="s">
        <v>834</v>
      </c>
      <c r="H785" s="44" t="s">
        <v>1298</v>
      </c>
      <c r="I785" s="44" t="s">
        <v>869</v>
      </c>
      <c r="J785" s="44">
        <v>44508</v>
      </c>
      <c r="K785" s="44" t="s">
        <v>1053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1239</v>
      </c>
      <c r="C786" s="46" t="s">
        <v>47</v>
      </c>
      <c r="D786" s="33" t="s">
        <v>1036</v>
      </c>
      <c r="E786" s="98">
        <v>12000</v>
      </c>
      <c r="F786" s="33" t="s">
        <v>1240</v>
      </c>
      <c r="G786" s="33" t="s">
        <v>903</v>
      </c>
      <c r="H786" s="33" t="s">
        <v>86</v>
      </c>
      <c r="I786" s="33" t="s">
        <v>934</v>
      </c>
      <c r="J786" s="44">
        <v>44180</v>
      </c>
      <c r="K786" s="33" t="s">
        <v>1040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1620</v>
      </c>
      <c r="C787" s="46" t="s">
        <v>1026</v>
      </c>
      <c r="D787" s="33" t="s">
        <v>1027</v>
      </c>
      <c r="E787" s="98">
        <v>0</v>
      </c>
      <c r="F787" s="33" t="s">
        <v>1621</v>
      </c>
      <c r="G787" s="44" t="s">
        <v>834</v>
      </c>
      <c r="H787" s="44" t="s">
        <v>1175</v>
      </c>
      <c r="I787" s="44" t="s">
        <v>972</v>
      </c>
      <c r="J787" s="44">
        <v>44280</v>
      </c>
      <c r="K787" s="44" t="s">
        <v>1121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1647</v>
      </c>
      <c r="C788" s="46" t="s">
        <v>1026</v>
      </c>
      <c r="D788" s="33" t="s">
        <v>1036</v>
      </c>
      <c r="E788" s="98">
        <v>25000</v>
      </c>
      <c r="F788" s="33" t="s">
        <v>1093</v>
      </c>
      <c r="G788" s="44" t="s">
        <v>829</v>
      </c>
      <c r="H788" s="44" t="s">
        <v>86</v>
      </c>
      <c r="I788" s="44" t="s">
        <v>877</v>
      </c>
      <c r="J788" s="44">
        <v>43811</v>
      </c>
      <c r="K788" s="44" t="s">
        <v>1053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1648</v>
      </c>
      <c r="C789" s="46" t="s">
        <v>47</v>
      </c>
      <c r="D789" s="33" t="s">
        <v>1061</v>
      </c>
      <c r="E789" s="98">
        <v>13213.29</v>
      </c>
      <c r="F789" s="33" t="s">
        <v>1649</v>
      </c>
      <c r="G789" s="33" t="s">
        <v>834</v>
      </c>
      <c r="H789" s="59" t="s">
        <v>1298</v>
      </c>
      <c r="I789" s="59" t="s">
        <v>885</v>
      </c>
      <c r="J789" s="60">
        <v>44405</v>
      </c>
      <c r="K789" s="35" t="s">
        <v>1040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1192</v>
      </c>
      <c r="C790" s="46" t="s">
        <v>1026</v>
      </c>
      <c r="D790" s="33" t="s">
        <v>1036</v>
      </c>
      <c r="E790" s="39">
        <v>13800</v>
      </c>
      <c r="F790" s="33" t="s">
        <v>1193</v>
      </c>
      <c r="G790" s="44" t="s">
        <v>829</v>
      </c>
      <c r="H790" s="44" t="s">
        <v>86</v>
      </c>
      <c r="I790" s="44" t="s">
        <v>968</v>
      </c>
      <c r="J790" s="44">
        <v>43822</v>
      </c>
      <c r="K790" s="44" t="s">
        <v>1053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1081</v>
      </c>
      <c r="C791" s="46" t="s">
        <v>1026</v>
      </c>
      <c r="D791" s="33" t="s">
        <v>1027</v>
      </c>
      <c r="E791" s="39">
        <v>3800</v>
      </c>
      <c r="F791" s="33" t="s">
        <v>1082</v>
      </c>
      <c r="G791" s="44" t="s">
        <v>829</v>
      </c>
      <c r="H791" s="44" t="s">
        <v>86</v>
      </c>
      <c r="I791" s="44" t="s">
        <v>877</v>
      </c>
      <c r="J791" s="44">
        <v>43717</v>
      </c>
      <c r="K791" s="44" t="s">
        <v>1032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1585</v>
      </c>
      <c r="C792" s="46" t="s">
        <v>1026</v>
      </c>
      <c r="D792" s="33" t="s">
        <v>1061</v>
      </c>
      <c r="E792" s="98">
        <v>11926.38</v>
      </c>
      <c r="F792" s="33" t="s">
        <v>1586</v>
      </c>
      <c r="G792" s="44" t="s">
        <v>829</v>
      </c>
      <c r="H792" s="44" t="s">
        <v>86</v>
      </c>
      <c r="I792" s="44" t="s">
        <v>877</v>
      </c>
      <c r="J792" s="44">
        <v>43769</v>
      </c>
      <c r="K792" s="44" t="s">
        <v>1053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1184</v>
      </c>
      <c r="C793" s="46" t="s">
        <v>1026</v>
      </c>
      <c r="D793" s="33" t="s">
        <v>1061</v>
      </c>
      <c r="E793" s="98">
        <v>219739.11</v>
      </c>
      <c r="F793" s="33" t="s">
        <v>1185</v>
      </c>
      <c r="G793" s="44" t="s">
        <v>834</v>
      </c>
      <c r="H793" s="44" t="s">
        <v>1175</v>
      </c>
      <c r="I793" s="44" t="s">
        <v>972</v>
      </c>
      <c r="J793" s="44">
        <v>44319</v>
      </c>
      <c r="K793" s="44" t="s">
        <v>1040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1051</v>
      </c>
      <c r="C794" s="46" t="s">
        <v>1026</v>
      </c>
      <c r="D794" s="33" t="s">
        <v>1036</v>
      </c>
      <c r="E794" s="98">
        <v>3000</v>
      </c>
      <c r="F794" s="33" t="s">
        <v>1052</v>
      </c>
      <c r="G794" s="44" t="s">
        <v>829</v>
      </c>
      <c r="H794" s="44" t="s">
        <v>86</v>
      </c>
      <c r="I794" s="44" t="s">
        <v>877</v>
      </c>
      <c r="J794" s="44">
        <v>43605</v>
      </c>
      <c r="K794" s="44" t="s">
        <v>1053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1299</v>
      </c>
      <c r="C795" s="46" t="s">
        <v>1026</v>
      </c>
      <c r="D795" s="33" t="s">
        <v>1036</v>
      </c>
      <c r="E795" s="98">
        <v>30000</v>
      </c>
      <c r="F795" s="33" t="s">
        <v>1300</v>
      </c>
      <c r="G795" s="44" t="s">
        <v>834</v>
      </c>
      <c r="H795" s="44" t="s">
        <v>1175</v>
      </c>
      <c r="I795" s="44" t="s">
        <v>970</v>
      </c>
      <c r="J795" s="44">
        <v>44280</v>
      </c>
      <c r="K795" s="44" t="s">
        <v>1040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1428</v>
      </c>
      <c r="C796" s="46" t="s">
        <v>1026</v>
      </c>
      <c r="D796" s="33" t="s">
        <v>1036</v>
      </c>
      <c r="E796" s="98">
        <v>10000</v>
      </c>
      <c r="F796" s="33" t="s">
        <v>1429</v>
      </c>
      <c r="G796" s="44" t="s">
        <v>834</v>
      </c>
      <c r="H796" s="44" t="s">
        <v>1175</v>
      </c>
      <c r="I796" s="44" t="s">
        <v>974</v>
      </c>
      <c r="J796" s="44">
        <v>44267</v>
      </c>
      <c r="K796" s="44" t="s">
        <v>1040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47</v>
      </c>
      <c r="D797" s="33" t="s">
        <v>1036</v>
      </c>
      <c r="E797" s="98">
        <v>25000</v>
      </c>
      <c r="F797" s="33" t="s">
        <v>1650</v>
      </c>
      <c r="G797" s="44" t="s">
        <v>834</v>
      </c>
      <c r="H797" s="44" t="s">
        <v>1298</v>
      </c>
      <c r="I797" s="44" t="s">
        <v>899</v>
      </c>
      <c r="J797" s="44">
        <v>44511</v>
      </c>
      <c r="K797" s="44" t="s">
        <v>1040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1581</v>
      </c>
      <c r="C798" s="46" t="s">
        <v>47</v>
      </c>
      <c r="D798" s="33" t="s">
        <v>1036</v>
      </c>
      <c r="E798" s="98">
        <v>10000</v>
      </c>
      <c r="F798" s="33" t="s">
        <v>1651</v>
      </c>
      <c r="G798" s="33" t="s">
        <v>834</v>
      </c>
      <c r="H798" s="33" t="s">
        <v>86</v>
      </c>
      <c r="I798" s="33" t="s">
        <v>919</v>
      </c>
      <c r="J798" s="44">
        <v>44399</v>
      </c>
      <c r="K798" s="33" t="s">
        <v>1652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1653</v>
      </c>
      <c r="C799" s="33" t="s">
        <v>47</v>
      </c>
      <c r="D799" s="33" t="s">
        <v>1061</v>
      </c>
      <c r="E799" s="90">
        <v>142585.32</v>
      </c>
      <c r="F799" s="33" t="s">
        <v>1646</v>
      </c>
      <c r="G799" s="33" t="s">
        <v>834</v>
      </c>
      <c r="H799" s="33" t="s">
        <v>1298</v>
      </c>
      <c r="I799" s="46" t="s">
        <v>869</v>
      </c>
      <c r="J799" s="42">
        <v>44508</v>
      </c>
      <c r="K799" s="33" t="s">
        <v>1053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1654</v>
      </c>
      <c r="C800" s="33" t="s">
        <v>47</v>
      </c>
      <c r="D800" s="33" t="s">
        <v>1036</v>
      </c>
      <c r="E800" s="90">
        <v>3500</v>
      </c>
      <c r="F800" s="33" t="s">
        <v>1655</v>
      </c>
      <c r="G800" s="33" t="s">
        <v>834</v>
      </c>
      <c r="H800" s="33" t="s">
        <v>1298</v>
      </c>
      <c r="I800" s="46" t="s">
        <v>962</v>
      </c>
      <c r="J800" s="42">
        <v>44523</v>
      </c>
      <c r="K800" s="33" t="s">
        <v>1178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1301</v>
      </c>
      <c r="C801" s="46" t="s">
        <v>1026</v>
      </c>
      <c r="D801" s="33" t="s">
        <v>1027</v>
      </c>
      <c r="E801" s="98" t="s">
        <v>1656</v>
      </c>
      <c r="F801" s="33" t="s">
        <v>1302</v>
      </c>
      <c r="G801" s="44" t="s">
        <v>834</v>
      </c>
      <c r="H801" s="44" t="s">
        <v>1175</v>
      </c>
      <c r="I801" s="44" t="s">
        <v>970</v>
      </c>
      <c r="J801" s="44">
        <v>44295</v>
      </c>
      <c r="K801" s="44" t="s">
        <v>1121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1239</v>
      </c>
      <c r="C802" s="33" t="s">
        <v>47</v>
      </c>
      <c r="D802" s="33" t="s">
        <v>1036</v>
      </c>
      <c r="E802" s="90">
        <v>11000</v>
      </c>
      <c r="F802" s="33" t="s">
        <v>1240</v>
      </c>
      <c r="G802" s="33" t="s">
        <v>903</v>
      </c>
      <c r="H802" s="33" t="s">
        <v>86</v>
      </c>
      <c r="I802" s="46" t="s">
        <v>934</v>
      </c>
      <c r="J802" s="42">
        <v>44180</v>
      </c>
      <c r="K802" s="33" t="s">
        <v>1040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1657</v>
      </c>
      <c r="C803" s="33" t="s">
        <v>47</v>
      </c>
      <c r="D803" s="33" t="s">
        <v>1036</v>
      </c>
      <c r="E803" s="90">
        <v>25000</v>
      </c>
      <c r="F803" s="33" t="s">
        <v>1658</v>
      </c>
      <c r="G803" s="33" t="s">
        <v>834</v>
      </c>
      <c r="H803" s="33" t="s">
        <v>86</v>
      </c>
      <c r="I803" s="33" t="s">
        <v>1659</v>
      </c>
      <c r="J803" s="44">
        <v>44594</v>
      </c>
      <c r="K803" s="33" t="s">
        <v>1178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1660</v>
      </c>
      <c r="C804" s="33" t="s">
        <v>47</v>
      </c>
      <c r="D804" s="33" t="s">
        <v>1036</v>
      </c>
      <c r="E804" s="90">
        <v>45000</v>
      </c>
      <c r="F804" s="33" t="s">
        <v>1661</v>
      </c>
      <c r="G804" s="33" t="s">
        <v>834</v>
      </c>
      <c r="H804" s="33" t="s">
        <v>86</v>
      </c>
      <c r="I804" s="46" t="s">
        <v>835</v>
      </c>
      <c r="J804" s="42">
        <v>44482</v>
      </c>
      <c r="K804" s="33" t="s">
        <v>1121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1239</v>
      </c>
      <c r="C805" s="33" t="s">
        <v>47</v>
      </c>
      <c r="D805" s="33" t="s">
        <v>1036</v>
      </c>
      <c r="E805" s="90">
        <v>10000</v>
      </c>
      <c r="F805" s="33" t="s">
        <v>1240</v>
      </c>
      <c r="G805" s="33" t="s">
        <v>903</v>
      </c>
      <c r="H805" s="33" t="s">
        <v>86</v>
      </c>
      <c r="I805" s="46" t="s">
        <v>934</v>
      </c>
      <c r="J805" s="42">
        <v>44180</v>
      </c>
      <c r="K805" s="33" t="s">
        <v>1040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1026</v>
      </c>
      <c r="D806" s="33" t="s">
        <v>1036</v>
      </c>
      <c r="E806" s="39">
        <v>25000</v>
      </c>
      <c r="F806" s="10" t="s">
        <v>1456</v>
      </c>
      <c r="G806" s="33" t="s">
        <v>834</v>
      </c>
      <c r="H806" s="33" t="s">
        <v>1175</v>
      </c>
      <c r="I806" s="33" t="s">
        <v>972</v>
      </c>
      <c r="J806" s="42">
        <v>44585</v>
      </c>
      <c r="K806" s="46" t="s">
        <v>1178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1026</v>
      </c>
      <c r="D807" s="33" t="s">
        <v>1036</v>
      </c>
      <c r="E807" s="39">
        <v>106000</v>
      </c>
      <c r="F807" s="35" t="s">
        <v>1282</v>
      </c>
      <c r="G807" s="33" t="s">
        <v>834</v>
      </c>
      <c r="H807" s="33" t="s">
        <v>1175</v>
      </c>
      <c r="I807" s="33" t="s">
        <v>970</v>
      </c>
      <c r="J807" s="42">
        <v>44277</v>
      </c>
      <c r="K807" s="46" t="s">
        <v>1121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1662</v>
      </c>
      <c r="C808" s="10" t="s">
        <v>1026</v>
      </c>
      <c r="D808" s="33" t="s">
        <v>1036</v>
      </c>
      <c r="E808" s="39">
        <v>100000</v>
      </c>
      <c r="F808" s="33" t="s">
        <v>1663</v>
      </c>
      <c r="G808" s="33" t="s">
        <v>834</v>
      </c>
      <c r="H808" s="33" t="s">
        <v>1175</v>
      </c>
      <c r="I808" s="33" t="s">
        <v>970</v>
      </c>
      <c r="J808" s="44">
        <v>44448</v>
      </c>
      <c r="K808" s="33" t="s">
        <v>1121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1026</v>
      </c>
      <c r="D809" s="33" t="s">
        <v>1036</v>
      </c>
      <c r="E809" s="90">
        <v>500</v>
      </c>
      <c r="F809" s="33" t="s">
        <v>1404</v>
      </c>
      <c r="G809" s="33" t="s">
        <v>834</v>
      </c>
      <c r="H809" s="33" t="s">
        <v>1175</v>
      </c>
      <c r="I809" s="33" t="s">
        <v>972</v>
      </c>
      <c r="J809" s="44">
        <v>44263</v>
      </c>
      <c r="K809" s="33" t="s">
        <v>1040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1200</v>
      </c>
      <c r="C810" s="33" t="s">
        <v>47</v>
      </c>
      <c r="D810" s="33" t="s">
        <v>1036</v>
      </c>
      <c r="E810" s="39">
        <v>8000</v>
      </c>
      <c r="F810" s="33" t="s">
        <v>1201</v>
      </c>
      <c r="G810" s="33" t="s">
        <v>829</v>
      </c>
      <c r="H810" s="33" t="s">
        <v>647</v>
      </c>
      <c r="I810" s="33" t="s">
        <v>829</v>
      </c>
      <c r="J810" s="44">
        <v>44180</v>
      </c>
      <c r="K810" s="33" t="s">
        <v>1040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1026</v>
      </c>
      <c r="D811" s="33" t="s">
        <v>1036</v>
      </c>
      <c r="E811" s="39">
        <v>7500</v>
      </c>
      <c r="F811" s="33" t="s">
        <v>1048</v>
      </c>
      <c r="G811" s="33" t="s">
        <v>829</v>
      </c>
      <c r="H811" s="44"/>
      <c r="I811" s="33" t="s">
        <v>829</v>
      </c>
      <c r="J811" s="44">
        <v>43703</v>
      </c>
      <c r="K811" s="33" t="s">
        <v>1032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1182</v>
      </c>
      <c r="C812" s="10" t="s">
        <v>47</v>
      </c>
      <c r="D812" s="46" t="s">
        <v>1036</v>
      </c>
      <c r="E812" s="47">
        <v>5000</v>
      </c>
      <c r="F812" s="46" t="s">
        <v>1183</v>
      </c>
      <c r="G812" s="46" t="s">
        <v>903</v>
      </c>
      <c r="H812" s="46" t="s">
        <v>86</v>
      </c>
      <c r="I812" s="46" t="s">
        <v>911</v>
      </c>
      <c r="J812" s="45">
        <v>44263</v>
      </c>
      <c r="K812" s="10" t="s">
        <v>1040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1329</v>
      </c>
      <c r="C813" s="10" t="s">
        <v>1026</v>
      </c>
      <c r="D813" s="33" t="s">
        <v>1036</v>
      </c>
      <c r="E813" s="39">
        <v>40000</v>
      </c>
      <c r="F813" s="33" t="s">
        <v>1330</v>
      </c>
      <c r="G813" s="33" t="s">
        <v>834</v>
      </c>
      <c r="H813" s="33" t="s">
        <v>1175</v>
      </c>
      <c r="I813" s="33" t="s">
        <v>972</v>
      </c>
      <c r="J813" s="44">
        <v>44319</v>
      </c>
      <c r="K813" s="33" t="s">
        <v>1040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1664</v>
      </c>
      <c r="C814" s="10" t="s">
        <v>1026</v>
      </c>
      <c r="D814" s="33" t="s">
        <v>1036</v>
      </c>
      <c r="E814" s="39">
        <v>25000</v>
      </c>
      <c r="F814" s="33" t="s">
        <v>1456</v>
      </c>
      <c r="G814" s="33" t="s">
        <v>834</v>
      </c>
      <c r="H814" s="33" t="s">
        <v>1175</v>
      </c>
      <c r="I814" s="33" t="s">
        <v>972</v>
      </c>
      <c r="J814" s="44">
        <v>44585</v>
      </c>
      <c r="K814" s="33" t="s">
        <v>1178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1665</v>
      </c>
      <c r="C815" s="10" t="s">
        <v>1026</v>
      </c>
      <c r="D815" s="33" t="s">
        <v>1036</v>
      </c>
      <c r="E815" s="90">
        <v>16000</v>
      </c>
      <c r="F815" s="33" t="s">
        <v>1666</v>
      </c>
      <c r="G815" s="33" t="s">
        <v>834</v>
      </c>
      <c r="H815" s="33" t="s">
        <v>1175</v>
      </c>
      <c r="I815" s="33" t="s">
        <v>970</v>
      </c>
      <c r="J815" s="44">
        <v>44462</v>
      </c>
      <c r="K815" s="33" t="s">
        <v>1029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1026</v>
      </c>
      <c r="D816" s="33" t="s">
        <v>1027</v>
      </c>
      <c r="E816" s="90">
        <v>31234</v>
      </c>
      <c r="F816" s="10" t="s">
        <v>1667</v>
      </c>
      <c r="G816" s="33" t="s">
        <v>829</v>
      </c>
      <c r="H816" s="33" t="s">
        <v>86</v>
      </c>
      <c r="I816" s="33" t="s">
        <v>968</v>
      </c>
      <c r="J816" s="44">
        <v>43865</v>
      </c>
      <c r="K816" s="33" t="s">
        <v>1040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1668</v>
      </c>
      <c r="C817" s="10" t="s">
        <v>1026</v>
      </c>
      <c r="D817" s="33" t="s">
        <v>1036</v>
      </c>
      <c r="E817" s="90">
        <v>10000</v>
      </c>
      <c r="F817" s="33" t="s">
        <v>1398</v>
      </c>
      <c r="G817" s="33" t="s">
        <v>834</v>
      </c>
      <c r="H817" s="33" t="s">
        <v>1175</v>
      </c>
      <c r="I817" s="33" t="s">
        <v>972</v>
      </c>
      <c r="J817" s="44">
        <v>44607</v>
      </c>
      <c r="K817" s="33" t="s">
        <v>1178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1647</v>
      </c>
      <c r="C818" s="10" t="s">
        <v>1026</v>
      </c>
      <c r="D818" s="33" t="s">
        <v>1036</v>
      </c>
      <c r="E818" s="90">
        <v>20000</v>
      </c>
      <c r="F818" s="33" t="s">
        <v>1669</v>
      </c>
      <c r="G818" s="33" t="s">
        <v>829</v>
      </c>
      <c r="H818" s="33" t="s">
        <v>86</v>
      </c>
      <c r="I818" s="33" t="s">
        <v>877</v>
      </c>
      <c r="J818" s="44">
        <v>43811</v>
      </c>
      <c r="K818" s="33" t="s">
        <v>1053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1670</v>
      </c>
      <c r="C819" s="33" t="s">
        <v>47</v>
      </c>
      <c r="D819" s="33" t="s">
        <v>1036</v>
      </c>
      <c r="E819" s="90">
        <v>73500</v>
      </c>
      <c r="F819" s="33" t="s">
        <v>1671</v>
      </c>
      <c r="G819" s="33" t="s">
        <v>834</v>
      </c>
      <c r="H819" s="33" t="s">
        <v>1298</v>
      </c>
      <c r="I819" s="33" t="s">
        <v>1001</v>
      </c>
      <c r="J819" s="44">
        <v>44609</v>
      </c>
      <c r="K819" s="46" t="s">
        <v>1053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1672</v>
      </c>
      <c r="C820" s="10" t="s">
        <v>1026</v>
      </c>
      <c r="D820" s="33" t="s">
        <v>1027</v>
      </c>
      <c r="E820" s="90">
        <v>229216</v>
      </c>
      <c r="F820" s="33" t="s">
        <v>1673</v>
      </c>
      <c r="G820" s="33" t="s">
        <v>829</v>
      </c>
      <c r="H820" s="33" t="s">
        <v>86</v>
      </c>
      <c r="I820" s="33" t="s">
        <v>968</v>
      </c>
      <c r="J820" s="44">
        <v>44186</v>
      </c>
      <c r="K820" s="33" t="s">
        <v>1040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1674</v>
      </c>
      <c r="C821" s="10" t="s">
        <v>1026</v>
      </c>
      <c r="D821" s="33" t="s">
        <v>1061</v>
      </c>
      <c r="E821" s="90">
        <v>184170</v>
      </c>
      <c r="F821" s="33" t="s">
        <v>1675</v>
      </c>
      <c r="G821" s="33" t="s">
        <v>834</v>
      </c>
      <c r="H821" s="33" t="s">
        <v>1175</v>
      </c>
      <c r="I821" s="33" t="s">
        <v>972</v>
      </c>
      <c r="J821" s="44">
        <v>44280</v>
      </c>
      <c r="K821" s="33" t="s">
        <v>1121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1026</v>
      </c>
      <c r="D822" s="33" t="s">
        <v>1061</v>
      </c>
      <c r="E822" s="90">
        <v>237755</v>
      </c>
      <c r="F822" s="105" t="s">
        <v>1676</v>
      </c>
      <c r="G822" s="33" t="s">
        <v>834</v>
      </c>
      <c r="H822" s="33" t="s">
        <v>1175</v>
      </c>
      <c r="I822" s="33" t="s">
        <v>972</v>
      </c>
      <c r="J822" s="44">
        <v>44280</v>
      </c>
      <c r="K822" s="33" t="s">
        <v>1029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1606</v>
      </c>
      <c r="C823" s="10" t="s">
        <v>1026</v>
      </c>
      <c r="D823" s="33" t="s">
        <v>1036</v>
      </c>
      <c r="E823" s="90">
        <v>63000</v>
      </c>
      <c r="F823" s="105" t="s">
        <v>1607</v>
      </c>
      <c r="G823" s="33" t="s">
        <v>834</v>
      </c>
      <c r="H823" s="33" t="s">
        <v>1175</v>
      </c>
      <c r="I823" s="33" t="s">
        <v>972</v>
      </c>
      <c r="J823" s="44">
        <v>44263</v>
      </c>
      <c r="K823" s="33" t="s">
        <v>1040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1303</v>
      </c>
      <c r="C824" s="10" t="s">
        <v>1026</v>
      </c>
      <c r="D824" s="33" t="s">
        <v>1036</v>
      </c>
      <c r="E824" s="90">
        <v>3000</v>
      </c>
      <c r="F824" s="33" t="s">
        <v>1304</v>
      </c>
      <c r="G824" s="33" t="s">
        <v>834</v>
      </c>
      <c r="H824" s="33" t="s">
        <v>1175</v>
      </c>
      <c r="I824" s="33" t="s">
        <v>972</v>
      </c>
      <c r="J824" s="44">
        <v>44322</v>
      </c>
      <c r="K824" s="33" t="s">
        <v>1040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1662</v>
      </c>
      <c r="C825" s="10" t="s">
        <v>1026</v>
      </c>
      <c r="D825" s="33" t="s">
        <v>1061</v>
      </c>
      <c r="E825" s="90">
        <v>285598</v>
      </c>
      <c r="F825" s="10" t="s">
        <v>1677</v>
      </c>
      <c r="G825" s="33" t="s">
        <v>834</v>
      </c>
      <c r="H825" s="33" t="s">
        <v>1175</v>
      </c>
      <c r="I825" s="33" t="s">
        <v>972</v>
      </c>
      <c r="J825" s="44">
        <v>44448</v>
      </c>
      <c r="K825" s="33" t="s">
        <v>1121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1647</v>
      </c>
      <c r="C826" s="10" t="s">
        <v>1026</v>
      </c>
      <c r="D826" s="33" t="s">
        <v>1036</v>
      </c>
      <c r="E826" s="90">
        <v>15000</v>
      </c>
      <c r="F826" s="33" t="s">
        <v>1669</v>
      </c>
      <c r="G826" s="33" t="s">
        <v>829</v>
      </c>
      <c r="H826" s="33" t="s">
        <v>86</v>
      </c>
      <c r="I826" s="33" t="s">
        <v>877</v>
      </c>
      <c r="J826" s="44">
        <v>43811</v>
      </c>
      <c r="K826" s="33" t="s">
        <v>1053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1678</v>
      </c>
      <c r="C827" s="46" t="s">
        <v>1026</v>
      </c>
      <c r="D827" s="33" t="s">
        <v>1027</v>
      </c>
      <c r="E827" s="98"/>
      <c r="F827" s="33" t="s">
        <v>1679</v>
      </c>
      <c r="G827" s="44" t="s">
        <v>834</v>
      </c>
      <c r="H827" s="44" t="s">
        <v>1175</v>
      </c>
      <c r="I827" s="44" t="s">
        <v>974</v>
      </c>
      <c r="J827" s="44">
        <v>44199</v>
      </c>
      <c r="K827" s="44" t="s">
        <v>1053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1307</v>
      </c>
      <c r="C828" s="10" t="s">
        <v>1026</v>
      </c>
      <c r="D828" s="33" t="s">
        <v>1036</v>
      </c>
      <c r="E828" s="90">
        <v>10000</v>
      </c>
      <c r="F828" s="10" t="s">
        <v>1308</v>
      </c>
      <c r="G828" s="33" t="s">
        <v>834</v>
      </c>
      <c r="H828" s="33" t="s">
        <v>1175</v>
      </c>
      <c r="I828" s="33" t="s">
        <v>972</v>
      </c>
      <c r="J828" s="44">
        <v>44319</v>
      </c>
      <c r="K828" s="33" t="s">
        <v>1040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1647</v>
      </c>
      <c r="C829" s="10" t="s">
        <v>1026</v>
      </c>
      <c r="D829" s="33" t="s">
        <v>1036</v>
      </c>
      <c r="E829" s="90">
        <v>20000</v>
      </c>
      <c r="F829" s="33" t="s">
        <v>1669</v>
      </c>
      <c r="G829" s="33" t="s">
        <v>829</v>
      </c>
      <c r="H829" s="33" t="s">
        <v>86</v>
      </c>
      <c r="I829" s="33" t="s">
        <v>877</v>
      </c>
      <c r="J829" s="44">
        <v>43811</v>
      </c>
      <c r="K829" s="33" t="s">
        <v>1053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1371</v>
      </c>
      <c r="C830" s="10" t="s">
        <v>1026</v>
      </c>
      <c r="D830" s="33" t="s">
        <v>1036</v>
      </c>
      <c r="E830" s="90">
        <v>1000000</v>
      </c>
      <c r="F830" s="33" t="s">
        <v>1372</v>
      </c>
      <c r="G830" s="33" t="s">
        <v>834</v>
      </c>
      <c r="H830" s="33" t="s">
        <v>1175</v>
      </c>
      <c r="I830" s="33" t="s">
        <v>972</v>
      </c>
      <c r="J830" s="44">
        <v>44321</v>
      </c>
      <c r="K830" s="33" t="s">
        <v>1178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1680</v>
      </c>
      <c r="C831" s="33" t="s">
        <v>47</v>
      </c>
      <c r="D831" s="33" t="s">
        <v>1036</v>
      </c>
      <c r="E831" s="90">
        <v>7000</v>
      </c>
      <c r="F831" s="33" t="s">
        <v>1681</v>
      </c>
      <c r="G831" s="33" t="s">
        <v>834</v>
      </c>
      <c r="H831" s="33" t="s">
        <v>1298</v>
      </c>
      <c r="I831" s="33" t="s">
        <v>1001</v>
      </c>
      <c r="J831" s="44">
        <v>44615</v>
      </c>
      <c r="K831" s="46" t="s">
        <v>1040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1682</v>
      </c>
      <c r="C832" s="33" t="s">
        <v>47</v>
      </c>
      <c r="D832" s="33" t="s">
        <v>1061</v>
      </c>
      <c r="E832" s="90">
        <v>100351.65</v>
      </c>
      <c r="F832" s="33" t="s">
        <v>1683</v>
      </c>
      <c r="G832" s="33" t="s">
        <v>834</v>
      </c>
      <c r="H832" s="33" t="s">
        <v>86</v>
      </c>
      <c r="I832" s="33" t="s">
        <v>1684</v>
      </c>
      <c r="J832" s="44">
        <v>44365</v>
      </c>
      <c r="K832" s="10" t="s">
        <v>1437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1685</v>
      </c>
      <c r="C833" s="33" t="s">
        <v>47</v>
      </c>
      <c r="D833" s="33" t="s">
        <v>1061</v>
      </c>
      <c r="E833" s="90">
        <v>169950.33</v>
      </c>
      <c r="F833" s="10" t="s">
        <v>1686</v>
      </c>
      <c r="G833" s="33" t="s">
        <v>834</v>
      </c>
      <c r="H833" s="33" t="s">
        <v>1272</v>
      </c>
      <c r="I833" s="33" t="s">
        <v>873</v>
      </c>
      <c r="J833" s="44">
        <v>44298</v>
      </c>
      <c r="K833" s="35" t="s">
        <v>1040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47</v>
      </c>
      <c r="D834" s="33" t="s">
        <v>1061</v>
      </c>
      <c r="E834" s="90">
        <v>103307.43</v>
      </c>
      <c r="F834" s="33" t="s">
        <v>1687</v>
      </c>
      <c r="G834" s="33" t="s">
        <v>834</v>
      </c>
      <c r="H834" s="33" t="s">
        <v>1298</v>
      </c>
      <c r="I834" s="33" t="s">
        <v>905</v>
      </c>
      <c r="J834" s="44">
        <v>44469</v>
      </c>
      <c r="K834" s="10" t="s">
        <v>1121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47</v>
      </c>
      <c r="D835" s="33" t="s">
        <v>1036</v>
      </c>
      <c r="E835" s="90">
        <v>25000</v>
      </c>
      <c r="F835" s="33" t="s">
        <v>1688</v>
      </c>
      <c r="G835" s="33" t="s">
        <v>834</v>
      </c>
      <c r="H835" s="33" t="s">
        <v>1298</v>
      </c>
      <c r="I835" s="33" t="s">
        <v>905</v>
      </c>
      <c r="J835" s="44">
        <v>44503</v>
      </c>
      <c r="K835" s="10" t="s">
        <v>1437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1689</v>
      </c>
      <c r="C836" s="33" t="s">
        <v>47</v>
      </c>
      <c r="D836" s="33" t="s">
        <v>1061</v>
      </c>
      <c r="E836" s="90">
        <v>175092.43</v>
      </c>
      <c r="F836" s="33" t="s">
        <v>1690</v>
      </c>
      <c r="G836" s="33" t="s">
        <v>903</v>
      </c>
      <c r="H836" s="33" t="s">
        <v>86</v>
      </c>
      <c r="I836" s="33" t="s">
        <v>848</v>
      </c>
      <c r="J836" s="44">
        <v>44075</v>
      </c>
      <c r="K836" s="46" t="s">
        <v>1040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1691</v>
      </c>
      <c r="C837" s="33" t="s">
        <v>47</v>
      </c>
      <c r="D837" s="33" t="s">
        <v>1061</v>
      </c>
      <c r="E837" s="90">
        <v>101496.62</v>
      </c>
      <c r="F837" s="33" t="s">
        <v>1692</v>
      </c>
      <c r="G837" s="33" t="s">
        <v>903</v>
      </c>
      <c r="H837" s="33" t="s">
        <v>1272</v>
      </c>
      <c r="I837" s="33" t="s">
        <v>873</v>
      </c>
      <c r="J837" s="44">
        <v>44256</v>
      </c>
      <c r="K837" s="46" t="s">
        <v>1121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1626</v>
      </c>
      <c r="C838" s="10" t="s">
        <v>1026</v>
      </c>
      <c r="D838" s="33" t="s">
        <v>1036</v>
      </c>
      <c r="E838" s="90">
        <v>10000</v>
      </c>
      <c r="F838" s="33" t="s">
        <v>1628</v>
      </c>
      <c r="G838" s="33" t="s">
        <v>834</v>
      </c>
      <c r="H838" s="33" t="s">
        <v>1175</v>
      </c>
      <c r="I838" s="33" t="s">
        <v>972</v>
      </c>
      <c r="J838" s="44">
        <v>44280</v>
      </c>
      <c r="K838" s="33" t="s">
        <v>1121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1678</v>
      </c>
      <c r="C839" s="10" t="s">
        <v>1026</v>
      </c>
      <c r="D839" s="33" t="s">
        <v>1061</v>
      </c>
      <c r="E839" s="90">
        <v>117357</v>
      </c>
      <c r="F839" s="33" t="s">
        <v>1679</v>
      </c>
      <c r="G839" s="33" t="s">
        <v>834</v>
      </c>
      <c r="H839" s="33" t="s">
        <v>1175</v>
      </c>
      <c r="I839" s="33" t="s">
        <v>974</v>
      </c>
      <c r="J839" s="44">
        <v>44330</v>
      </c>
      <c r="K839" s="33" t="s">
        <v>1053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1693</v>
      </c>
      <c r="C840" s="10" t="s">
        <v>1026</v>
      </c>
      <c r="D840" s="33" t="s">
        <v>1036</v>
      </c>
      <c r="E840" s="90">
        <v>19000</v>
      </c>
      <c r="F840" s="33" t="s">
        <v>1694</v>
      </c>
      <c r="G840" s="33" t="s">
        <v>834</v>
      </c>
      <c r="H840" s="33" t="s">
        <v>1175</v>
      </c>
      <c r="I840" s="33" t="s">
        <v>974</v>
      </c>
      <c r="J840" s="44">
        <v>44263</v>
      </c>
      <c r="K840" s="33" t="s">
        <v>1040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1695</v>
      </c>
      <c r="C841" s="10" t="s">
        <v>1026</v>
      </c>
      <c r="D841" s="33" t="s">
        <v>1036</v>
      </c>
      <c r="E841" s="90">
        <v>14000</v>
      </c>
      <c r="F841" s="33" t="s">
        <v>1696</v>
      </c>
      <c r="G841" s="33" t="s">
        <v>829</v>
      </c>
      <c r="H841" s="33" t="s">
        <v>86</v>
      </c>
      <c r="I841" s="33" t="s">
        <v>877</v>
      </c>
      <c r="J841" s="44">
        <v>43605</v>
      </c>
      <c r="K841" s="33" t="s">
        <v>1029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1511</v>
      </c>
      <c r="C842" s="10" t="s">
        <v>1026</v>
      </c>
      <c r="D842" s="33" t="s">
        <v>1036</v>
      </c>
      <c r="E842" s="90">
        <v>5000</v>
      </c>
      <c r="F842" s="33" t="s">
        <v>1512</v>
      </c>
      <c r="G842" s="33" t="s">
        <v>834</v>
      </c>
      <c r="H842" s="33" t="s">
        <v>1175</v>
      </c>
      <c r="I842" s="33" t="s">
        <v>972</v>
      </c>
      <c r="J842" s="44">
        <v>44421</v>
      </c>
      <c r="K842" s="33" t="s">
        <v>1040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1664</v>
      </c>
      <c r="C843" s="10" t="s">
        <v>1026</v>
      </c>
      <c r="D843" s="33" t="s">
        <v>1036</v>
      </c>
      <c r="E843" s="90">
        <v>25000</v>
      </c>
      <c r="F843" s="33" t="s">
        <v>1456</v>
      </c>
      <c r="G843" s="33" t="s">
        <v>834</v>
      </c>
      <c r="H843" s="33" t="s">
        <v>1175</v>
      </c>
      <c r="I843" s="33" t="s">
        <v>972</v>
      </c>
      <c r="J843" s="44">
        <v>44585</v>
      </c>
      <c r="K843" s="33" t="s">
        <v>1178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1697</v>
      </c>
      <c r="C844" s="10" t="s">
        <v>1026</v>
      </c>
      <c r="D844" s="33" t="s">
        <v>1036</v>
      </c>
      <c r="E844" s="90">
        <v>300000</v>
      </c>
      <c r="F844" s="33" t="s">
        <v>1698</v>
      </c>
      <c r="G844" s="33" t="s">
        <v>834</v>
      </c>
      <c r="H844" s="33" t="s">
        <v>1175</v>
      </c>
      <c r="I844" s="33" t="s">
        <v>972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1657</v>
      </c>
      <c r="C845" s="33" t="s">
        <v>47</v>
      </c>
      <c r="D845" s="33" t="s">
        <v>1036</v>
      </c>
      <c r="E845" s="90">
        <v>15000</v>
      </c>
      <c r="F845" s="33" t="s">
        <v>1658</v>
      </c>
      <c r="G845" s="33" t="s">
        <v>834</v>
      </c>
      <c r="H845" s="33" t="s">
        <v>86</v>
      </c>
      <c r="I845" s="33" t="s">
        <v>1659</v>
      </c>
      <c r="J845" s="44">
        <v>44594</v>
      </c>
      <c r="K845" s="46" t="s">
        <v>1178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1335</v>
      </c>
      <c r="C846" s="33" t="s">
        <v>47</v>
      </c>
      <c r="D846" s="33" t="s">
        <v>1061</v>
      </c>
      <c r="E846" s="90">
        <v>2232</v>
      </c>
      <c r="F846" s="35" t="s">
        <v>1336</v>
      </c>
      <c r="G846" s="33" t="s">
        <v>903</v>
      </c>
      <c r="H846" s="33" t="s">
        <v>86</v>
      </c>
      <c r="I846" s="33" t="s">
        <v>901</v>
      </c>
      <c r="J846" s="42">
        <v>44145</v>
      </c>
      <c r="K846" s="46" t="s">
        <v>1121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1699</v>
      </c>
      <c r="C847" s="33" t="s">
        <v>47</v>
      </c>
      <c r="D847" s="33" t="s">
        <v>1027</v>
      </c>
      <c r="E847" s="90">
        <v>129000</v>
      </c>
      <c r="F847" s="35" t="s">
        <v>1700</v>
      </c>
      <c r="G847" s="33" t="s">
        <v>903</v>
      </c>
      <c r="H847" s="33" t="s">
        <v>1272</v>
      </c>
      <c r="I847" s="33" t="s">
        <v>861</v>
      </c>
      <c r="J847" s="42">
        <v>44216</v>
      </c>
      <c r="K847" s="46" t="s">
        <v>1121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1701</v>
      </c>
      <c r="C848" s="33" t="s">
        <v>47</v>
      </c>
      <c r="D848" s="33" t="s">
        <v>1027</v>
      </c>
      <c r="E848" s="90">
        <v>630477</v>
      </c>
      <c r="F848" s="35" t="s">
        <v>1700</v>
      </c>
      <c r="G848" s="33" t="s">
        <v>903</v>
      </c>
      <c r="H848" s="33" t="s">
        <v>1272</v>
      </c>
      <c r="I848" s="33" t="s">
        <v>861</v>
      </c>
      <c r="J848" s="42">
        <v>44207</v>
      </c>
      <c r="K848" s="46" t="s">
        <v>1437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1702</v>
      </c>
      <c r="C849" s="33" t="s">
        <v>47</v>
      </c>
      <c r="D849" s="33" t="s">
        <v>1027</v>
      </c>
      <c r="E849" s="90">
        <v>152856.49</v>
      </c>
      <c r="F849" s="10" t="s">
        <v>1703</v>
      </c>
      <c r="G849" s="33" t="s">
        <v>903</v>
      </c>
      <c r="H849" s="33" t="s">
        <v>1272</v>
      </c>
      <c r="I849" s="33" t="s">
        <v>861</v>
      </c>
      <c r="J849" s="42">
        <v>44385</v>
      </c>
      <c r="K849" s="46" t="s">
        <v>1121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1704</v>
      </c>
      <c r="C850" s="10" t="s">
        <v>47</v>
      </c>
      <c r="D850" s="33" t="s">
        <v>1036</v>
      </c>
      <c r="E850" s="90">
        <v>22140.93</v>
      </c>
      <c r="F850" s="33" t="s">
        <v>1705</v>
      </c>
      <c r="G850" s="33" t="s">
        <v>834</v>
      </c>
      <c r="H850" s="33" t="s">
        <v>1298</v>
      </c>
      <c r="I850" s="33" t="s">
        <v>1001</v>
      </c>
      <c r="J850" s="44">
        <v>44656</v>
      </c>
      <c r="K850" s="33" t="s">
        <v>1040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1706</v>
      </c>
      <c r="C851" s="33" t="s">
        <v>47</v>
      </c>
      <c r="D851" s="33" t="s">
        <v>1027</v>
      </c>
      <c r="E851" s="90">
        <v>230428.79</v>
      </c>
      <c r="F851" s="62" t="s">
        <v>1707</v>
      </c>
      <c r="G851" s="33" t="s">
        <v>903</v>
      </c>
      <c r="H851" s="33" t="s">
        <v>1272</v>
      </c>
      <c r="I851" s="33" t="s">
        <v>861</v>
      </c>
      <c r="J851" s="42">
        <v>44294</v>
      </c>
      <c r="K851" s="46" t="s">
        <v>1121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1708</v>
      </c>
      <c r="C852" s="33" t="s">
        <v>47</v>
      </c>
      <c r="D852" s="33" t="s">
        <v>1027</v>
      </c>
      <c r="E852" s="90">
        <v>281890.89</v>
      </c>
      <c r="F852" s="33" t="s">
        <v>1709</v>
      </c>
      <c r="G852" s="33" t="s">
        <v>834</v>
      </c>
      <c r="H852" s="33" t="s">
        <v>1298</v>
      </c>
      <c r="I852" s="33" t="s">
        <v>885</v>
      </c>
      <c r="J852" s="44">
        <v>44300</v>
      </c>
      <c r="K852" s="46" t="s">
        <v>1040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1026</v>
      </c>
      <c r="D853" s="33" t="s">
        <v>1061</v>
      </c>
      <c r="E853" s="90">
        <v>84500</v>
      </c>
      <c r="F853" s="33" t="s">
        <v>1116</v>
      </c>
      <c r="G853" s="33" t="s">
        <v>976</v>
      </c>
      <c r="H853" s="33" t="s">
        <v>86</v>
      </c>
      <c r="I853" s="33" t="s">
        <v>976</v>
      </c>
      <c r="J853" s="44">
        <v>43441</v>
      </c>
      <c r="K853" s="33" t="s">
        <v>1029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1327</v>
      </c>
      <c r="C854" s="10" t="s">
        <v>1026</v>
      </c>
      <c r="D854" s="33" t="s">
        <v>1061</v>
      </c>
      <c r="E854" s="90">
        <v>32277</v>
      </c>
      <c r="F854" s="33" t="s">
        <v>1328</v>
      </c>
      <c r="G854" s="33" t="s">
        <v>829</v>
      </c>
      <c r="H854" s="33" t="s">
        <v>86</v>
      </c>
      <c r="I854" s="33" t="s">
        <v>877</v>
      </c>
      <c r="J854" s="44">
        <v>43753</v>
      </c>
      <c r="K854" s="33" t="s">
        <v>1040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1303</v>
      </c>
      <c r="C855" s="10" t="s">
        <v>1026</v>
      </c>
      <c r="D855" s="33" t="s">
        <v>1027</v>
      </c>
      <c r="E855" s="90">
        <v>15091.06</v>
      </c>
      <c r="F855" s="33" t="s">
        <v>1304</v>
      </c>
      <c r="G855" s="33" t="s">
        <v>834</v>
      </c>
      <c r="H855" s="33" t="s">
        <v>1175</v>
      </c>
      <c r="I855" s="33" t="s">
        <v>970</v>
      </c>
      <c r="J855" s="44">
        <v>44322</v>
      </c>
      <c r="K855" s="44" t="s">
        <v>1040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1670</v>
      </c>
      <c r="C856" s="10" t="s">
        <v>47</v>
      </c>
      <c r="D856" s="33" t="s">
        <v>1036</v>
      </c>
      <c r="E856" s="90">
        <v>31400</v>
      </c>
      <c r="F856" s="33" t="s">
        <v>1671</v>
      </c>
      <c r="G856" s="33" t="s">
        <v>834</v>
      </c>
      <c r="H856" s="33" t="s">
        <v>1298</v>
      </c>
      <c r="I856" s="44" t="s">
        <v>1001</v>
      </c>
      <c r="J856" s="44">
        <v>44609</v>
      </c>
      <c r="K856" s="33" t="s">
        <v>1053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1173</v>
      </c>
      <c r="C857" s="10" t="s">
        <v>1026</v>
      </c>
      <c r="D857" s="33" t="s">
        <v>1036</v>
      </c>
      <c r="E857" s="90">
        <v>40000</v>
      </c>
      <c r="F857" s="10" t="s">
        <v>1710</v>
      </c>
      <c r="G857" s="33" t="s">
        <v>834</v>
      </c>
      <c r="H857" s="33" t="s">
        <v>1175</v>
      </c>
      <c r="I857" s="33" t="s">
        <v>972</v>
      </c>
      <c r="J857" s="44">
        <v>44321</v>
      </c>
      <c r="K857" s="33" t="s">
        <v>1040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1711</v>
      </c>
      <c r="C858" s="10" t="s">
        <v>47</v>
      </c>
      <c r="D858" s="33" t="s">
        <v>1027</v>
      </c>
      <c r="E858" s="90">
        <v>171724.96</v>
      </c>
      <c r="F858" s="33" t="s">
        <v>1712</v>
      </c>
      <c r="G858" s="33" t="s">
        <v>834</v>
      </c>
      <c r="H858" s="33" t="s">
        <v>1298</v>
      </c>
      <c r="I858" s="44" t="s">
        <v>885</v>
      </c>
      <c r="J858" s="44">
        <v>44274</v>
      </c>
      <c r="K858" s="33" t="s">
        <v>1040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1664</v>
      </c>
      <c r="C859" s="10" t="s">
        <v>1026</v>
      </c>
      <c r="D859" s="33" t="s">
        <v>1036</v>
      </c>
      <c r="E859" s="90">
        <v>25000</v>
      </c>
      <c r="F859" s="10" t="s">
        <v>1713</v>
      </c>
      <c r="G859" s="33" t="s">
        <v>834</v>
      </c>
      <c r="H859" s="33" t="s">
        <v>1175</v>
      </c>
      <c r="I859" s="33" t="s">
        <v>972</v>
      </c>
      <c r="J859" s="44">
        <v>44263</v>
      </c>
      <c r="K859" s="33" t="s">
        <v>1053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1714</v>
      </c>
      <c r="C860" s="10" t="s">
        <v>47</v>
      </c>
      <c r="D860" s="33" t="s">
        <v>1027</v>
      </c>
      <c r="E860" s="90">
        <v>221711.79</v>
      </c>
      <c r="F860" s="33" t="s">
        <v>1715</v>
      </c>
      <c r="G860" s="33" t="s">
        <v>834</v>
      </c>
      <c r="H860" s="33" t="s">
        <v>1272</v>
      </c>
      <c r="I860" s="44" t="s">
        <v>861</v>
      </c>
      <c r="J860" s="44">
        <v>44252</v>
      </c>
      <c r="K860" s="33" t="s">
        <v>1121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1716</v>
      </c>
      <c r="C861" s="10" t="s">
        <v>1026</v>
      </c>
      <c r="D861" s="33" t="s">
        <v>1036</v>
      </c>
      <c r="E861" s="90">
        <v>31000</v>
      </c>
      <c r="F861" s="10" t="s">
        <v>1717</v>
      </c>
      <c r="G861" s="33" t="s">
        <v>834</v>
      </c>
      <c r="H861" s="33" t="s">
        <v>1175</v>
      </c>
      <c r="I861" s="33" t="s">
        <v>970</v>
      </c>
      <c r="J861" s="44">
        <v>44382</v>
      </c>
      <c r="K861" s="33" t="s">
        <v>1121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1718</v>
      </c>
      <c r="C862" s="10" t="s">
        <v>1026</v>
      </c>
      <c r="D862" s="33" t="s">
        <v>1036</v>
      </c>
      <c r="E862" s="90">
        <v>105000</v>
      </c>
      <c r="F862" s="33" t="s">
        <v>1719</v>
      </c>
      <c r="G862" s="33" t="s">
        <v>834</v>
      </c>
      <c r="H862" s="33" t="s">
        <v>1175</v>
      </c>
      <c r="I862" s="44" t="s">
        <v>1019</v>
      </c>
      <c r="J862" s="44">
        <v>44677</v>
      </c>
      <c r="K862" s="33" t="s">
        <v>1178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1657</v>
      </c>
      <c r="C863" s="10" t="s">
        <v>47</v>
      </c>
      <c r="D863" s="33" t="s">
        <v>1036</v>
      </c>
      <c r="E863" s="90">
        <v>25000</v>
      </c>
      <c r="F863" s="33" t="s">
        <v>1658</v>
      </c>
      <c r="G863" s="33" t="s">
        <v>834</v>
      </c>
      <c r="H863" s="33" t="s">
        <v>86</v>
      </c>
      <c r="I863" s="44" t="s">
        <v>956</v>
      </c>
      <c r="J863" s="44">
        <v>44594</v>
      </c>
      <c r="K863" s="33" t="s">
        <v>1178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1720</v>
      </c>
      <c r="C864" s="10" t="s">
        <v>1026</v>
      </c>
      <c r="D864" s="33" t="s">
        <v>1036</v>
      </c>
      <c r="E864" s="90">
        <v>15000</v>
      </c>
      <c r="F864" s="10" t="s">
        <v>1721</v>
      </c>
      <c r="G864" s="33" t="s">
        <v>834</v>
      </c>
      <c r="H864" s="33" t="s">
        <v>1175</v>
      </c>
      <c r="I864" s="33" t="s">
        <v>970</v>
      </c>
      <c r="J864" s="44">
        <v>44602</v>
      </c>
      <c r="K864" s="33" t="s">
        <v>1040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1299</v>
      </c>
      <c r="C865" s="10" t="s">
        <v>1026</v>
      </c>
      <c r="D865" s="33" t="s">
        <v>1036</v>
      </c>
      <c r="E865" s="90">
        <v>24500</v>
      </c>
      <c r="F865" s="10" t="s">
        <v>1722</v>
      </c>
      <c r="G865" s="33" t="s">
        <v>834</v>
      </c>
      <c r="H865" s="33" t="s">
        <v>1175</v>
      </c>
      <c r="I865" s="33" t="s">
        <v>970</v>
      </c>
      <c r="J865" s="44">
        <v>44439</v>
      </c>
      <c r="K865" s="33" t="s">
        <v>1053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1723</v>
      </c>
      <c r="C866" s="46" t="s">
        <v>1026</v>
      </c>
      <c r="D866" s="33" t="s">
        <v>1027</v>
      </c>
      <c r="E866" s="98" t="s">
        <v>1724</v>
      </c>
      <c r="F866" s="33" t="s">
        <v>1725</v>
      </c>
      <c r="G866" s="44" t="s">
        <v>834</v>
      </c>
      <c r="H866" s="44" t="s">
        <v>1175</v>
      </c>
      <c r="I866" s="44" t="s">
        <v>970</v>
      </c>
      <c r="J866" s="44">
        <v>44440</v>
      </c>
      <c r="K866" s="44" t="s">
        <v>1040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1726</v>
      </c>
      <c r="C867" s="10" t="s">
        <v>47</v>
      </c>
      <c r="D867" s="33" t="s">
        <v>1027</v>
      </c>
      <c r="E867" s="90">
        <v>2966054.05</v>
      </c>
      <c r="F867" s="33" t="s">
        <v>1473</v>
      </c>
      <c r="G867" s="33" t="s">
        <v>834</v>
      </c>
      <c r="H867" s="33" t="s">
        <v>1272</v>
      </c>
      <c r="I867" s="44" t="s">
        <v>861</v>
      </c>
      <c r="J867" s="44">
        <v>44426</v>
      </c>
      <c r="K867" s="33" t="s">
        <v>1727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1472</v>
      </c>
      <c r="C868" s="10" t="s">
        <v>47</v>
      </c>
      <c r="D868" s="33" t="s">
        <v>1027</v>
      </c>
      <c r="E868" s="90">
        <v>2132.5500000000002</v>
      </c>
      <c r="F868" s="33" t="s">
        <v>1473</v>
      </c>
      <c r="G868" s="33" t="s">
        <v>834</v>
      </c>
      <c r="H868" s="33" t="s">
        <v>1272</v>
      </c>
      <c r="I868" s="44" t="s">
        <v>861</v>
      </c>
      <c r="J868" s="44">
        <v>44204</v>
      </c>
      <c r="K868" s="33" t="s">
        <v>1339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1319</v>
      </c>
      <c r="C869" s="10" t="s">
        <v>47</v>
      </c>
      <c r="D869" s="33" t="s">
        <v>1027</v>
      </c>
      <c r="E869" s="90">
        <v>2832.67</v>
      </c>
      <c r="F869" s="33" t="s">
        <v>1320</v>
      </c>
      <c r="G869" s="33" t="s">
        <v>834</v>
      </c>
      <c r="H869" s="33" t="s">
        <v>1272</v>
      </c>
      <c r="I869" s="44" t="s">
        <v>861</v>
      </c>
      <c r="J869" s="44">
        <v>44298</v>
      </c>
      <c r="K869" s="33" t="s">
        <v>1053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1728</v>
      </c>
      <c r="C870" s="10" t="s">
        <v>47</v>
      </c>
      <c r="D870" s="33" t="s">
        <v>1027</v>
      </c>
      <c r="E870" s="90">
        <v>815208.64</v>
      </c>
      <c r="F870" s="33" t="s">
        <v>1729</v>
      </c>
      <c r="G870" s="33" t="s">
        <v>834</v>
      </c>
      <c r="H870" s="33" t="s">
        <v>1298</v>
      </c>
      <c r="I870" s="44" t="s">
        <v>861</v>
      </c>
      <c r="J870" s="44">
        <v>44445</v>
      </c>
      <c r="K870" s="33" t="s">
        <v>1727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1163</v>
      </c>
      <c r="C871" s="10" t="s">
        <v>1075</v>
      </c>
      <c r="D871" s="33" t="s">
        <v>1036</v>
      </c>
      <c r="E871" s="90">
        <v>3000</v>
      </c>
      <c r="F871" s="33" t="s">
        <v>1164</v>
      </c>
      <c r="G871" s="33" t="s">
        <v>834</v>
      </c>
      <c r="H871" s="33" t="s">
        <v>834</v>
      </c>
      <c r="I871" s="44" t="s">
        <v>850</v>
      </c>
      <c r="J871" s="44">
        <v>44062</v>
      </c>
      <c r="K871" s="33" t="s">
        <v>1040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1678</v>
      </c>
      <c r="C872" s="10" t="s">
        <v>1026</v>
      </c>
      <c r="D872" s="33" t="s">
        <v>1061</v>
      </c>
      <c r="E872" s="90">
        <v>119000</v>
      </c>
      <c r="F872" s="10" t="s">
        <v>1679</v>
      </c>
      <c r="G872" s="33" t="s">
        <v>834</v>
      </c>
      <c r="H872" s="33" t="s">
        <v>1175</v>
      </c>
      <c r="I872" s="33" t="s">
        <v>974</v>
      </c>
      <c r="J872" s="44">
        <v>44199</v>
      </c>
      <c r="K872" s="44" t="s">
        <v>1053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1730</v>
      </c>
      <c r="C873" s="10" t="s">
        <v>47</v>
      </c>
      <c r="D873" s="33" t="s">
        <v>1036</v>
      </c>
      <c r="E873" s="90">
        <v>50000</v>
      </c>
      <c r="F873" s="10" t="s">
        <v>1731</v>
      </c>
      <c r="G873" s="33" t="s">
        <v>834</v>
      </c>
      <c r="H873" s="33" t="s">
        <v>1298</v>
      </c>
      <c r="I873" s="33" t="s">
        <v>1001</v>
      </c>
      <c r="J873" s="44">
        <v>44614</v>
      </c>
      <c r="K873" s="33" t="s">
        <v>1040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1732</v>
      </c>
      <c r="C874" s="10" t="s">
        <v>1026</v>
      </c>
      <c r="D874" s="33" t="s">
        <v>1036</v>
      </c>
      <c r="E874" s="90">
        <v>33000</v>
      </c>
      <c r="F874" s="10" t="s">
        <v>1733</v>
      </c>
      <c r="G874" s="33" t="s">
        <v>834</v>
      </c>
      <c r="H874" s="33" t="s">
        <v>1175</v>
      </c>
      <c r="I874" s="33" t="s">
        <v>970</v>
      </c>
      <c r="J874" s="44">
        <v>44615</v>
      </c>
      <c r="K874" s="33" t="s">
        <v>1053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1734</v>
      </c>
      <c r="C875" s="10" t="s">
        <v>47</v>
      </c>
      <c r="D875" s="33" t="s">
        <v>1036</v>
      </c>
      <c r="E875" s="90">
        <v>129700</v>
      </c>
      <c r="F875" s="10" t="s">
        <v>1735</v>
      </c>
      <c r="G875" s="33" t="s">
        <v>903</v>
      </c>
      <c r="H875" s="33" t="s">
        <v>86</v>
      </c>
      <c r="I875" s="33" t="s">
        <v>842</v>
      </c>
      <c r="J875" s="44">
        <v>44320</v>
      </c>
      <c r="K875" s="33" t="s">
        <v>1121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1047</v>
      </c>
      <c r="C876" s="10" t="s">
        <v>1026</v>
      </c>
      <c r="D876" s="33" t="s">
        <v>1036</v>
      </c>
      <c r="E876" s="90">
        <v>6000</v>
      </c>
      <c r="F876" s="10" t="s">
        <v>1048</v>
      </c>
      <c r="G876" s="33" t="s">
        <v>829</v>
      </c>
      <c r="H876" s="33" t="s">
        <v>86</v>
      </c>
      <c r="I876" s="33" t="s">
        <v>877</v>
      </c>
      <c r="J876" s="44">
        <v>43703</v>
      </c>
      <c r="K876" s="44" t="s">
        <v>1032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1736</v>
      </c>
      <c r="C877" s="10" t="s">
        <v>47</v>
      </c>
      <c r="D877" s="33" t="s">
        <v>1027</v>
      </c>
      <c r="E877" s="90">
        <v>66169.95</v>
      </c>
      <c r="F877" s="33" t="s">
        <v>1737</v>
      </c>
      <c r="G877" s="33" t="s">
        <v>834</v>
      </c>
      <c r="H877" s="33" t="s">
        <v>1298</v>
      </c>
      <c r="I877" s="44" t="s">
        <v>885</v>
      </c>
      <c r="J877" s="44">
        <v>44547</v>
      </c>
      <c r="K877" s="33" t="s">
        <v>1029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1738</v>
      </c>
      <c r="C878" s="10" t="s">
        <v>47</v>
      </c>
      <c r="D878" s="33" t="s">
        <v>1027</v>
      </c>
      <c r="E878" s="90">
        <v>154271.19</v>
      </c>
      <c r="F878" s="33" t="s">
        <v>1739</v>
      </c>
      <c r="G878" s="33" t="s">
        <v>834</v>
      </c>
      <c r="H878" s="33" t="s">
        <v>86</v>
      </c>
      <c r="I878" s="44" t="s">
        <v>893</v>
      </c>
      <c r="J878" s="44">
        <v>44389</v>
      </c>
      <c r="K878" s="33" t="s">
        <v>1121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1740</v>
      </c>
      <c r="C879" s="10" t="s">
        <v>47</v>
      </c>
      <c r="D879" s="33" t="s">
        <v>1036</v>
      </c>
      <c r="E879" s="90">
        <v>20000</v>
      </c>
      <c r="F879" s="33" t="s">
        <v>833</v>
      </c>
      <c r="G879" s="33" t="s">
        <v>834</v>
      </c>
      <c r="H879" s="33" t="s">
        <v>86</v>
      </c>
      <c r="I879" s="44" t="s">
        <v>835</v>
      </c>
      <c r="J879" s="44">
        <v>44424</v>
      </c>
      <c r="K879" s="33" t="s">
        <v>1053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1182</v>
      </c>
      <c r="C880" s="10" t="s">
        <v>47</v>
      </c>
      <c r="D880" s="33" t="s">
        <v>1036</v>
      </c>
      <c r="E880" s="90">
        <v>25000</v>
      </c>
      <c r="F880" s="33" t="s">
        <v>1183</v>
      </c>
      <c r="G880" s="33" t="s">
        <v>903</v>
      </c>
      <c r="H880" s="33" t="s">
        <v>86</v>
      </c>
      <c r="I880" s="44" t="s">
        <v>911</v>
      </c>
      <c r="J880" s="44">
        <v>44263</v>
      </c>
      <c r="K880" s="33" t="s">
        <v>1040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1704</v>
      </c>
      <c r="C881" s="10" t="s">
        <v>47</v>
      </c>
      <c r="D881" s="33" t="s">
        <v>1036</v>
      </c>
      <c r="E881" s="90">
        <v>10000</v>
      </c>
      <c r="F881" s="10" t="s">
        <v>1705</v>
      </c>
      <c r="G881" s="33" t="s">
        <v>834</v>
      </c>
      <c r="H881" s="33" t="s">
        <v>1298</v>
      </c>
      <c r="I881" s="33" t="s">
        <v>1001</v>
      </c>
      <c r="J881" s="44">
        <v>44656</v>
      </c>
      <c r="K881" s="33" t="s">
        <v>1040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47</v>
      </c>
      <c r="D882" s="33" t="s">
        <v>1036</v>
      </c>
      <c r="E882" s="90">
        <v>1000</v>
      </c>
      <c r="F882" s="10" t="s">
        <v>1741</v>
      </c>
      <c r="G882" s="33" t="s">
        <v>903</v>
      </c>
      <c r="H882" s="33" t="s">
        <v>86</v>
      </c>
      <c r="I882" s="33" t="s">
        <v>852</v>
      </c>
      <c r="J882" s="44">
        <v>44579</v>
      </c>
      <c r="K882" s="33" t="s">
        <v>1742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1239</v>
      </c>
      <c r="C883" s="10" t="s">
        <v>47</v>
      </c>
      <c r="D883" s="33" t="s">
        <v>1036</v>
      </c>
      <c r="E883" s="90">
        <v>5000</v>
      </c>
      <c r="F883" s="10" t="s">
        <v>1240</v>
      </c>
      <c r="G883" s="33" t="s">
        <v>903</v>
      </c>
      <c r="H883" s="33" t="s">
        <v>86</v>
      </c>
      <c r="I883" s="33" t="s">
        <v>934</v>
      </c>
      <c r="J883" s="44">
        <v>44180</v>
      </c>
      <c r="K883" s="33" t="s">
        <v>1040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1647</v>
      </c>
      <c r="C884" s="10" t="s">
        <v>1026</v>
      </c>
      <c r="D884" s="33" t="s">
        <v>1036</v>
      </c>
      <c r="E884" s="90">
        <v>62000</v>
      </c>
      <c r="F884" s="10" t="s">
        <v>1743</v>
      </c>
      <c r="G884" s="33" t="s">
        <v>829</v>
      </c>
      <c r="H884" s="33" t="s">
        <v>86</v>
      </c>
      <c r="I884" s="33" t="s">
        <v>877</v>
      </c>
      <c r="J884" s="44">
        <v>43811</v>
      </c>
      <c r="K884" s="33" t="s">
        <v>1053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1744</v>
      </c>
      <c r="C885" s="10" t="s">
        <v>47</v>
      </c>
      <c r="D885" s="33" t="s">
        <v>1061</v>
      </c>
      <c r="E885" s="90">
        <v>581895.17000000004</v>
      </c>
      <c r="F885" s="10" t="s">
        <v>1745</v>
      </c>
      <c r="G885" s="33" t="s">
        <v>834</v>
      </c>
      <c r="H885" s="33" t="s">
        <v>1298</v>
      </c>
      <c r="I885" s="33" t="s">
        <v>840</v>
      </c>
      <c r="J885" s="44">
        <v>44084</v>
      </c>
      <c r="K885" s="33" t="s">
        <v>1029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1746</v>
      </c>
      <c r="C886" s="10" t="s">
        <v>47</v>
      </c>
      <c r="D886" s="33" t="s">
        <v>1036</v>
      </c>
      <c r="E886" s="90">
        <v>10000</v>
      </c>
      <c r="F886" s="10" t="s">
        <v>1747</v>
      </c>
      <c r="G886" s="33" t="s">
        <v>834</v>
      </c>
      <c r="H886" s="33" t="s">
        <v>1298</v>
      </c>
      <c r="I886" s="33" t="s">
        <v>962</v>
      </c>
      <c r="J886" s="44">
        <v>44645</v>
      </c>
      <c r="K886" s="33" t="s">
        <v>1178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1307</v>
      </c>
      <c r="C887" s="10" t="s">
        <v>1026</v>
      </c>
      <c r="D887" s="33" t="s">
        <v>1036</v>
      </c>
      <c r="E887" s="90">
        <v>15000</v>
      </c>
      <c r="F887" s="10" t="s">
        <v>1748</v>
      </c>
      <c r="G887" s="33" t="s">
        <v>834</v>
      </c>
      <c r="H887" s="33" t="s">
        <v>1175</v>
      </c>
      <c r="I887" s="33" t="s">
        <v>970</v>
      </c>
      <c r="J887" s="44">
        <v>44319</v>
      </c>
      <c r="K887" s="33" t="s">
        <v>1040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1397</v>
      </c>
      <c r="C888" s="10" t="s">
        <v>1026</v>
      </c>
      <c r="D888" s="33" t="s">
        <v>1036</v>
      </c>
      <c r="E888" s="90">
        <v>911.9</v>
      </c>
      <c r="F888" s="10" t="s">
        <v>1398</v>
      </c>
      <c r="G888" s="33" t="s">
        <v>834</v>
      </c>
      <c r="H888" s="33" t="s">
        <v>1175</v>
      </c>
      <c r="I888" s="33" t="s">
        <v>972</v>
      </c>
      <c r="J888" s="44">
        <v>44280</v>
      </c>
      <c r="K888" s="33" t="s">
        <v>1040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1680</v>
      </c>
      <c r="C889" s="10" t="s">
        <v>47</v>
      </c>
      <c r="D889" s="33" t="s">
        <v>1036</v>
      </c>
      <c r="E889" s="90">
        <v>146000</v>
      </c>
      <c r="F889" s="10" t="s">
        <v>1681</v>
      </c>
      <c r="G889" s="33" t="s">
        <v>834</v>
      </c>
      <c r="H889" s="33" t="s">
        <v>1298</v>
      </c>
      <c r="I889" s="33" t="s">
        <v>1001</v>
      </c>
      <c r="J889" s="44">
        <v>44615</v>
      </c>
      <c r="K889" s="33" t="s">
        <v>1040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1749</v>
      </c>
      <c r="C890" s="10" t="s">
        <v>47</v>
      </c>
      <c r="D890" s="33" t="s">
        <v>1027</v>
      </c>
      <c r="E890" s="90">
        <v>114850.92</v>
      </c>
      <c r="F890" s="10" t="s">
        <v>1750</v>
      </c>
      <c r="G890" s="33" t="s">
        <v>834</v>
      </c>
      <c r="H890" s="33" t="s">
        <v>1298</v>
      </c>
      <c r="I890" s="33" t="s">
        <v>885</v>
      </c>
      <c r="J890" s="44">
        <v>44462</v>
      </c>
      <c r="K890" s="33" t="s">
        <v>1040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1751</v>
      </c>
      <c r="C891" s="10" t="s">
        <v>47</v>
      </c>
      <c r="D891" s="33" t="s">
        <v>1036</v>
      </c>
      <c r="E891" s="90">
        <v>100000</v>
      </c>
      <c r="F891" s="10" t="s">
        <v>1752</v>
      </c>
      <c r="G891" s="33" t="s">
        <v>834</v>
      </c>
      <c r="H891" s="33" t="s">
        <v>1298</v>
      </c>
      <c r="I891" s="44" t="s">
        <v>988</v>
      </c>
      <c r="J891" s="44">
        <v>44454</v>
      </c>
      <c r="K891" s="33" t="s">
        <v>1040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1367</v>
      </c>
      <c r="C892" s="10" t="s">
        <v>1026</v>
      </c>
      <c r="D892" s="33" t="s">
        <v>1036</v>
      </c>
      <c r="E892" s="90">
        <v>100000</v>
      </c>
      <c r="F892" s="10" t="s">
        <v>1753</v>
      </c>
      <c r="G892" s="33" t="s">
        <v>834</v>
      </c>
      <c r="H892" s="33" t="s">
        <v>1175</v>
      </c>
      <c r="I892" s="33" t="s">
        <v>970</v>
      </c>
      <c r="J892" s="44">
        <v>44321</v>
      </c>
      <c r="K892" s="33" t="s">
        <v>1053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1641</v>
      </c>
      <c r="C893" s="10" t="s">
        <v>1026</v>
      </c>
      <c r="D893" s="33" t="s">
        <v>1036</v>
      </c>
      <c r="E893" s="90">
        <v>20000</v>
      </c>
      <c r="F893" s="10" t="s">
        <v>1642</v>
      </c>
      <c r="G893" s="33" t="s">
        <v>834</v>
      </c>
      <c r="H893" s="33" t="s">
        <v>1175</v>
      </c>
      <c r="I893" s="33" t="s">
        <v>970</v>
      </c>
      <c r="J893" s="44">
        <v>44333</v>
      </c>
      <c r="K893" s="33" t="s">
        <v>1053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1754</v>
      </c>
      <c r="C894" s="46" t="s">
        <v>1026</v>
      </c>
      <c r="D894" s="33" t="s">
        <v>1027</v>
      </c>
      <c r="E894" s="98" t="s">
        <v>1755</v>
      </c>
      <c r="F894" s="33" t="s">
        <v>1756</v>
      </c>
      <c r="G894" s="44" t="s">
        <v>834</v>
      </c>
      <c r="H894" s="44" t="s">
        <v>1175</v>
      </c>
      <c r="I894" s="44" t="s">
        <v>972</v>
      </c>
      <c r="J894" s="44">
        <v>44263</v>
      </c>
      <c r="K894" s="44" t="s">
        <v>1029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1757</v>
      </c>
      <c r="C895" s="10" t="s">
        <v>1026</v>
      </c>
      <c r="D895" s="33" t="s">
        <v>1036</v>
      </c>
      <c r="E895" s="90">
        <v>62000</v>
      </c>
      <c r="F895" s="33" t="s">
        <v>1758</v>
      </c>
      <c r="G895" s="33" t="s">
        <v>976</v>
      </c>
      <c r="H895" s="33" t="s">
        <v>86</v>
      </c>
      <c r="I895" s="44" t="s">
        <v>976</v>
      </c>
      <c r="J895" s="44">
        <v>43439</v>
      </c>
      <c r="K895" s="33" t="s">
        <v>1029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1163</v>
      </c>
      <c r="C896" s="10" t="s">
        <v>1075</v>
      </c>
      <c r="D896" s="33" t="s">
        <v>1036</v>
      </c>
      <c r="E896" s="90">
        <v>3000</v>
      </c>
      <c r="F896" s="10" t="s">
        <v>1164</v>
      </c>
      <c r="G896" s="33" t="s">
        <v>834</v>
      </c>
      <c r="H896" s="33" t="s">
        <v>834</v>
      </c>
      <c r="I896" s="44" t="s">
        <v>850</v>
      </c>
      <c r="J896" s="44">
        <v>44062</v>
      </c>
      <c r="K896" s="33" t="s">
        <v>1040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1759</v>
      </c>
      <c r="C897" s="63" t="s">
        <v>47</v>
      </c>
      <c r="D897" s="59" t="s">
        <v>1061</v>
      </c>
      <c r="E897" s="106">
        <v>118629.88</v>
      </c>
      <c r="F897" s="63" t="s">
        <v>1760</v>
      </c>
      <c r="G897" s="59" t="s">
        <v>834</v>
      </c>
      <c r="H897" s="59" t="s">
        <v>86</v>
      </c>
      <c r="I897" s="59" t="s">
        <v>846</v>
      </c>
      <c r="J897" s="60">
        <v>44405</v>
      </c>
      <c r="K897" s="59" t="s">
        <v>1029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1329</v>
      </c>
      <c r="C898" s="10" t="s">
        <v>1026</v>
      </c>
      <c r="D898" s="33" t="s">
        <v>1036</v>
      </c>
      <c r="E898" s="90">
        <v>31000</v>
      </c>
      <c r="F898" s="10" t="s">
        <v>1330</v>
      </c>
      <c r="G898" s="33" t="s">
        <v>834</v>
      </c>
      <c r="H898" s="33" t="s">
        <v>1175</v>
      </c>
      <c r="I898" s="33" t="s">
        <v>972</v>
      </c>
      <c r="J898" s="44">
        <v>44319</v>
      </c>
      <c r="K898" s="33" t="s">
        <v>1040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1561</v>
      </c>
      <c r="C899" s="10" t="s">
        <v>1026</v>
      </c>
      <c r="D899" s="33" t="s">
        <v>1036</v>
      </c>
      <c r="E899" s="90">
        <v>15000</v>
      </c>
      <c r="F899" s="10" t="s">
        <v>1761</v>
      </c>
      <c r="G899" s="33" t="s">
        <v>834</v>
      </c>
      <c r="H899" s="33" t="s">
        <v>1175</v>
      </c>
      <c r="I899" s="33" t="s">
        <v>972</v>
      </c>
      <c r="J899" s="44">
        <v>44323</v>
      </c>
      <c r="K899" s="33" t="s">
        <v>1437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1762</v>
      </c>
      <c r="C900" s="10" t="s">
        <v>1026</v>
      </c>
      <c r="D900" s="33" t="s">
        <v>1036</v>
      </c>
      <c r="E900" s="90">
        <v>75000</v>
      </c>
      <c r="F900" s="10" t="s">
        <v>1763</v>
      </c>
      <c r="G900" s="33" t="s">
        <v>834</v>
      </c>
      <c r="H900" s="33" t="s">
        <v>1175</v>
      </c>
      <c r="I900" s="33" t="s">
        <v>974</v>
      </c>
      <c r="J900" s="44">
        <v>44644</v>
      </c>
      <c r="K900" s="33" t="s">
        <v>1053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1764</v>
      </c>
      <c r="C901" s="10" t="s">
        <v>1026</v>
      </c>
      <c r="D901" s="33" t="s">
        <v>1036</v>
      </c>
      <c r="E901" s="90">
        <v>31000</v>
      </c>
      <c r="F901" s="10" t="s">
        <v>1765</v>
      </c>
      <c r="G901" s="33" t="s">
        <v>834</v>
      </c>
      <c r="H901" s="33" t="s">
        <v>1175</v>
      </c>
      <c r="I901" s="33" t="s">
        <v>974</v>
      </c>
      <c r="J901" s="44">
        <v>44568</v>
      </c>
      <c r="K901" s="33" t="s">
        <v>1178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1766</v>
      </c>
      <c r="C902" s="10" t="s">
        <v>47</v>
      </c>
      <c r="D902" s="46" t="s">
        <v>1027</v>
      </c>
      <c r="E902" s="47">
        <v>288923.90000000002</v>
      </c>
      <c r="F902" s="10" t="s">
        <v>1767</v>
      </c>
      <c r="G902" s="46" t="s">
        <v>834</v>
      </c>
      <c r="H902" s="46" t="s">
        <v>1298</v>
      </c>
      <c r="I902" s="46" t="s">
        <v>905</v>
      </c>
      <c r="J902" s="45">
        <v>44398</v>
      </c>
      <c r="K902" s="10" t="s">
        <v>1178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1451</v>
      </c>
      <c r="C903" s="10" t="s">
        <v>1026</v>
      </c>
      <c r="D903" s="33" t="s">
        <v>1027</v>
      </c>
      <c r="E903" s="90">
        <v>7399239.3600000003</v>
      </c>
      <c r="F903" s="33" t="s">
        <v>1452</v>
      </c>
      <c r="G903" s="33" t="s">
        <v>976</v>
      </c>
      <c r="H903" s="33" t="s">
        <v>86</v>
      </c>
      <c r="I903" s="33" t="s">
        <v>976</v>
      </c>
      <c r="J903" s="44">
        <v>44021</v>
      </c>
      <c r="K903" s="35" t="s">
        <v>1040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1768</v>
      </c>
      <c r="C904" s="10" t="s">
        <v>1026</v>
      </c>
      <c r="D904" s="33" t="s">
        <v>1027</v>
      </c>
      <c r="E904" s="90">
        <v>4668228.6100000003</v>
      </c>
      <c r="F904" s="33" t="s">
        <v>1452</v>
      </c>
      <c r="G904" s="33" t="s">
        <v>976</v>
      </c>
      <c r="H904" s="33" t="s">
        <v>86</v>
      </c>
      <c r="I904" s="33" t="s">
        <v>976</v>
      </c>
      <c r="J904" s="44">
        <v>44029</v>
      </c>
      <c r="K904" s="35" t="s">
        <v>1029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1464</v>
      </c>
      <c r="C905" s="10" t="s">
        <v>47</v>
      </c>
      <c r="D905" s="33" t="s">
        <v>1027</v>
      </c>
      <c r="E905" s="90">
        <v>160249.53</v>
      </c>
      <c r="F905" s="10" t="s">
        <v>1465</v>
      </c>
      <c r="G905" s="33" t="s">
        <v>903</v>
      </c>
      <c r="H905" s="33" t="s">
        <v>86</v>
      </c>
      <c r="I905" s="33" t="s">
        <v>848</v>
      </c>
      <c r="J905" s="44">
        <v>44362</v>
      </c>
      <c r="K905" s="33" t="s">
        <v>1053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1769</v>
      </c>
      <c r="C906" s="10" t="s">
        <v>47</v>
      </c>
      <c r="D906" s="33" t="s">
        <v>1027</v>
      </c>
      <c r="E906" s="90">
        <v>128785.37</v>
      </c>
      <c r="F906" s="10" t="s">
        <v>1770</v>
      </c>
      <c r="G906" s="33" t="s">
        <v>834</v>
      </c>
      <c r="H906" s="33" t="s">
        <v>1298</v>
      </c>
      <c r="I906" s="33" t="s">
        <v>885</v>
      </c>
      <c r="J906" s="44">
        <v>44355</v>
      </c>
      <c r="K906" s="35" t="s">
        <v>1178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1771</v>
      </c>
      <c r="C907" s="10" t="s">
        <v>47</v>
      </c>
      <c r="D907" s="33" t="s">
        <v>1027</v>
      </c>
      <c r="E907" s="90">
        <v>158853.29</v>
      </c>
      <c r="F907" s="10" t="s">
        <v>1772</v>
      </c>
      <c r="G907" s="33" t="s">
        <v>834</v>
      </c>
      <c r="H907" s="33" t="s">
        <v>1298</v>
      </c>
      <c r="I907" s="33" t="s">
        <v>885</v>
      </c>
      <c r="J907" s="44">
        <v>44229</v>
      </c>
      <c r="K907" s="35" t="s">
        <v>1121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1730</v>
      </c>
      <c r="C908" s="10" t="s">
        <v>47</v>
      </c>
      <c r="D908" s="33" t="s">
        <v>1036</v>
      </c>
      <c r="E908" s="90">
        <v>11329.01</v>
      </c>
      <c r="F908" s="10" t="s">
        <v>1731</v>
      </c>
      <c r="G908" s="33" t="s">
        <v>834</v>
      </c>
      <c r="H908" s="33" t="s">
        <v>1298</v>
      </c>
      <c r="I908" s="33" t="s">
        <v>1001</v>
      </c>
      <c r="J908" s="44">
        <v>44614</v>
      </c>
      <c r="K908" s="35" t="s">
        <v>1040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1026</v>
      </c>
      <c r="D909" s="33" t="s">
        <v>1036</v>
      </c>
      <c r="E909" s="90">
        <v>100000</v>
      </c>
      <c r="F909" s="10" t="s">
        <v>1773</v>
      </c>
      <c r="G909" s="33" t="s">
        <v>834</v>
      </c>
      <c r="H909" s="33" t="s">
        <v>1175</v>
      </c>
      <c r="I909" s="33" t="s">
        <v>970</v>
      </c>
      <c r="J909" s="44">
        <v>44438</v>
      </c>
      <c r="K909" s="35" t="s">
        <v>1040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1173</v>
      </c>
      <c r="C910" s="10" t="s">
        <v>1026</v>
      </c>
      <c r="D910" s="33" t="s">
        <v>1036</v>
      </c>
      <c r="E910" s="90">
        <v>40000</v>
      </c>
      <c r="F910" s="10" t="s">
        <v>1710</v>
      </c>
      <c r="G910" s="33" t="s">
        <v>834</v>
      </c>
      <c r="H910" s="33" t="s">
        <v>1175</v>
      </c>
      <c r="I910" s="33" t="s">
        <v>972</v>
      </c>
      <c r="J910" s="44">
        <v>44321</v>
      </c>
      <c r="K910" s="35" t="s">
        <v>1040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1664</v>
      </c>
      <c r="C911" s="10" t="s">
        <v>1026</v>
      </c>
      <c r="D911" s="33" t="s">
        <v>1036</v>
      </c>
      <c r="E911" s="90">
        <v>25000</v>
      </c>
      <c r="F911" s="10" t="s">
        <v>1713</v>
      </c>
      <c r="G911" s="33" t="s">
        <v>834</v>
      </c>
      <c r="H911" s="33" t="s">
        <v>1175</v>
      </c>
      <c r="I911" s="33" t="s">
        <v>972</v>
      </c>
      <c r="J911" s="44">
        <v>44263</v>
      </c>
      <c r="K911" s="35" t="s">
        <v>1053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1695</v>
      </c>
      <c r="C912" s="10" t="s">
        <v>1026</v>
      </c>
      <c r="D912" s="33" t="s">
        <v>1036</v>
      </c>
      <c r="E912" s="90">
        <v>14000</v>
      </c>
      <c r="F912" s="10" t="s">
        <v>1052</v>
      </c>
      <c r="G912" s="33" t="s">
        <v>829</v>
      </c>
      <c r="H912" s="33" t="s">
        <v>86</v>
      </c>
      <c r="I912" s="33" t="s">
        <v>877</v>
      </c>
      <c r="J912" s="44">
        <v>43605</v>
      </c>
      <c r="K912" s="35" t="s">
        <v>1029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1774</v>
      </c>
      <c r="C913" s="10" t="s">
        <v>47</v>
      </c>
      <c r="D913" s="33" t="s">
        <v>1027</v>
      </c>
      <c r="E913" s="90">
        <v>398221.67</v>
      </c>
      <c r="F913" s="10" t="s">
        <v>1775</v>
      </c>
      <c r="G913" s="33" t="s">
        <v>834</v>
      </c>
      <c r="H913" s="33" t="s">
        <v>1298</v>
      </c>
      <c r="I913" s="33" t="s">
        <v>905</v>
      </c>
      <c r="J913" s="44">
        <v>44454</v>
      </c>
      <c r="K913" s="35" t="s">
        <v>1178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47</v>
      </c>
      <c r="D914" s="33" t="s">
        <v>1061</v>
      </c>
      <c r="E914" s="90">
        <v>83984.540000000008</v>
      </c>
      <c r="F914" s="10" t="s">
        <v>1735</v>
      </c>
      <c r="G914" s="33" t="s">
        <v>903</v>
      </c>
      <c r="H914" s="33" t="s">
        <v>86</v>
      </c>
      <c r="I914" s="33" t="s">
        <v>842</v>
      </c>
      <c r="J914" s="44">
        <v>44320</v>
      </c>
      <c r="K914" s="35" t="s">
        <v>1121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1776</v>
      </c>
      <c r="C915" s="10" t="s">
        <v>47</v>
      </c>
      <c r="D915" s="33" t="s">
        <v>1036</v>
      </c>
      <c r="E915" s="90">
        <v>60000</v>
      </c>
      <c r="F915" s="10" t="s">
        <v>1777</v>
      </c>
      <c r="G915" s="33" t="s">
        <v>834</v>
      </c>
      <c r="H915" s="33" t="s">
        <v>86</v>
      </c>
      <c r="I915" s="33" t="s">
        <v>919</v>
      </c>
      <c r="J915" s="44">
        <v>44294</v>
      </c>
      <c r="K915" s="35" t="s">
        <v>1778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47</v>
      </c>
      <c r="D916" s="33" t="s">
        <v>1027</v>
      </c>
      <c r="E916" s="90">
        <v>46583.9</v>
      </c>
      <c r="F916" s="10" t="s">
        <v>1779</v>
      </c>
      <c r="G916" s="33" t="s">
        <v>834</v>
      </c>
      <c r="H916" s="33" t="s">
        <v>1298</v>
      </c>
      <c r="I916" s="33" t="s">
        <v>885</v>
      </c>
      <c r="J916" s="44">
        <v>44421</v>
      </c>
      <c r="K916" s="35" t="s">
        <v>1121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47</v>
      </c>
      <c r="D917" s="33" t="s">
        <v>1027</v>
      </c>
      <c r="E917" s="90">
        <v>1122976.82</v>
      </c>
      <c r="F917" s="10" t="s">
        <v>1780</v>
      </c>
      <c r="G917" s="33" t="s">
        <v>834</v>
      </c>
      <c r="H917" s="33" t="s">
        <v>1298</v>
      </c>
      <c r="I917" s="33" t="s">
        <v>905</v>
      </c>
      <c r="J917" s="44">
        <v>44454</v>
      </c>
      <c r="K917" s="35" t="s">
        <v>1178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1781</v>
      </c>
      <c r="C918" s="10" t="s">
        <v>47</v>
      </c>
      <c r="D918" s="33" t="s">
        <v>1036</v>
      </c>
      <c r="E918" s="90">
        <v>50000.87</v>
      </c>
      <c r="F918" s="10" t="s">
        <v>1782</v>
      </c>
      <c r="G918" s="33" t="s">
        <v>834</v>
      </c>
      <c r="H918" s="33" t="s">
        <v>1298</v>
      </c>
      <c r="I918" s="33" t="s">
        <v>885</v>
      </c>
      <c r="J918" s="44">
        <v>44379</v>
      </c>
      <c r="K918" s="35" t="s">
        <v>1121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47</v>
      </c>
      <c r="D919" s="33" t="s">
        <v>1036</v>
      </c>
      <c r="E919" s="90">
        <v>10000</v>
      </c>
      <c r="F919" s="10" t="s">
        <v>1183</v>
      </c>
      <c r="G919" s="33" t="s">
        <v>903</v>
      </c>
      <c r="H919" s="33" t="s">
        <v>86</v>
      </c>
      <c r="I919" s="33" t="s">
        <v>911</v>
      </c>
      <c r="J919" s="44">
        <v>44263</v>
      </c>
      <c r="K919" s="35" t="s">
        <v>1040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1399</v>
      </c>
      <c r="C920" s="10" t="s">
        <v>1026</v>
      </c>
      <c r="D920" s="33" t="s">
        <v>1036</v>
      </c>
      <c r="E920" s="90">
        <v>10000</v>
      </c>
      <c r="F920" s="33" t="s">
        <v>1400</v>
      </c>
      <c r="G920" s="33" t="s">
        <v>834</v>
      </c>
      <c r="H920" s="33" t="s">
        <v>1175</v>
      </c>
      <c r="I920" s="33" t="s">
        <v>970</v>
      </c>
      <c r="J920" s="44">
        <v>44328</v>
      </c>
      <c r="K920" s="35" t="s">
        <v>1121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1561</v>
      </c>
      <c r="C921" s="10" t="s">
        <v>1026</v>
      </c>
      <c r="D921" s="33" t="s">
        <v>1036</v>
      </c>
      <c r="E921" s="90">
        <v>100000</v>
      </c>
      <c r="F921" s="33" t="s">
        <v>1562</v>
      </c>
      <c r="G921" s="33" t="s">
        <v>834</v>
      </c>
      <c r="H921" s="33" t="s">
        <v>1175</v>
      </c>
      <c r="I921" s="33" t="s">
        <v>972</v>
      </c>
      <c r="J921" s="44">
        <v>44323</v>
      </c>
      <c r="K921" s="35" t="s">
        <v>1437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47</v>
      </c>
      <c r="D922" s="33" t="s">
        <v>1036</v>
      </c>
      <c r="E922" s="90">
        <v>70000</v>
      </c>
      <c r="F922" s="10" t="s">
        <v>1783</v>
      </c>
      <c r="G922" s="33" t="s">
        <v>834</v>
      </c>
      <c r="H922" s="33" t="s">
        <v>1298</v>
      </c>
      <c r="I922" s="33" t="s">
        <v>885</v>
      </c>
      <c r="J922" s="44">
        <v>44251</v>
      </c>
      <c r="K922" s="35" t="s">
        <v>1029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1026</v>
      </c>
      <c r="D923" s="33" t="s">
        <v>1036</v>
      </c>
      <c r="E923" s="90">
        <v>35000</v>
      </c>
      <c r="F923" s="10" t="s">
        <v>1048</v>
      </c>
      <c r="G923" s="33" t="s">
        <v>829</v>
      </c>
      <c r="H923" s="33" t="s">
        <v>86</v>
      </c>
      <c r="I923" s="33" t="s">
        <v>877</v>
      </c>
      <c r="J923" s="44">
        <v>43703</v>
      </c>
      <c r="K923" s="35" t="s">
        <v>1032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47</v>
      </c>
      <c r="D924" s="33" t="s">
        <v>1036</v>
      </c>
      <c r="E924" s="90">
        <v>7000</v>
      </c>
      <c r="F924" s="33" t="s">
        <v>1784</v>
      </c>
      <c r="G924" s="33" t="s">
        <v>834</v>
      </c>
      <c r="H924" s="33" t="s">
        <v>86</v>
      </c>
      <c r="I924" s="33" t="s">
        <v>999</v>
      </c>
      <c r="J924" s="44">
        <v>44335</v>
      </c>
      <c r="K924" s="35" t="s">
        <v>1437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47</v>
      </c>
      <c r="D925" s="33" t="s">
        <v>1036</v>
      </c>
      <c r="E925" s="90">
        <v>50000</v>
      </c>
      <c r="F925" s="33" t="s">
        <v>1785</v>
      </c>
      <c r="G925" s="33" t="s">
        <v>834</v>
      </c>
      <c r="H925" s="33" t="s">
        <v>1298</v>
      </c>
      <c r="I925" s="33" t="s">
        <v>962</v>
      </c>
      <c r="J925" s="44">
        <v>44469</v>
      </c>
      <c r="K925" s="35" t="s">
        <v>1053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1026</v>
      </c>
      <c r="D926" s="33" t="s">
        <v>1036</v>
      </c>
      <c r="E926" s="90">
        <v>520000</v>
      </c>
      <c r="F926" s="33" t="s">
        <v>1786</v>
      </c>
      <c r="G926" s="33" t="s">
        <v>834</v>
      </c>
      <c r="H926" s="33" t="s">
        <v>1175</v>
      </c>
      <c r="I926" s="33" t="s">
        <v>972</v>
      </c>
      <c r="J926" s="44">
        <v>44267</v>
      </c>
      <c r="K926" s="35" t="s">
        <v>1040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1397</v>
      </c>
      <c r="C927" s="10" t="s">
        <v>1026</v>
      </c>
      <c r="D927" s="33" t="s">
        <v>1036</v>
      </c>
      <c r="E927" s="90">
        <v>30995.22</v>
      </c>
      <c r="F927" s="33" t="s">
        <v>1398</v>
      </c>
      <c r="G927" s="33" t="s">
        <v>834</v>
      </c>
      <c r="H927" s="33" t="s">
        <v>1175</v>
      </c>
      <c r="I927" s="33" t="s">
        <v>972</v>
      </c>
      <c r="J927" s="44">
        <v>44280</v>
      </c>
      <c r="K927" s="35" t="s">
        <v>1040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1026</v>
      </c>
      <c r="D928" s="33" t="s">
        <v>1036</v>
      </c>
      <c r="E928" s="90">
        <v>89300</v>
      </c>
      <c r="F928" s="33" t="s">
        <v>1787</v>
      </c>
      <c r="G928" s="33" t="s">
        <v>834</v>
      </c>
      <c r="H928" s="33" t="s">
        <v>1175</v>
      </c>
      <c r="I928" s="33" t="s">
        <v>970</v>
      </c>
      <c r="J928" s="44">
        <v>44319</v>
      </c>
      <c r="K928" s="35" t="s">
        <v>1029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1657</v>
      </c>
      <c r="C929" s="10" t="s">
        <v>47</v>
      </c>
      <c r="D929" s="33" t="s">
        <v>1036</v>
      </c>
      <c r="E929" s="90">
        <v>30000</v>
      </c>
      <c r="F929" s="33" t="s">
        <v>1658</v>
      </c>
      <c r="G929" s="54" t="s">
        <v>834</v>
      </c>
      <c r="H929" s="33" t="s">
        <v>86</v>
      </c>
      <c r="I929" s="44" t="s">
        <v>956</v>
      </c>
      <c r="J929" s="44">
        <v>44594</v>
      </c>
      <c r="K929" s="33" t="s">
        <v>1178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47</v>
      </c>
      <c r="D930" s="33" t="s">
        <v>1036</v>
      </c>
      <c r="E930" s="90">
        <v>296037.19</v>
      </c>
      <c r="F930" s="33" t="s">
        <v>1788</v>
      </c>
      <c r="G930" s="33" t="s">
        <v>903</v>
      </c>
      <c r="H930" s="33" t="s">
        <v>86</v>
      </c>
      <c r="I930" s="33" t="s">
        <v>879</v>
      </c>
      <c r="J930" s="44">
        <v>44085</v>
      </c>
      <c r="K930" s="35" t="s">
        <v>1121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47</v>
      </c>
      <c r="D931" s="33" t="s">
        <v>1036</v>
      </c>
      <c r="E931" s="90">
        <v>187153.1</v>
      </c>
      <c r="F931" s="33" t="s">
        <v>1789</v>
      </c>
      <c r="G931" s="33" t="s">
        <v>903</v>
      </c>
      <c r="H931" s="33" t="s">
        <v>86</v>
      </c>
      <c r="I931" s="33" t="s">
        <v>848</v>
      </c>
      <c r="J931" s="33">
        <v>0</v>
      </c>
      <c r="K931" s="35" t="s">
        <v>1437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47</v>
      </c>
      <c r="D932" s="33" t="s">
        <v>1036</v>
      </c>
      <c r="E932" s="90">
        <v>15000</v>
      </c>
      <c r="F932" s="33" t="s">
        <v>1441</v>
      </c>
      <c r="G932" s="33" t="s">
        <v>834</v>
      </c>
      <c r="H932" s="33" t="s">
        <v>86</v>
      </c>
      <c r="I932" s="33" t="s">
        <v>997</v>
      </c>
      <c r="J932" s="44">
        <v>44326</v>
      </c>
      <c r="K932" s="35" t="s">
        <v>1040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1305</v>
      </c>
      <c r="C933" s="46" t="s">
        <v>1026</v>
      </c>
      <c r="D933" s="33" t="s">
        <v>1036</v>
      </c>
      <c r="E933" s="98">
        <v>10000</v>
      </c>
      <c r="F933" s="33" t="s">
        <v>1306</v>
      </c>
      <c r="G933" s="44" t="s">
        <v>834</v>
      </c>
      <c r="H933" s="44" t="s">
        <v>1175</v>
      </c>
      <c r="I933" s="44" t="s">
        <v>974</v>
      </c>
      <c r="J933" s="44">
        <v>44266</v>
      </c>
      <c r="K933" s="44" t="s">
        <v>1053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47</v>
      </c>
      <c r="D934" s="33" t="s">
        <v>1036</v>
      </c>
      <c r="E934" s="90">
        <v>59000</v>
      </c>
      <c r="F934" s="33" t="s">
        <v>1790</v>
      </c>
      <c r="G934" s="46" t="s">
        <v>834</v>
      </c>
      <c r="H934" s="46" t="s">
        <v>86</v>
      </c>
      <c r="I934" s="46" t="s">
        <v>996</v>
      </c>
      <c r="J934" s="44">
        <v>44089</v>
      </c>
      <c r="K934" s="35" t="s">
        <v>1178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47</v>
      </c>
      <c r="D935" s="33" t="s">
        <v>1027</v>
      </c>
      <c r="E935" s="90">
        <v>28617.08</v>
      </c>
      <c r="F935" s="33" t="s">
        <v>1741</v>
      </c>
      <c r="G935" s="33" t="s">
        <v>903</v>
      </c>
      <c r="H935" s="33" t="s">
        <v>86</v>
      </c>
      <c r="I935" s="33" t="s">
        <v>852</v>
      </c>
      <c r="J935" s="44">
        <v>44551</v>
      </c>
      <c r="K935" s="35" t="s">
        <v>1029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47</v>
      </c>
      <c r="D936" s="33" t="s">
        <v>1027</v>
      </c>
      <c r="E936" s="90">
        <v>131457.67000000001</v>
      </c>
      <c r="F936" s="33" t="s">
        <v>1741</v>
      </c>
      <c r="G936" s="33" t="s">
        <v>903</v>
      </c>
      <c r="H936" s="33" t="s">
        <v>86</v>
      </c>
      <c r="I936" s="33" t="s">
        <v>852</v>
      </c>
      <c r="J936" s="44">
        <v>44579</v>
      </c>
      <c r="K936" s="35" t="s">
        <v>1178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1026</v>
      </c>
      <c r="D937" s="33" t="s">
        <v>1036</v>
      </c>
      <c r="E937" s="90">
        <v>1000</v>
      </c>
      <c r="F937" s="33" t="s">
        <v>1787</v>
      </c>
      <c r="G937" s="33" t="s">
        <v>834</v>
      </c>
      <c r="H937" s="33" t="s">
        <v>1175</v>
      </c>
      <c r="I937" s="33" t="s">
        <v>970</v>
      </c>
      <c r="J937" s="44">
        <v>44319</v>
      </c>
      <c r="K937" s="35" t="s">
        <v>1029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1664</v>
      </c>
      <c r="C938" s="10" t="s">
        <v>1026</v>
      </c>
      <c r="D938" s="33" t="s">
        <v>1036</v>
      </c>
      <c r="E938" s="90">
        <v>20000</v>
      </c>
      <c r="F938" s="10" t="s">
        <v>1713</v>
      </c>
      <c r="G938" s="33" t="s">
        <v>834</v>
      </c>
      <c r="H938" s="33" t="s">
        <v>1175</v>
      </c>
      <c r="I938" s="33" t="s">
        <v>972</v>
      </c>
      <c r="J938" s="44">
        <v>44263</v>
      </c>
      <c r="K938" s="35" t="s">
        <v>1053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1026</v>
      </c>
      <c r="D939" s="33" t="s">
        <v>1036</v>
      </c>
      <c r="E939" s="90">
        <v>54000</v>
      </c>
      <c r="F939" s="33" t="s">
        <v>1791</v>
      </c>
      <c r="G939" s="33" t="s">
        <v>834</v>
      </c>
      <c r="H939" s="33" t="s">
        <v>1175</v>
      </c>
      <c r="I939" s="33" t="s">
        <v>972</v>
      </c>
      <c r="J939" s="44">
        <v>44328</v>
      </c>
      <c r="K939" s="35" t="s">
        <v>1040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1497</v>
      </c>
      <c r="C940" s="10" t="s">
        <v>1026</v>
      </c>
      <c r="D940" s="46" t="s">
        <v>1027</v>
      </c>
      <c r="E940" s="47">
        <v>120119.71</v>
      </c>
      <c r="F940" s="46" t="s">
        <v>1499</v>
      </c>
      <c r="G940" s="46" t="s">
        <v>834</v>
      </c>
      <c r="H940" s="46" t="s">
        <v>1175</v>
      </c>
      <c r="I940" s="46" t="s">
        <v>970</v>
      </c>
      <c r="J940" s="45">
        <v>44391</v>
      </c>
      <c r="K940" s="10" t="s">
        <v>1040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1026</v>
      </c>
      <c r="D941" s="33" t="s">
        <v>1036</v>
      </c>
      <c r="E941" s="90">
        <v>12200</v>
      </c>
      <c r="F941" s="33" t="s">
        <v>1787</v>
      </c>
      <c r="G941" s="33" t="s">
        <v>834</v>
      </c>
      <c r="H941" s="33" t="s">
        <v>1175</v>
      </c>
      <c r="I941" s="33" t="s">
        <v>970</v>
      </c>
      <c r="J941" s="44">
        <v>44319</v>
      </c>
      <c r="K941" s="35" t="s">
        <v>1029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47</v>
      </c>
      <c r="D942" s="33" t="s">
        <v>1027</v>
      </c>
      <c r="E942" s="90">
        <v>97983.24</v>
      </c>
      <c r="F942" s="33" t="s">
        <v>1792</v>
      </c>
      <c r="G942" s="33" t="s">
        <v>834</v>
      </c>
      <c r="H942" s="33" t="s">
        <v>1298</v>
      </c>
      <c r="I942" s="33" t="s">
        <v>885</v>
      </c>
      <c r="J942" s="44">
        <v>44344</v>
      </c>
      <c r="K942" s="10" t="s">
        <v>1121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47</v>
      </c>
      <c r="D943" s="33" t="s">
        <v>1036</v>
      </c>
      <c r="E943" s="90">
        <v>20000</v>
      </c>
      <c r="F943" s="33" t="s">
        <v>1688</v>
      </c>
      <c r="G943" s="33" t="s">
        <v>834</v>
      </c>
      <c r="H943" s="33" t="s">
        <v>1298</v>
      </c>
      <c r="I943" s="33" t="s">
        <v>905</v>
      </c>
      <c r="J943" s="44">
        <v>44503</v>
      </c>
      <c r="K943" s="10" t="s">
        <v>1437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1793</v>
      </c>
      <c r="C944" s="63" t="s">
        <v>47</v>
      </c>
      <c r="D944" s="59" t="s">
        <v>1036</v>
      </c>
      <c r="E944" s="106">
        <v>150000</v>
      </c>
      <c r="F944" s="59" t="s">
        <v>1794</v>
      </c>
      <c r="G944" s="59" t="s">
        <v>834</v>
      </c>
      <c r="H944" s="59" t="s">
        <v>1298</v>
      </c>
      <c r="I944" s="59" t="s">
        <v>988</v>
      </c>
      <c r="J944" s="66">
        <v>44130</v>
      </c>
      <c r="K944" s="63" t="s">
        <v>1040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47</v>
      </c>
      <c r="D945" s="59" t="s">
        <v>1036</v>
      </c>
      <c r="E945" s="106">
        <v>5000</v>
      </c>
      <c r="F945" s="59" t="s">
        <v>1795</v>
      </c>
      <c r="G945" s="59" t="s">
        <v>834</v>
      </c>
      <c r="H945" s="59" t="s">
        <v>1298</v>
      </c>
      <c r="I945" s="59" t="s">
        <v>885</v>
      </c>
      <c r="J945" s="66">
        <v>44497</v>
      </c>
      <c r="K945" s="63" t="s">
        <v>1053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1026</v>
      </c>
      <c r="D946" s="59" t="s">
        <v>1036</v>
      </c>
      <c r="E946" s="106">
        <v>53252</v>
      </c>
      <c r="F946" s="59" t="s">
        <v>1796</v>
      </c>
      <c r="G946" s="59" t="s">
        <v>829</v>
      </c>
      <c r="H946" s="59" t="s">
        <v>86</v>
      </c>
      <c r="I946" s="59" t="s">
        <v>877</v>
      </c>
      <c r="J946" s="66">
        <v>43811</v>
      </c>
      <c r="K946" s="107" t="s">
        <v>1053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1026</v>
      </c>
      <c r="D947" s="59" t="s">
        <v>1036</v>
      </c>
      <c r="E947" s="106">
        <v>15000</v>
      </c>
      <c r="F947" s="59" t="s">
        <v>1797</v>
      </c>
      <c r="G947" s="59" t="s">
        <v>834</v>
      </c>
      <c r="H947" s="59" t="s">
        <v>1175</v>
      </c>
      <c r="I947" s="59" t="s">
        <v>974</v>
      </c>
      <c r="J947" s="60">
        <v>44299</v>
      </c>
      <c r="K947" s="107" t="s">
        <v>1040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47</v>
      </c>
      <c r="D948" s="59" t="s">
        <v>1027</v>
      </c>
      <c r="E948" s="106">
        <v>93639.74</v>
      </c>
      <c r="F948" s="59" t="s">
        <v>1798</v>
      </c>
      <c r="G948" s="59" t="s">
        <v>903</v>
      </c>
      <c r="H948" s="59" t="s">
        <v>86</v>
      </c>
      <c r="I948" s="59" t="s">
        <v>879</v>
      </c>
      <c r="J948" s="60">
        <v>44204</v>
      </c>
      <c r="K948" s="107" t="s">
        <v>1121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1387</v>
      </c>
      <c r="C949" s="63" t="s">
        <v>47</v>
      </c>
      <c r="D949" s="68" t="s">
        <v>1036</v>
      </c>
      <c r="E949" s="69">
        <v>4000</v>
      </c>
      <c r="F949" s="68" t="s">
        <v>1388</v>
      </c>
      <c r="G949" s="68" t="s">
        <v>834</v>
      </c>
      <c r="H949" s="68" t="s">
        <v>1298</v>
      </c>
      <c r="I949" s="68" t="s">
        <v>885</v>
      </c>
      <c r="J949" s="70">
        <v>44407</v>
      </c>
      <c r="K949" s="63" t="s">
        <v>1339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1075</v>
      </c>
      <c r="D950" s="59" t="s">
        <v>1036</v>
      </c>
      <c r="E950" s="106">
        <v>3000</v>
      </c>
      <c r="F950" s="59" t="s">
        <v>1164</v>
      </c>
      <c r="G950" s="59" t="s">
        <v>834</v>
      </c>
      <c r="H950" s="59" t="s">
        <v>86</v>
      </c>
      <c r="I950" s="59" t="s">
        <v>850</v>
      </c>
      <c r="J950" s="60">
        <v>44062</v>
      </c>
      <c r="K950" s="107" t="s">
        <v>1040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47</v>
      </c>
      <c r="D951" s="68" t="s">
        <v>1061</v>
      </c>
      <c r="E951" s="69">
        <v>73682.14</v>
      </c>
      <c r="F951" s="68" t="s">
        <v>1799</v>
      </c>
      <c r="G951" s="68" t="s">
        <v>829</v>
      </c>
      <c r="H951" s="68" t="s">
        <v>86</v>
      </c>
      <c r="I951" s="68" t="s">
        <v>829</v>
      </c>
      <c r="J951" s="70">
        <v>43742</v>
      </c>
      <c r="K951" s="63" t="s">
        <v>1032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1800</v>
      </c>
      <c r="C952" s="63" t="s">
        <v>47</v>
      </c>
      <c r="D952" s="68" t="s">
        <v>1027</v>
      </c>
      <c r="E952" s="69" t="s">
        <v>1801</v>
      </c>
      <c r="F952" s="68" t="s">
        <v>1802</v>
      </c>
      <c r="G952" s="68" t="s">
        <v>834</v>
      </c>
      <c r="H952" s="68" t="s">
        <v>1298</v>
      </c>
      <c r="I952" s="68" t="s">
        <v>885</v>
      </c>
      <c r="J952" s="70">
        <v>44405</v>
      </c>
      <c r="K952" s="63" t="s">
        <v>1029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1440</v>
      </c>
      <c r="C953" s="63" t="s">
        <v>47</v>
      </c>
      <c r="D953" s="68" t="s">
        <v>1036</v>
      </c>
      <c r="E953" s="69">
        <v>127458.23</v>
      </c>
      <c r="F953" s="68" t="s">
        <v>1441</v>
      </c>
      <c r="G953" s="68" t="s">
        <v>834</v>
      </c>
      <c r="H953" s="68" t="s">
        <v>86</v>
      </c>
      <c r="I953" s="68" t="s">
        <v>997</v>
      </c>
      <c r="J953" s="70">
        <v>44326</v>
      </c>
      <c r="K953" s="63" t="s">
        <v>1178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1803</v>
      </c>
      <c r="C954" s="63" t="s">
        <v>47</v>
      </c>
      <c r="D954" s="68" t="s">
        <v>1061</v>
      </c>
      <c r="E954" s="69">
        <v>185758.05</v>
      </c>
      <c r="F954" s="68" t="s">
        <v>1804</v>
      </c>
      <c r="G954" s="68" t="s">
        <v>903</v>
      </c>
      <c r="H954" s="68" t="s">
        <v>86</v>
      </c>
      <c r="I954" s="68" t="s">
        <v>901</v>
      </c>
      <c r="J954" s="70">
        <v>44218</v>
      </c>
      <c r="K954" s="63" t="s">
        <v>1029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1805</v>
      </c>
      <c r="C955" s="63" t="s">
        <v>47</v>
      </c>
      <c r="D955" s="68" t="s">
        <v>1036</v>
      </c>
      <c r="E955" s="69">
        <v>470001.08</v>
      </c>
      <c r="F955" s="68" t="s">
        <v>1806</v>
      </c>
      <c r="G955" s="68" t="s">
        <v>903</v>
      </c>
      <c r="H955" s="68" t="s">
        <v>86</v>
      </c>
      <c r="I955" s="68" t="s">
        <v>889</v>
      </c>
      <c r="J955" s="70">
        <v>44103</v>
      </c>
      <c r="K955" s="63" t="s">
        <v>1053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1704</v>
      </c>
      <c r="C956" s="63" t="s">
        <v>47</v>
      </c>
      <c r="D956" s="68" t="s">
        <v>1036</v>
      </c>
      <c r="E956" s="69">
        <v>30000</v>
      </c>
      <c r="F956" s="68" t="s">
        <v>1705</v>
      </c>
      <c r="G956" s="68" t="s">
        <v>834</v>
      </c>
      <c r="H956" s="68" t="s">
        <v>1298</v>
      </c>
      <c r="I956" s="68" t="s">
        <v>1001</v>
      </c>
      <c r="J956" s="70">
        <v>44645</v>
      </c>
      <c r="K956" s="63" t="s">
        <v>1040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1581</v>
      </c>
      <c r="C957" s="63" t="s">
        <v>47</v>
      </c>
      <c r="D957" s="68" t="s">
        <v>1036</v>
      </c>
      <c r="E957" s="69">
        <v>20000</v>
      </c>
      <c r="F957" s="68" t="s">
        <v>1582</v>
      </c>
      <c r="G957" s="68" t="s">
        <v>834</v>
      </c>
      <c r="H957" s="68" t="s">
        <v>86</v>
      </c>
      <c r="I957" s="68" t="s">
        <v>919</v>
      </c>
      <c r="J957" s="70">
        <v>44399</v>
      </c>
      <c r="K957" s="63" t="s">
        <v>1040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1657</v>
      </c>
      <c r="C958" s="63" t="s">
        <v>47</v>
      </c>
      <c r="D958" s="68" t="s">
        <v>1036</v>
      </c>
      <c r="E958" s="69">
        <v>20000</v>
      </c>
      <c r="F958" s="68" t="s">
        <v>1658</v>
      </c>
      <c r="G958" s="68" t="s">
        <v>834</v>
      </c>
      <c r="H958" s="68" t="s">
        <v>86</v>
      </c>
      <c r="I958" s="68" t="s">
        <v>956</v>
      </c>
      <c r="J958" s="70">
        <v>44594</v>
      </c>
      <c r="K958" s="63" t="s">
        <v>1178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1807</v>
      </c>
      <c r="C959" s="63" t="s">
        <v>47</v>
      </c>
      <c r="D959" s="68" t="s">
        <v>1027</v>
      </c>
      <c r="E959" s="69">
        <v>9396.31</v>
      </c>
      <c r="F959" s="68" t="s">
        <v>1808</v>
      </c>
      <c r="G959" s="68" t="s">
        <v>834</v>
      </c>
      <c r="H959" s="68" t="s">
        <v>86</v>
      </c>
      <c r="I959" s="68" t="s">
        <v>998</v>
      </c>
      <c r="J959" s="70">
        <v>44323</v>
      </c>
      <c r="K959" s="63" t="s">
        <v>1178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1809</v>
      </c>
      <c r="C960" s="63" t="s">
        <v>47</v>
      </c>
      <c r="D960" s="68" t="s">
        <v>1036</v>
      </c>
      <c r="E960" s="69">
        <v>44000</v>
      </c>
      <c r="F960" s="68" t="s">
        <v>1810</v>
      </c>
      <c r="G960" s="68" t="s">
        <v>903</v>
      </c>
      <c r="H960" s="68" t="s">
        <v>86</v>
      </c>
      <c r="I960" s="68">
        <v>4551730</v>
      </c>
      <c r="J960" s="70">
        <v>44138</v>
      </c>
      <c r="K960" s="63" t="s">
        <v>1053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47</v>
      </c>
      <c r="D961" s="68" t="s">
        <v>1036</v>
      </c>
      <c r="E961" s="69">
        <v>250000</v>
      </c>
      <c r="F961" s="68" t="s">
        <v>1794</v>
      </c>
      <c r="G961" s="68" t="s">
        <v>834</v>
      </c>
      <c r="H961" s="68" t="s">
        <v>1298</v>
      </c>
      <c r="I961" s="68" t="s">
        <v>988</v>
      </c>
      <c r="J961" s="70">
        <v>44130</v>
      </c>
      <c r="K961" s="63" t="s">
        <v>1040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1805</v>
      </c>
      <c r="C962" s="63" t="s">
        <v>47</v>
      </c>
      <c r="D962" s="68" t="s">
        <v>1036</v>
      </c>
      <c r="E962" s="69">
        <v>823824</v>
      </c>
      <c r="F962" s="68" t="s">
        <v>1806</v>
      </c>
      <c r="G962" s="68" t="s">
        <v>903</v>
      </c>
      <c r="H962" s="68" t="s">
        <v>86</v>
      </c>
      <c r="I962" s="68" t="s">
        <v>889</v>
      </c>
      <c r="J962" s="70">
        <v>44103</v>
      </c>
      <c r="K962" s="63" t="s">
        <v>1053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1147</v>
      </c>
      <c r="C963" s="63" t="s">
        <v>1026</v>
      </c>
      <c r="D963" s="68" t="s">
        <v>1027</v>
      </c>
      <c r="E963" s="69">
        <v>64448.81</v>
      </c>
      <c r="F963" s="68" t="s">
        <v>1148</v>
      </c>
      <c r="G963" s="68" t="s">
        <v>829</v>
      </c>
      <c r="H963" s="68" t="s">
        <v>86</v>
      </c>
      <c r="I963" s="68" t="s">
        <v>877</v>
      </c>
      <c r="J963" s="70">
        <v>43707</v>
      </c>
      <c r="K963" s="63" t="s">
        <v>1029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1811</v>
      </c>
      <c r="C964" s="63" t="s">
        <v>47</v>
      </c>
      <c r="D964" s="68" t="s">
        <v>1036</v>
      </c>
      <c r="E964" s="69">
        <v>10000</v>
      </c>
      <c r="F964" s="68" t="s">
        <v>1812</v>
      </c>
      <c r="G964" s="68" t="s">
        <v>834</v>
      </c>
      <c r="H964" s="68" t="s">
        <v>1298</v>
      </c>
      <c r="I964" s="68" t="s">
        <v>1001</v>
      </c>
      <c r="J964" s="70">
        <v>44715</v>
      </c>
      <c r="K964" s="63" t="s">
        <v>1053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1813</v>
      </c>
      <c r="C965" s="63" t="s">
        <v>47</v>
      </c>
      <c r="D965" s="68" t="s">
        <v>1036</v>
      </c>
      <c r="E965" s="69">
        <v>323000</v>
      </c>
      <c r="F965" s="68" t="s">
        <v>1814</v>
      </c>
      <c r="G965" s="68" t="s">
        <v>834</v>
      </c>
      <c r="H965" s="68" t="s">
        <v>1298</v>
      </c>
      <c r="I965" s="68" t="s">
        <v>1001</v>
      </c>
      <c r="J965" s="70">
        <v>44694</v>
      </c>
      <c r="K965" s="63" t="s">
        <v>1178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1335</v>
      </c>
      <c r="C966" s="63" t="s">
        <v>47</v>
      </c>
      <c r="D966" s="68" t="s">
        <v>1061</v>
      </c>
      <c r="E966" s="69">
        <v>3147.95</v>
      </c>
      <c r="F966" s="68" t="s">
        <v>1336</v>
      </c>
      <c r="G966" s="68" t="s">
        <v>903</v>
      </c>
      <c r="H966" s="68" t="s">
        <v>86</v>
      </c>
      <c r="I966" s="68" t="s">
        <v>901</v>
      </c>
      <c r="J966" s="70">
        <v>44145</v>
      </c>
      <c r="K966" s="63" t="s">
        <v>1121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1815</v>
      </c>
      <c r="C967" s="63" t="s">
        <v>47</v>
      </c>
      <c r="D967" s="68" t="s">
        <v>1036</v>
      </c>
      <c r="E967" s="69">
        <v>35000</v>
      </c>
      <c r="F967" s="68" t="s">
        <v>1816</v>
      </c>
      <c r="G967" s="68" t="s">
        <v>834</v>
      </c>
      <c r="H967" s="68" t="s">
        <v>1298</v>
      </c>
      <c r="I967" s="68" t="s">
        <v>899</v>
      </c>
      <c r="J967" s="70">
        <v>44445</v>
      </c>
      <c r="K967" s="63" t="s">
        <v>1178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1817</v>
      </c>
      <c r="C968" s="63" t="s">
        <v>47</v>
      </c>
      <c r="D968" s="68" t="s">
        <v>1027</v>
      </c>
      <c r="E968" s="69" t="s">
        <v>1818</v>
      </c>
      <c r="F968" s="68" t="s">
        <v>1819</v>
      </c>
      <c r="G968" s="68" t="s">
        <v>834</v>
      </c>
      <c r="H968" s="68" t="s">
        <v>1298</v>
      </c>
      <c r="I968" s="68" t="s">
        <v>885</v>
      </c>
      <c r="J968" s="70">
        <v>44466</v>
      </c>
      <c r="K968" s="63" t="s">
        <v>1029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1820</v>
      </c>
      <c r="C969" s="63" t="s">
        <v>47</v>
      </c>
      <c r="D969" s="68" t="s">
        <v>1036</v>
      </c>
      <c r="E969" s="69">
        <v>350000</v>
      </c>
      <c r="F969" s="68" t="s">
        <v>1821</v>
      </c>
      <c r="G969" s="68" t="s">
        <v>834</v>
      </c>
      <c r="H969" s="68" t="s">
        <v>1298</v>
      </c>
      <c r="I969" s="68" t="s">
        <v>962</v>
      </c>
      <c r="J969" s="70">
        <v>44568</v>
      </c>
      <c r="K969" s="63" t="s">
        <v>1822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1823</v>
      </c>
      <c r="C970" s="63" t="s">
        <v>47</v>
      </c>
      <c r="D970" s="68" t="s">
        <v>1036</v>
      </c>
      <c r="E970" s="69">
        <v>15000</v>
      </c>
      <c r="F970" s="68" t="s">
        <v>1824</v>
      </c>
      <c r="G970" s="68" t="s">
        <v>834</v>
      </c>
      <c r="H970" s="68" t="s">
        <v>1298</v>
      </c>
      <c r="I970" s="68" t="s">
        <v>988</v>
      </c>
      <c r="J970" s="70">
        <v>44679</v>
      </c>
      <c r="K970" s="63" t="s">
        <v>1040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1825</v>
      </c>
      <c r="C971" s="63" t="s">
        <v>1026</v>
      </c>
      <c r="D971" s="68" t="s">
        <v>1027</v>
      </c>
      <c r="E971" s="69">
        <v>53398.09</v>
      </c>
      <c r="F971" s="68" t="s">
        <v>1826</v>
      </c>
      <c r="G971" s="68" t="s">
        <v>834</v>
      </c>
      <c r="H971" s="68" t="s">
        <v>1175</v>
      </c>
      <c r="I971" s="68" t="s">
        <v>970</v>
      </c>
      <c r="J971" s="70">
        <v>44335</v>
      </c>
      <c r="K971" s="63" t="s">
        <v>1040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1827</v>
      </c>
      <c r="C972" s="63" t="s">
        <v>47</v>
      </c>
      <c r="D972" s="68" t="s">
        <v>1027</v>
      </c>
      <c r="E972" s="69">
        <v>102018.55</v>
      </c>
      <c r="F972" s="68" t="s">
        <v>1828</v>
      </c>
      <c r="G972" s="68" t="s">
        <v>834</v>
      </c>
      <c r="H972" s="68" t="s">
        <v>86</v>
      </c>
      <c r="I972" s="68" t="s">
        <v>1000</v>
      </c>
      <c r="J972" s="70">
        <v>44655</v>
      </c>
      <c r="K972" s="63" t="s">
        <v>1040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1182</v>
      </c>
      <c r="C973" s="63" t="s">
        <v>47</v>
      </c>
      <c r="D973" s="68" t="s">
        <v>1036</v>
      </c>
      <c r="E973" s="69">
        <v>5000</v>
      </c>
      <c r="F973" s="68" t="s">
        <v>1183</v>
      </c>
      <c r="G973" s="68" t="s">
        <v>834</v>
      </c>
      <c r="H973" s="68" t="s">
        <v>1298</v>
      </c>
      <c r="I973" s="68" t="s">
        <v>911</v>
      </c>
      <c r="J973" s="70">
        <v>44263</v>
      </c>
      <c r="K973" s="63" t="s">
        <v>1178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1811</v>
      </c>
      <c r="C974" s="63" t="s">
        <v>47</v>
      </c>
      <c r="D974" s="68" t="s">
        <v>1036</v>
      </c>
      <c r="E974" s="69">
        <v>10000</v>
      </c>
      <c r="F974" s="68" t="s">
        <v>1812</v>
      </c>
      <c r="G974" s="68" t="s">
        <v>834</v>
      </c>
      <c r="H974" s="68" t="s">
        <v>1298</v>
      </c>
      <c r="I974" s="68" t="s">
        <v>1001</v>
      </c>
      <c r="J974" s="70">
        <v>44715</v>
      </c>
      <c r="K974" s="63" t="s">
        <v>1053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1811</v>
      </c>
      <c r="C975" s="63" t="s">
        <v>47</v>
      </c>
      <c r="D975" s="68" t="s">
        <v>1036</v>
      </c>
      <c r="E975" s="69">
        <v>10000</v>
      </c>
      <c r="F975" s="68" t="s">
        <v>1812</v>
      </c>
      <c r="G975" s="68" t="s">
        <v>834</v>
      </c>
      <c r="H975" s="68" t="s">
        <v>1298</v>
      </c>
      <c r="I975" s="68" t="s">
        <v>1001</v>
      </c>
      <c r="J975" s="70">
        <v>44715</v>
      </c>
      <c r="K975" s="63" t="s">
        <v>1053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1744</v>
      </c>
      <c r="C976" s="63" t="s">
        <v>47</v>
      </c>
      <c r="D976" s="68" t="s">
        <v>1036</v>
      </c>
      <c r="E976" s="69">
        <v>7141.5</v>
      </c>
      <c r="F976" s="68" t="s">
        <v>1745</v>
      </c>
      <c r="G976" s="68" t="s">
        <v>834</v>
      </c>
      <c r="H976" s="68" t="s">
        <v>1298</v>
      </c>
      <c r="I976" s="68" t="s">
        <v>885</v>
      </c>
      <c r="J976" s="70">
        <v>44084</v>
      </c>
      <c r="K976" s="63" t="s">
        <v>1029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1829</v>
      </c>
      <c r="C977" s="63" t="s">
        <v>47</v>
      </c>
      <c r="D977" s="68" t="s">
        <v>1061</v>
      </c>
      <c r="E977" s="69">
        <v>39350.99</v>
      </c>
      <c r="F977" s="68" t="s">
        <v>1830</v>
      </c>
      <c r="G977" s="68" t="s">
        <v>834</v>
      </c>
      <c r="H977" s="68" t="s">
        <v>86</v>
      </c>
      <c r="I977" s="68" t="s">
        <v>1000</v>
      </c>
      <c r="J977" s="70">
        <v>44615</v>
      </c>
      <c r="K977" s="63" t="s">
        <v>1178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1781</v>
      </c>
      <c r="C978" s="63" t="s">
        <v>47</v>
      </c>
      <c r="D978" s="68" t="s">
        <v>1061</v>
      </c>
      <c r="E978" s="69">
        <v>10000</v>
      </c>
      <c r="F978" s="68" t="s">
        <v>1782</v>
      </c>
      <c r="G978" s="68" t="s">
        <v>834</v>
      </c>
      <c r="H978" s="68" t="s">
        <v>1298</v>
      </c>
      <c r="I978" s="68" t="s">
        <v>885</v>
      </c>
      <c r="J978" s="70">
        <v>44744</v>
      </c>
      <c r="K978" s="63" t="s">
        <v>1121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1781</v>
      </c>
      <c r="C979" s="63" t="s">
        <v>47</v>
      </c>
      <c r="D979" s="68" t="s">
        <v>1036</v>
      </c>
      <c r="E979" s="69">
        <v>10000</v>
      </c>
      <c r="F979" s="68" t="s">
        <v>1782</v>
      </c>
      <c r="G979" s="68" t="s">
        <v>834</v>
      </c>
      <c r="H979" s="68" t="s">
        <v>1298</v>
      </c>
      <c r="I979" s="68" t="s">
        <v>885</v>
      </c>
      <c r="J979" s="70" t="s">
        <v>1831</v>
      </c>
      <c r="K979" s="63" t="s">
        <v>1832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1833</v>
      </c>
      <c r="C980" s="63" t="s">
        <v>47</v>
      </c>
      <c r="D980" s="68" t="s">
        <v>1036</v>
      </c>
      <c r="E980" s="69">
        <v>15000</v>
      </c>
      <c r="F980" s="68" t="s">
        <v>1834</v>
      </c>
      <c r="G980" s="68" t="s">
        <v>834</v>
      </c>
      <c r="H980" s="68" t="s">
        <v>86</v>
      </c>
      <c r="I980" s="68" t="s">
        <v>871</v>
      </c>
      <c r="J980" s="70">
        <v>44462</v>
      </c>
      <c r="K980" s="63" t="s">
        <v>1121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1639</v>
      </c>
      <c r="C981" s="63" t="s">
        <v>47</v>
      </c>
      <c r="D981" s="68" t="s">
        <v>1036</v>
      </c>
      <c r="E981" s="69">
        <v>27000</v>
      </c>
      <c r="F981" s="68" t="s">
        <v>1640</v>
      </c>
      <c r="G981" s="68" t="s">
        <v>834</v>
      </c>
      <c r="H981" s="68" t="s">
        <v>86</v>
      </c>
      <c r="I981" s="68" t="s">
        <v>875</v>
      </c>
      <c r="J981" s="70">
        <v>44061</v>
      </c>
      <c r="K981" s="63" t="s">
        <v>1040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1236</v>
      </c>
      <c r="C982" s="63" t="s">
        <v>47</v>
      </c>
      <c r="D982" s="68" t="s">
        <v>1036</v>
      </c>
      <c r="E982" s="69">
        <v>120000</v>
      </c>
      <c r="F982" s="68" t="s">
        <v>1237</v>
      </c>
      <c r="G982" s="68" t="s">
        <v>903</v>
      </c>
      <c r="H982" s="68" t="s">
        <v>86</v>
      </c>
      <c r="I982" s="68" t="s">
        <v>893</v>
      </c>
      <c r="J982" s="70">
        <v>44134</v>
      </c>
      <c r="K982" s="63" t="s">
        <v>1121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1811</v>
      </c>
      <c r="C983" s="63" t="s">
        <v>47</v>
      </c>
      <c r="D983" s="68" t="s">
        <v>1036</v>
      </c>
      <c r="E983" s="69">
        <v>10000</v>
      </c>
      <c r="F983" s="68" t="s">
        <v>1812</v>
      </c>
      <c r="G983" s="68" t="s">
        <v>834</v>
      </c>
      <c r="H983" s="68" t="s">
        <v>1298</v>
      </c>
      <c r="I983" s="68" t="s">
        <v>1001</v>
      </c>
      <c r="J983" s="70">
        <v>44715</v>
      </c>
      <c r="K983" s="63" t="s">
        <v>1053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1835</v>
      </c>
      <c r="C984" s="63" t="s">
        <v>47</v>
      </c>
      <c r="D984" s="68" t="s">
        <v>1027</v>
      </c>
      <c r="E984" s="69">
        <v>82162.42</v>
      </c>
      <c r="F984" s="68" t="s">
        <v>1836</v>
      </c>
      <c r="G984" s="68" t="s">
        <v>834</v>
      </c>
      <c r="H984" s="68" t="s">
        <v>86</v>
      </c>
      <c r="I984" s="68" t="s">
        <v>950</v>
      </c>
      <c r="J984" s="70">
        <v>44623</v>
      </c>
      <c r="K984" s="63" t="s">
        <v>1178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1837</v>
      </c>
      <c r="C985" s="63" t="s">
        <v>47</v>
      </c>
      <c r="D985" s="68" t="s">
        <v>1027</v>
      </c>
      <c r="E985" s="69">
        <v>545597.31000000006</v>
      </c>
      <c r="F985" s="68" t="s">
        <v>1838</v>
      </c>
      <c r="G985" s="68" t="s">
        <v>834</v>
      </c>
      <c r="H985" s="68" t="s">
        <v>86</v>
      </c>
      <c r="I985" s="68" t="s">
        <v>950</v>
      </c>
      <c r="J985" s="70">
        <v>44434</v>
      </c>
      <c r="K985" s="63" t="s">
        <v>1178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1670</v>
      </c>
      <c r="C986" s="63" t="s">
        <v>47</v>
      </c>
      <c r="D986" s="68" t="s">
        <v>1036</v>
      </c>
      <c r="E986" s="69">
        <v>100000</v>
      </c>
      <c r="F986" s="68" t="s">
        <v>1671</v>
      </c>
      <c r="G986" s="68" t="s">
        <v>834</v>
      </c>
      <c r="H986" s="68" t="s">
        <v>1298</v>
      </c>
      <c r="I986" s="68" t="s">
        <v>1001</v>
      </c>
      <c r="J986" s="70">
        <v>44609</v>
      </c>
      <c r="K986" s="63" t="s">
        <v>1053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1839</v>
      </c>
      <c r="C987" s="63" t="s">
        <v>47</v>
      </c>
      <c r="D987" s="68" t="s">
        <v>1027</v>
      </c>
      <c r="E987" s="69">
        <v>674420.41</v>
      </c>
      <c r="F987" s="68" t="s">
        <v>1840</v>
      </c>
      <c r="G987" s="68" t="s">
        <v>834</v>
      </c>
      <c r="H987" s="68" t="s">
        <v>86</v>
      </c>
      <c r="I987" s="68" t="s">
        <v>950</v>
      </c>
      <c r="J987" s="70">
        <v>44370</v>
      </c>
      <c r="K987" s="63" t="s">
        <v>1178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1841</v>
      </c>
      <c r="C988" s="63" t="s">
        <v>47</v>
      </c>
      <c r="D988" s="68" t="s">
        <v>1061</v>
      </c>
      <c r="E988" s="69">
        <v>152231.41</v>
      </c>
      <c r="F988" s="68" t="s">
        <v>1842</v>
      </c>
      <c r="G988" s="68" t="s">
        <v>834</v>
      </c>
      <c r="H988" s="68" t="s">
        <v>1298</v>
      </c>
      <c r="I988" s="68" t="s">
        <v>885</v>
      </c>
      <c r="J988" s="70">
        <v>44251</v>
      </c>
      <c r="K988" s="63" t="s">
        <v>1029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1680</v>
      </c>
      <c r="C989" s="63" t="s">
        <v>47</v>
      </c>
      <c r="D989" s="68" t="s">
        <v>1036</v>
      </c>
      <c r="E989" s="69">
        <v>10000</v>
      </c>
      <c r="F989" s="68" t="s">
        <v>1681</v>
      </c>
      <c r="G989" s="68" t="s">
        <v>834</v>
      </c>
      <c r="H989" s="68" t="s">
        <v>1298</v>
      </c>
      <c r="I989" s="68" t="s">
        <v>1001</v>
      </c>
      <c r="J989" s="70">
        <v>44615</v>
      </c>
      <c r="K989" s="63" t="s">
        <v>1040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1843</v>
      </c>
      <c r="C990" s="63" t="s">
        <v>47</v>
      </c>
      <c r="D990" s="68" t="s">
        <v>1036</v>
      </c>
      <c r="E990" s="69">
        <v>20000</v>
      </c>
      <c r="F990" s="68" t="s">
        <v>1844</v>
      </c>
      <c r="G990" s="68" t="s">
        <v>834</v>
      </c>
      <c r="H990" s="68" t="s">
        <v>86</v>
      </c>
      <c r="I990" s="68" t="s">
        <v>871</v>
      </c>
      <c r="J990" s="70">
        <v>44460</v>
      </c>
      <c r="K990" s="63" t="s">
        <v>1178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1845</v>
      </c>
      <c r="C991" s="63" t="s">
        <v>47</v>
      </c>
      <c r="D991" s="68" t="s">
        <v>1036</v>
      </c>
      <c r="E991" s="69">
        <v>3000</v>
      </c>
      <c r="F991" s="68" t="s">
        <v>1846</v>
      </c>
      <c r="G991" s="68" t="s">
        <v>834</v>
      </c>
      <c r="H991" s="68" t="s">
        <v>86</v>
      </c>
      <c r="I991" s="68" t="s">
        <v>919</v>
      </c>
      <c r="J991" s="70">
        <v>44393</v>
      </c>
      <c r="K991" s="63" t="s">
        <v>1121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1847</v>
      </c>
      <c r="C992" s="63" t="s">
        <v>47</v>
      </c>
      <c r="D992" s="68" t="s">
        <v>1036</v>
      </c>
      <c r="E992" s="69">
        <v>5000</v>
      </c>
      <c r="F992" s="68" t="s">
        <v>1784</v>
      </c>
      <c r="G992" s="68" t="s">
        <v>834</v>
      </c>
      <c r="H992" s="68" t="s">
        <v>86</v>
      </c>
      <c r="I992" s="68" t="s">
        <v>883</v>
      </c>
      <c r="J992" s="70">
        <v>44335</v>
      </c>
      <c r="K992" s="63" t="s">
        <v>1437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1848</v>
      </c>
      <c r="C993" s="63" t="s">
        <v>47</v>
      </c>
      <c r="D993" s="68" t="s">
        <v>1036</v>
      </c>
      <c r="E993" s="69">
        <v>18000</v>
      </c>
      <c r="F993" s="68" t="s">
        <v>1688</v>
      </c>
      <c r="G993" s="68" t="s">
        <v>834</v>
      </c>
      <c r="H993" s="68" t="s">
        <v>1298</v>
      </c>
      <c r="I993" s="68" t="s">
        <v>905</v>
      </c>
      <c r="J993" s="70">
        <v>44503</v>
      </c>
      <c r="K993" s="63" t="s">
        <v>1437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1849</v>
      </c>
      <c r="C994" s="63" t="s">
        <v>47</v>
      </c>
      <c r="D994" s="68" t="s">
        <v>1027</v>
      </c>
      <c r="E994" s="69">
        <v>101231.24</v>
      </c>
      <c r="F994" s="68" t="s">
        <v>1850</v>
      </c>
      <c r="G994" s="68" t="s">
        <v>834</v>
      </c>
      <c r="H994" s="68" t="s">
        <v>1298</v>
      </c>
      <c r="I994" s="68" t="s">
        <v>905</v>
      </c>
      <c r="J994" s="70">
        <v>44462</v>
      </c>
      <c r="K994" s="63" t="s">
        <v>1040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1163</v>
      </c>
      <c r="C995" s="63" t="s">
        <v>1075</v>
      </c>
      <c r="D995" s="68" t="s">
        <v>1036</v>
      </c>
      <c r="E995" s="69">
        <v>8500</v>
      </c>
      <c r="F995" s="68" t="s">
        <v>1164</v>
      </c>
      <c r="G995" s="68" t="s">
        <v>834</v>
      </c>
      <c r="H995" s="68" t="s">
        <v>86</v>
      </c>
      <c r="I995" s="68" t="s">
        <v>850</v>
      </c>
      <c r="J995" s="70">
        <v>44062</v>
      </c>
      <c r="K995" s="63" t="s">
        <v>1040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1704</v>
      </c>
      <c r="C996" s="63" t="s">
        <v>47</v>
      </c>
      <c r="D996" s="68" t="s">
        <v>1036</v>
      </c>
      <c r="E996" s="69">
        <v>90000</v>
      </c>
      <c r="F996" s="68" t="s">
        <v>1705</v>
      </c>
      <c r="G996" s="68" t="s">
        <v>834</v>
      </c>
      <c r="H996" s="68" t="s">
        <v>1298</v>
      </c>
      <c r="I996" s="68" t="s">
        <v>1001</v>
      </c>
      <c r="J996" s="70">
        <v>44645</v>
      </c>
      <c r="K996" s="63" t="s">
        <v>1040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1851</v>
      </c>
      <c r="C997" s="63" t="s">
        <v>47</v>
      </c>
      <c r="D997" s="68" t="s">
        <v>1027</v>
      </c>
      <c r="E997" s="69">
        <v>5000</v>
      </c>
      <c r="F997" s="68" t="s">
        <v>1852</v>
      </c>
      <c r="G997" s="68" t="s">
        <v>834</v>
      </c>
      <c r="H997" s="68" t="s">
        <v>1298</v>
      </c>
      <c r="I997" s="68" t="s">
        <v>885</v>
      </c>
      <c r="J997" s="70">
        <v>44619</v>
      </c>
      <c r="K997" s="63" t="s">
        <v>1029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1853</v>
      </c>
      <c r="C998" s="68" t="s">
        <v>47</v>
      </c>
      <c r="D998" s="59" t="s">
        <v>1036</v>
      </c>
      <c r="E998" s="108">
        <v>55000</v>
      </c>
      <c r="F998" s="59" t="s">
        <v>1854</v>
      </c>
      <c r="G998" s="60" t="s">
        <v>834</v>
      </c>
      <c r="H998" s="60" t="s">
        <v>1298</v>
      </c>
      <c r="I998" s="60" t="s">
        <v>1001</v>
      </c>
      <c r="J998" s="60">
        <v>44613</v>
      </c>
      <c r="K998" s="60" t="s">
        <v>1855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1856</v>
      </c>
      <c r="C999" s="68" t="s">
        <v>47</v>
      </c>
      <c r="D999" s="59" t="s">
        <v>1036</v>
      </c>
      <c r="E999" s="108">
        <v>10000</v>
      </c>
      <c r="F999" s="59" t="s">
        <v>1857</v>
      </c>
      <c r="G999" s="60" t="s">
        <v>834</v>
      </c>
      <c r="H999" s="60" t="s">
        <v>1298</v>
      </c>
      <c r="I999" s="60" t="s">
        <v>885</v>
      </c>
      <c r="J999" s="60">
        <v>44824</v>
      </c>
      <c r="K999" s="60" t="s">
        <v>1178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1182</v>
      </c>
      <c r="C1000" s="63" t="s">
        <v>47</v>
      </c>
      <c r="D1000" s="68" t="s">
        <v>1036</v>
      </c>
      <c r="E1000" s="69">
        <v>25000</v>
      </c>
      <c r="F1000" s="68" t="s">
        <v>1183</v>
      </c>
      <c r="G1000" s="68" t="s">
        <v>903</v>
      </c>
      <c r="H1000" s="68" t="s">
        <v>86</v>
      </c>
      <c r="I1000" s="68" t="s">
        <v>911</v>
      </c>
      <c r="J1000" s="70">
        <v>44263</v>
      </c>
      <c r="K1000" s="63" t="s">
        <v>1040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1858</v>
      </c>
      <c r="C1001" s="63" t="s">
        <v>47</v>
      </c>
      <c r="D1001" s="68" t="s">
        <v>1027</v>
      </c>
      <c r="E1001" s="69">
        <v>120608.02</v>
      </c>
      <c r="F1001" s="68" t="s">
        <v>1859</v>
      </c>
      <c r="G1001" s="68" t="s">
        <v>834</v>
      </c>
      <c r="H1001" s="68" t="s">
        <v>86</v>
      </c>
      <c r="I1001" s="68" t="s">
        <v>950</v>
      </c>
      <c r="J1001" s="70">
        <v>44623</v>
      </c>
      <c r="K1001" s="63" t="s">
        <v>1178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1860</v>
      </c>
      <c r="C1002" s="63" t="s">
        <v>47</v>
      </c>
      <c r="D1002" s="68" t="s">
        <v>1027</v>
      </c>
      <c r="E1002" s="69">
        <v>181532.44</v>
      </c>
      <c r="F1002" s="68" t="s">
        <v>1861</v>
      </c>
      <c r="G1002" s="68" t="s">
        <v>834</v>
      </c>
      <c r="H1002" s="68" t="s">
        <v>1298</v>
      </c>
      <c r="I1002" s="68" t="s">
        <v>946</v>
      </c>
      <c r="J1002" s="70">
        <v>44376</v>
      </c>
      <c r="K1002" s="63" t="s">
        <v>1029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1751</v>
      </c>
      <c r="C1003" s="63" t="s">
        <v>47</v>
      </c>
      <c r="D1003" s="68" t="s">
        <v>1036</v>
      </c>
      <c r="E1003" s="69">
        <v>200000</v>
      </c>
      <c r="F1003" s="68" t="s">
        <v>1752</v>
      </c>
      <c r="G1003" s="68" t="s">
        <v>834</v>
      </c>
      <c r="H1003" s="68" t="s">
        <v>1298</v>
      </c>
      <c r="I1003" s="68" t="s">
        <v>988</v>
      </c>
      <c r="J1003" s="70">
        <v>44454</v>
      </c>
      <c r="K1003" s="63" t="s">
        <v>1040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1862</v>
      </c>
      <c r="C1004" s="63" t="s">
        <v>47</v>
      </c>
      <c r="D1004" s="68" t="s">
        <v>1036</v>
      </c>
      <c r="E1004" s="69">
        <v>25000</v>
      </c>
      <c r="F1004" s="68" t="s">
        <v>1863</v>
      </c>
      <c r="G1004" s="68" t="s">
        <v>834</v>
      </c>
      <c r="H1004" s="68" t="s">
        <v>86</v>
      </c>
      <c r="I1004" s="68" t="s">
        <v>989</v>
      </c>
      <c r="J1004" s="70">
        <v>44385</v>
      </c>
      <c r="K1004" s="63" t="s">
        <v>1437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1841</v>
      </c>
      <c r="C1005" s="63" t="s">
        <v>47</v>
      </c>
      <c r="D1005" s="68" t="s">
        <v>1027</v>
      </c>
      <c r="E1005" s="69">
        <v>1473.07</v>
      </c>
      <c r="F1005" s="68" t="s">
        <v>1842</v>
      </c>
      <c r="G1005" s="68" t="s">
        <v>834</v>
      </c>
      <c r="H1005" s="68" t="s">
        <v>1298</v>
      </c>
      <c r="I1005" s="68" t="s">
        <v>885</v>
      </c>
      <c r="J1005" s="70">
        <v>44251</v>
      </c>
      <c r="K1005" s="63" t="s">
        <v>1029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1764</v>
      </c>
      <c r="C1006" s="63" t="s">
        <v>1026</v>
      </c>
      <c r="D1006" s="68" t="s">
        <v>1027</v>
      </c>
      <c r="E1006" s="69">
        <v>74385.52</v>
      </c>
      <c r="F1006" s="68" t="s">
        <v>1864</v>
      </c>
      <c r="G1006" s="68" t="s">
        <v>834</v>
      </c>
      <c r="H1006" s="68" t="s">
        <v>1175</v>
      </c>
      <c r="I1006" s="68" t="s">
        <v>974</v>
      </c>
      <c r="J1006" s="70">
        <v>44568</v>
      </c>
      <c r="K1006" s="63" t="s">
        <v>1178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1865</v>
      </c>
      <c r="C1007" s="63" t="s">
        <v>47</v>
      </c>
      <c r="D1007" s="68" t="s">
        <v>1036</v>
      </c>
      <c r="E1007" s="69">
        <v>7000</v>
      </c>
      <c r="F1007" s="68" t="s">
        <v>1866</v>
      </c>
      <c r="G1007" s="68" t="s">
        <v>834</v>
      </c>
      <c r="H1007" s="68" t="s">
        <v>1298</v>
      </c>
      <c r="I1007" s="68" t="s">
        <v>1001</v>
      </c>
      <c r="J1007" s="70">
        <v>44673</v>
      </c>
      <c r="K1007" s="63" t="s">
        <v>1053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1867</v>
      </c>
      <c r="C1008" s="63" t="s">
        <v>47</v>
      </c>
      <c r="D1008" s="68" t="s">
        <v>1027</v>
      </c>
      <c r="E1008" s="69">
        <v>157156.82</v>
      </c>
      <c r="F1008" s="68" t="s">
        <v>1868</v>
      </c>
      <c r="G1008" s="68" t="s">
        <v>834</v>
      </c>
      <c r="H1008" s="68" t="s">
        <v>86</v>
      </c>
      <c r="I1008" s="68" t="s">
        <v>991</v>
      </c>
      <c r="J1008" s="70">
        <v>44277</v>
      </c>
      <c r="K1008" s="63" t="s">
        <v>1053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1869</v>
      </c>
      <c r="C1009" s="63" t="s">
        <v>1026</v>
      </c>
      <c r="D1009" s="68" t="s">
        <v>1027</v>
      </c>
      <c r="E1009" s="69">
        <v>101893.24</v>
      </c>
      <c r="F1009" s="68" t="s">
        <v>1870</v>
      </c>
      <c r="G1009" s="68" t="s">
        <v>834</v>
      </c>
      <c r="H1009" s="68" t="s">
        <v>1175</v>
      </c>
      <c r="I1009" s="68" t="s">
        <v>972</v>
      </c>
      <c r="J1009" s="70">
        <v>44365</v>
      </c>
      <c r="K1009" s="63" t="s">
        <v>1040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1601</v>
      </c>
      <c r="C1010" s="63" t="s">
        <v>47</v>
      </c>
      <c r="D1010" s="68" t="s">
        <v>1036</v>
      </c>
      <c r="E1010" s="69">
        <v>5500</v>
      </c>
      <c r="F1010" s="68" t="s">
        <v>1602</v>
      </c>
      <c r="G1010" s="68" t="s">
        <v>834</v>
      </c>
      <c r="H1010" s="68" t="s">
        <v>86</v>
      </c>
      <c r="I1010" s="68" t="s">
        <v>919</v>
      </c>
      <c r="J1010" s="70">
        <v>44293</v>
      </c>
      <c r="K1010" s="63" t="s">
        <v>1121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1871</v>
      </c>
      <c r="C1011" s="63" t="s">
        <v>1026</v>
      </c>
      <c r="D1011" s="68" t="s">
        <v>1027</v>
      </c>
      <c r="E1011" s="69">
        <v>111338.29</v>
      </c>
      <c r="F1011" s="68" t="s">
        <v>1872</v>
      </c>
      <c r="G1011" s="68" t="s">
        <v>834</v>
      </c>
      <c r="H1011" s="68" t="s">
        <v>1175</v>
      </c>
      <c r="I1011" s="68" t="s">
        <v>970</v>
      </c>
      <c r="J1011" s="70">
        <v>44600</v>
      </c>
      <c r="K1011" s="63" t="s">
        <v>1053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1873</v>
      </c>
      <c r="C1012" s="63" t="s">
        <v>47</v>
      </c>
      <c r="D1012" s="68" t="s">
        <v>1027</v>
      </c>
      <c r="E1012" s="69" t="s">
        <v>1874</v>
      </c>
      <c r="F1012" s="68" t="s">
        <v>1875</v>
      </c>
      <c r="G1012" s="68" t="s">
        <v>903</v>
      </c>
      <c r="H1012" s="68" t="s">
        <v>86</v>
      </c>
      <c r="I1012" s="68" t="s">
        <v>964</v>
      </c>
      <c r="J1012" s="70">
        <v>44211</v>
      </c>
      <c r="K1012" s="63" t="s">
        <v>1029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1657</v>
      </c>
      <c r="C1013" s="63" t="s">
        <v>47</v>
      </c>
      <c r="D1013" s="68" t="s">
        <v>1036</v>
      </c>
      <c r="E1013" s="69">
        <v>30000</v>
      </c>
      <c r="F1013" s="68" t="s">
        <v>1658</v>
      </c>
      <c r="G1013" s="68" t="s">
        <v>834</v>
      </c>
      <c r="H1013" s="68" t="s">
        <v>86</v>
      </c>
      <c r="I1013" s="68" t="s">
        <v>956</v>
      </c>
      <c r="J1013" s="70">
        <v>44594</v>
      </c>
      <c r="K1013" s="63" t="s">
        <v>1178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1751</v>
      </c>
      <c r="C1014" s="46" t="s">
        <v>47</v>
      </c>
      <c r="D1014" s="33" t="s">
        <v>1036</v>
      </c>
      <c r="E1014" s="98">
        <v>125000</v>
      </c>
      <c r="F1014" s="33" t="s">
        <v>1752</v>
      </c>
      <c r="G1014" s="44" t="s">
        <v>834</v>
      </c>
      <c r="H1014" s="44" t="s">
        <v>1298</v>
      </c>
      <c r="I1014" s="44" t="s">
        <v>988</v>
      </c>
      <c r="J1014" s="44">
        <v>44454</v>
      </c>
      <c r="K1014" s="44" t="s">
        <v>1040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1876</v>
      </c>
      <c r="C1015" s="46" t="s">
        <v>47</v>
      </c>
      <c r="D1015" s="33" t="s">
        <v>1027</v>
      </c>
      <c r="E1015" s="98">
        <v>444418.17</v>
      </c>
      <c r="F1015" s="33" t="s">
        <v>1877</v>
      </c>
      <c r="G1015" s="44" t="s">
        <v>834</v>
      </c>
      <c r="H1015" s="44" t="s">
        <v>1298</v>
      </c>
      <c r="I1015" s="44" t="s">
        <v>905</v>
      </c>
      <c r="J1015" s="44">
        <v>44421</v>
      </c>
      <c r="K1015" s="44" t="s">
        <v>1178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1746</v>
      </c>
      <c r="C1016" s="10" t="s">
        <v>47</v>
      </c>
      <c r="D1016" s="46" t="s">
        <v>1036</v>
      </c>
      <c r="E1016" s="47">
        <v>10000</v>
      </c>
      <c r="F1016" s="46" t="s">
        <v>1878</v>
      </c>
      <c r="G1016" s="46" t="s">
        <v>834</v>
      </c>
      <c r="H1016" s="46" t="s">
        <v>1298</v>
      </c>
      <c r="I1016" s="46" t="s">
        <v>962</v>
      </c>
      <c r="J1016" s="45">
        <v>44645</v>
      </c>
      <c r="K1016" s="10" t="s">
        <v>1178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1879</v>
      </c>
      <c r="C1017" s="10" t="s">
        <v>47</v>
      </c>
      <c r="D1017" s="46" t="s">
        <v>1027</v>
      </c>
      <c r="E1017" s="47">
        <v>608381.09</v>
      </c>
      <c r="F1017" s="46" t="s">
        <v>1880</v>
      </c>
      <c r="G1017" s="46" t="s">
        <v>834</v>
      </c>
      <c r="H1017" s="46" t="s">
        <v>86</v>
      </c>
      <c r="I1017" s="46" t="s">
        <v>846</v>
      </c>
      <c r="J1017" s="45">
        <v>44341</v>
      </c>
      <c r="K1017" s="10" t="s">
        <v>1881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1809</v>
      </c>
      <c r="C1018" s="10" t="s">
        <v>47</v>
      </c>
      <c r="D1018" s="46" t="s">
        <v>1036</v>
      </c>
      <c r="E1018" s="47">
        <v>5000</v>
      </c>
      <c r="F1018" s="46" t="s">
        <v>1810</v>
      </c>
      <c r="G1018" s="46" t="s">
        <v>903</v>
      </c>
      <c r="H1018" s="46" t="s">
        <v>86</v>
      </c>
      <c r="I1018" s="46" t="s">
        <v>848</v>
      </c>
      <c r="J1018" s="45">
        <v>44138</v>
      </c>
      <c r="K1018" s="10" t="s">
        <v>1053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1746</v>
      </c>
      <c r="C1019" s="10" t="s">
        <v>47</v>
      </c>
      <c r="D1019" s="46" t="s">
        <v>1036</v>
      </c>
      <c r="E1019" s="47">
        <v>5000</v>
      </c>
      <c r="F1019" s="46" t="s">
        <v>1878</v>
      </c>
      <c r="G1019" s="46" t="s">
        <v>834</v>
      </c>
      <c r="H1019" s="46" t="s">
        <v>1298</v>
      </c>
      <c r="I1019" s="46" t="s">
        <v>962</v>
      </c>
      <c r="J1019" s="45">
        <v>44645</v>
      </c>
      <c r="K1019" s="10" t="s">
        <v>1178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1639</v>
      </c>
      <c r="C1020" s="10" t="s">
        <v>47</v>
      </c>
      <c r="D1020" s="46" t="s">
        <v>1036</v>
      </c>
      <c r="E1020" s="47">
        <v>25000</v>
      </c>
      <c r="F1020" s="46" t="s">
        <v>1640</v>
      </c>
      <c r="G1020" s="46" t="s">
        <v>834</v>
      </c>
      <c r="H1020" s="46" t="s">
        <v>86</v>
      </c>
      <c r="I1020" s="46" t="s">
        <v>875</v>
      </c>
      <c r="J1020" s="45">
        <v>44061</v>
      </c>
      <c r="K1020" s="10" t="s">
        <v>1040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1882</v>
      </c>
      <c r="C1021" s="46" t="s">
        <v>47</v>
      </c>
      <c r="D1021" s="33" t="s">
        <v>1027</v>
      </c>
      <c r="E1021" s="98">
        <v>835364.29</v>
      </c>
      <c r="F1021" s="33" t="s">
        <v>1883</v>
      </c>
      <c r="G1021" s="44" t="s">
        <v>834</v>
      </c>
      <c r="H1021" s="44" t="s">
        <v>1298</v>
      </c>
      <c r="I1021" s="44" t="s">
        <v>1001</v>
      </c>
      <c r="J1021" s="44">
        <v>44648</v>
      </c>
      <c r="K1021" s="44" t="s">
        <v>1040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1884</v>
      </c>
      <c r="C1022" s="46" t="s">
        <v>47</v>
      </c>
      <c r="D1022" s="33" t="s">
        <v>1027</v>
      </c>
      <c r="E1022" s="98">
        <v>1652454.72</v>
      </c>
      <c r="F1022" s="33" t="s">
        <v>1883</v>
      </c>
      <c r="G1022" s="44" t="s">
        <v>834</v>
      </c>
      <c r="H1022" s="44" t="s">
        <v>1298</v>
      </c>
      <c r="I1022" s="44" t="s">
        <v>1001</v>
      </c>
      <c r="J1022" s="44">
        <v>44648</v>
      </c>
      <c r="K1022" s="44" t="s">
        <v>1040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1885</v>
      </c>
      <c r="C1023" s="46" t="s">
        <v>47</v>
      </c>
      <c r="D1023" s="33" t="s">
        <v>1036</v>
      </c>
      <c r="E1023" s="98">
        <v>10000</v>
      </c>
      <c r="F1023" s="33" t="s">
        <v>1886</v>
      </c>
      <c r="G1023" s="44" t="s">
        <v>834</v>
      </c>
      <c r="H1023" s="44" t="s">
        <v>1298</v>
      </c>
      <c r="I1023" s="44" t="s">
        <v>1887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1888</v>
      </c>
      <c r="C1024" s="46" t="s">
        <v>47</v>
      </c>
      <c r="D1024" s="33" t="s">
        <v>1027</v>
      </c>
      <c r="E1024" s="98">
        <v>352012.79</v>
      </c>
      <c r="F1024" s="33" t="s">
        <v>1889</v>
      </c>
      <c r="G1024" s="44" t="s">
        <v>903</v>
      </c>
      <c r="H1024" s="44" t="s">
        <v>86</v>
      </c>
      <c r="I1024" s="44" t="s">
        <v>891</v>
      </c>
      <c r="J1024" s="44">
        <v>44186</v>
      </c>
      <c r="K1024" s="44" t="s">
        <v>1053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1890</v>
      </c>
      <c r="C1025" s="46" t="s">
        <v>47</v>
      </c>
      <c r="D1025" s="33" t="s">
        <v>1027</v>
      </c>
      <c r="E1025" s="98">
        <v>130273.59</v>
      </c>
      <c r="F1025" s="33" t="s">
        <v>1891</v>
      </c>
      <c r="G1025" s="44" t="s">
        <v>903</v>
      </c>
      <c r="H1025" s="44" t="s">
        <v>86</v>
      </c>
      <c r="I1025" s="44" t="s">
        <v>848</v>
      </c>
      <c r="J1025" s="44">
        <v>44211</v>
      </c>
      <c r="K1025" s="44" t="s">
        <v>1040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1892</v>
      </c>
      <c r="C1026" s="46" t="s">
        <v>47</v>
      </c>
      <c r="D1026" s="33" t="s">
        <v>1036</v>
      </c>
      <c r="E1026" s="98">
        <v>10000</v>
      </c>
      <c r="F1026" s="33" t="s">
        <v>1893</v>
      </c>
      <c r="G1026" s="44" t="s">
        <v>834</v>
      </c>
      <c r="H1026" s="44" t="s">
        <v>1298</v>
      </c>
      <c r="I1026" s="44" t="s">
        <v>1001</v>
      </c>
      <c r="J1026" s="44">
        <v>44762</v>
      </c>
      <c r="K1026" s="44" t="s">
        <v>1053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1289</v>
      </c>
      <c r="C1027" s="46" t="s">
        <v>47</v>
      </c>
      <c r="D1027" s="33" t="s">
        <v>1027</v>
      </c>
      <c r="E1027" s="98">
        <v>41167.949999999997</v>
      </c>
      <c r="F1027" s="33" t="s">
        <v>1894</v>
      </c>
      <c r="G1027" s="44" t="s">
        <v>903</v>
      </c>
      <c r="H1027" s="44" t="s">
        <v>86</v>
      </c>
      <c r="I1027" s="44" t="s">
        <v>848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1892</v>
      </c>
      <c r="C1028" s="46" t="s">
        <v>47</v>
      </c>
      <c r="D1028" s="33" t="s">
        <v>1036</v>
      </c>
      <c r="E1028" s="98">
        <v>10000</v>
      </c>
      <c r="F1028" s="33" t="s">
        <v>1893</v>
      </c>
      <c r="G1028" s="44" t="s">
        <v>834</v>
      </c>
      <c r="H1028" s="44" t="s">
        <v>1298</v>
      </c>
      <c r="I1028" s="44" t="s">
        <v>1001</v>
      </c>
      <c r="J1028" s="44">
        <v>44762</v>
      </c>
      <c r="K1028" s="44" t="s">
        <v>1053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1895</v>
      </c>
      <c r="C1029" s="46" t="s">
        <v>47</v>
      </c>
      <c r="D1029" s="33" t="s">
        <v>1036</v>
      </c>
      <c r="E1029" s="98">
        <v>4000</v>
      </c>
      <c r="F1029" s="33" t="s">
        <v>1795</v>
      </c>
      <c r="G1029" s="44" t="s">
        <v>834</v>
      </c>
      <c r="H1029" s="44" t="s">
        <v>1298</v>
      </c>
      <c r="I1029" s="44" t="s">
        <v>885</v>
      </c>
      <c r="J1029" s="44">
        <v>44497</v>
      </c>
      <c r="K1029" s="44" t="s">
        <v>1053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1896</v>
      </c>
      <c r="C1030" s="46" t="s">
        <v>47</v>
      </c>
      <c r="D1030" s="33" t="s">
        <v>1027</v>
      </c>
      <c r="E1030" s="98">
        <v>160322.21</v>
      </c>
      <c r="F1030" s="33" t="s">
        <v>1605</v>
      </c>
      <c r="G1030" s="44" t="s">
        <v>834</v>
      </c>
      <c r="H1030" s="44" t="s">
        <v>1298</v>
      </c>
      <c r="I1030" s="44" t="s">
        <v>905</v>
      </c>
      <c r="J1030" s="44">
        <v>44487</v>
      </c>
      <c r="K1030" s="44" t="s">
        <v>1040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1897</v>
      </c>
      <c r="C1031" s="46" t="s">
        <v>47</v>
      </c>
      <c r="D1031" s="33" t="s">
        <v>1036</v>
      </c>
      <c r="E1031" s="98">
        <v>96000</v>
      </c>
      <c r="F1031" s="33" t="s">
        <v>1898</v>
      </c>
      <c r="G1031" s="44" t="s">
        <v>834</v>
      </c>
      <c r="H1031" s="44" t="s">
        <v>1298</v>
      </c>
      <c r="I1031" s="44" t="s">
        <v>869</v>
      </c>
      <c r="J1031" s="44">
        <v>44698</v>
      </c>
      <c r="K1031" s="44" t="s">
        <v>1029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1899</v>
      </c>
      <c r="C1032" s="46" t="s">
        <v>47</v>
      </c>
      <c r="D1032" s="33" t="s">
        <v>1027</v>
      </c>
      <c r="E1032" s="98">
        <v>217697.33</v>
      </c>
      <c r="F1032" s="33" t="s">
        <v>1900</v>
      </c>
      <c r="G1032" s="44" t="s">
        <v>834</v>
      </c>
      <c r="H1032" s="44" t="s">
        <v>1298</v>
      </c>
      <c r="I1032" s="44" t="s">
        <v>905</v>
      </c>
      <c r="J1032" s="44">
        <v>44426</v>
      </c>
      <c r="K1032" s="44" t="s">
        <v>1053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1901</v>
      </c>
      <c r="C1033" s="46" t="s">
        <v>1026</v>
      </c>
      <c r="D1033" s="33" t="s">
        <v>1027</v>
      </c>
      <c r="E1033" s="98">
        <v>865757.17</v>
      </c>
      <c r="F1033" s="33" t="s">
        <v>1902</v>
      </c>
      <c r="G1033" s="44" t="s">
        <v>834</v>
      </c>
      <c r="H1033" s="44" t="s">
        <v>1175</v>
      </c>
      <c r="I1033" s="44" t="s">
        <v>974</v>
      </c>
      <c r="J1033" s="44">
        <v>44263</v>
      </c>
      <c r="K1033" s="44" t="s">
        <v>1178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1903</v>
      </c>
      <c r="C1034" s="46" t="s">
        <v>47</v>
      </c>
      <c r="D1034" s="33" t="s">
        <v>1027</v>
      </c>
      <c r="E1034" s="98">
        <v>662610.46</v>
      </c>
      <c r="F1034" s="33" t="s">
        <v>1904</v>
      </c>
      <c r="G1034" s="44" t="s">
        <v>834</v>
      </c>
      <c r="H1034" s="44" t="s">
        <v>1298</v>
      </c>
      <c r="I1034" s="44" t="s">
        <v>905</v>
      </c>
      <c r="J1034" s="44">
        <v>44517</v>
      </c>
      <c r="K1034" s="33" t="s">
        <v>1437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1905</v>
      </c>
      <c r="C1035" s="46" t="s">
        <v>47</v>
      </c>
      <c r="D1035" s="33" t="s">
        <v>1036</v>
      </c>
      <c r="E1035" s="98">
        <v>17000</v>
      </c>
      <c r="F1035" s="33" t="s">
        <v>1906</v>
      </c>
      <c r="G1035" s="44" t="s">
        <v>903</v>
      </c>
      <c r="H1035" s="44" t="s">
        <v>86</v>
      </c>
      <c r="I1035" s="44" t="s">
        <v>893</v>
      </c>
      <c r="J1035" s="44">
        <v>44147</v>
      </c>
      <c r="K1035" s="44" t="s">
        <v>1029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1809</v>
      </c>
      <c r="C1036" s="46" t="s">
        <v>47</v>
      </c>
      <c r="D1036" s="33" t="s">
        <v>1036</v>
      </c>
      <c r="E1036" s="98">
        <v>20000</v>
      </c>
      <c r="F1036" s="33" t="s">
        <v>1810</v>
      </c>
      <c r="G1036" s="44" t="s">
        <v>903</v>
      </c>
      <c r="H1036" s="44" t="s">
        <v>86</v>
      </c>
      <c r="I1036" s="44" t="s">
        <v>848</v>
      </c>
      <c r="J1036" s="44">
        <v>44138</v>
      </c>
      <c r="K1036" s="44" t="s">
        <v>1053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1639</v>
      </c>
      <c r="C1037" s="46" t="s">
        <v>47</v>
      </c>
      <c r="D1037" s="33" t="s">
        <v>1036</v>
      </c>
      <c r="E1037" s="98">
        <v>25000</v>
      </c>
      <c r="F1037" s="33" t="s">
        <v>1640</v>
      </c>
      <c r="G1037" s="44" t="s">
        <v>834</v>
      </c>
      <c r="H1037" s="44" t="s">
        <v>86</v>
      </c>
      <c r="I1037" s="44" t="s">
        <v>875</v>
      </c>
      <c r="J1037" s="44">
        <v>44061</v>
      </c>
      <c r="K1037" s="44" t="s">
        <v>1040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1907</v>
      </c>
      <c r="C1038" s="46" t="s">
        <v>47</v>
      </c>
      <c r="D1038" s="33" t="s">
        <v>1027</v>
      </c>
      <c r="E1038" s="98">
        <v>384533.87</v>
      </c>
      <c r="F1038" s="33" t="s">
        <v>1908</v>
      </c>
      <c r="G1038" s="44" t="s">
        <v>834</v>
      </c>
      <c r="H1038" s="44" t="s">
        <v>1298</v>
      </c>
      <c r="I1038" s="44" t="s">
        <v>905</v>
      </c>
      <c r="J1038" s="44">
        <v>44421</v>
      </c>
      <c r="K1038" s="44" t="s">
        <v>1053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1657</v>
      </c>
      <c r="C1039" s="46" t="s">
        <v>47</v>
      </c>
      <c r="D1039" s="33" t="s">
        <v>1036</v>
      </c>
      <c r="E1039" s="98">
        <v>30000</v>
      </c>
      <c r="F1039" s="33" t="s">
        <v>1658</v>
      </c>
      <c r="G1039" s="44" t="s">
        <v>834</v>
      </c>
      <c r="H1039" s="44" t="s">
        <v>86</v>
      </c>
      <c r="I1039" s="44" t="s">
        <v>1005</v>
      </c>
      <c r="J1039" s="44">
        <v>44594</v>
      </c>
      <c r="K1039" s="44" t="s">
        <v>1178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1909</v>
      </c>
      <c r="C1040" s="46" t="s">
        <v>47</v>
      </c>
      <c r="D1040" s="33" t="s">
        <v>1061</v>
      </c>
      <c r="E1040" s="98">
        <v>190943.67</v>
      </c>
      <c r="F1040" s="33" t="s">
        <v>1910</v>
      </c>
      <c r="G1040" s="44" t="s">
        <v>829</v>
      </c>
      <c r="H1040" s="44" t="s">
        <v>86</v>
      </c>
      <c r="I1040" s="44" t="s">
        <v>829</v>
      </c>
      <c r="J1040" s="44">
        <v>44361</v>
      </c>
      <c r="K1040" s="44" t="s">
        <v>1053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1911</v>
      </c>
      <c r="C1041" s="46" t="s">
        <v>47</v>
      </c>
      <c r="D1041" s="33" t="s">
        <v>1027</v>
      </c>
      <c r="E1041" s="98">
        <v>32923.57</v>
      </c>
      <c r="F1041" s="33" t="s">
        <v>1912</v>
      </c>
      <c r="G1041" s="44" t="s">
        <v>834</v>
      </c>
      <c r="H1041" s="44" t="s">
        <v>1298</v>
      </c>
      <c r="I1041" s="44" t="s">
        <v>899</v>
      </c>
      <c r="J1041" s="44">
        <v>44623</v>
      </c>
      <c r="K1041" s="33" t="s">
        <v>1913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1892</v>
      </c>
      <c r="C1042" s="46" t="s">
        <v>47</v>
      </c>
      <c r="D1042" s="33" t="s">
        <v>1036</v>
      </c>
      <c r="E1042" s="98">
        <v>10000</v>
      </c>
      <c r="F1042" s="33" t="s">
        <v>1893</v>
      </c>
      <c r="G1042" s="44" t="s">
        <v>834</v>
      </c>
      <c r="H1042" s="44" t="s">
        <v>1298</v>
      </c>
      <c r="I1042" s="44" t="s">
        <v>1001</v>
      </c>
      <c r="J1042" s="44">
        <v>44762</v>
      </c>
      <c r="K1042" s="44" t="s">
        <v>1053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1914</v>
      </c>
      <c r="C1043" s="46" t="s">
        <v>47</v>
      </c>
      <c r="D1043" s="33" t="s">
        <v>1036</v>
      </c>
      <c r="E1043" s="98">
        <v>96196</v>
      </c>
      <c r="F1043" s="33" t="s">
        <v>1915</v>
      </c>
      <c r="G1043" s="44" t="s">
        <v>834</v>
      </c>
      <c r="H1043" s="44" t="s">
        <v>86</v>
      </c>
      <c r="I1043" s="44" t="s">
        <v>842</v>
      </c>
      <c r="J1043" s="44">
        <v>44218</v>
      </c>
      <c r="K1043" s="44" t="s">
        <v>1121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47</v>
      </c>
      <c r="D1044" s="33" t="s">
        <v>1036</v>
      </c>
      <c r="E1044" s="98">
        <v>21000</v>
      </c>
      <c r="F1044" s="33" t="s">
        <v>1863</v>
      </c>
      <c r="G1044" s="44" t="s">
        <v>834</v>
      </c>
      <c r="H1044" s="44" t="s">
        <v>86</v>
      </c>
      <c r="I1044" s="44" t="s">
        <v>989</v>
      </c>
      <c r="J1044" s="44">
        <v>44385</v>
      </c>
      <c r="K1044" s="44" t="s">
        <v>1437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1916</v>
      </c>
      <c r="C1045" s="46" t="s">
        <v>47</v>
      </c>
      <c r="D1045" s="33" t="s">
        <v>1027</v>
      </c>
      <c r="E1045" s="98" t="s">
        <v>647</v>
      </c>
      <c r="F1045" s="33" t="s">
        <v>1917</v>
      </c>
      <c r="G1045" s="44" t="s">
        <v>834</v>
      </c>
      <c r="H1045" s="44" t="s">
        <v>1175</v>
      </c>
      <c r="I1045" s="44" t="s">
        <v>970</v>
      </c>
      <c r="J1045" s="44">
        <v>44824</v>
      </c>
      <c r="K1045" s="44" t="s">
        <v>1029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1918</v>
      </c>
      <c r="C1046" s="46" t="s">
        <v>47</v>
      </c>
      <c r="D1046" s="33" t="s">
        <v>1036</v>
      </c>
      <c r="E1046" s="98">
        <v>60000</v>
      </c>
      <c r="F1046" s="33" t="s">
        <v>1919</v>
      </c>
      <c r="G1046" s="44" t="s">
        <v>834</v>
      </c>
      <c r="H1046" s="44" t="s">
        <v>86</v>
      </c>
      <c r="I1046" s="44" t="s">
        <v>989</v>
      </c>
      <c r="J1046" s="44">
        <v>44652</v>
      </c>
      <c r="K1046" s="44" t="s">
        <v>1178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1885</v>
      </c>
      <c r="C1047" s="46" t="s">
        <v>47</v>
      </c>
      <c r="D1047" s="33" t="s">
        <v>1036</v>
      </c>
      <c r="E1047" s="98">
        <v>18000</v>
      </c>
      <c r="F1047" s="33" t="s">
        <v>1886</v>
      </c>
      <c r="G1047" s="44" t="s">
        <v>834</v>
      </c>
      <c r="H1047" s="44" t="s">
        <v>1298</v>
      </c>
      <c r="I1047" s="44" t="s">
        <v>1887</v>
      </c>
      <c r="J1047" s="44">
        <v>44776</v>
      </c>
      <c r="K1047" s="44" t="s">
        <v>1029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1920</v>
      </c>
      <c r="C1048" s="46" t="s">
        <v>47</v>
      </c>
      <c r="D1048" s="33" t="s">
        <v>1027</v>
      </c>
      <c r="E1048" s="98">
        <v>156696.82</v>
      </c>
      <c r="F1048" s="33" t="s">
        <v>1921</v>
      </c>
      <c r="G1048" s="44" t="s">
        <v>834</v>
      </c>
      <c r="H1048" s="44" t="s">
        <v>1298</v>
      </c>
      <c r="I1048" s="44" t="s">
        <v>905</v>
      </c>
      <c r="J1048" s="44">
        <v>44461</v>
      </c>
      <c r="K1048" s="44" t="s">
        <v>1178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1922</v>
      </c>
      <c r="C1049" s="46" t="s">
        <v>47</v>
      </c>
      <c r="D1049" s="33" t="s">
        <v>1036</v>
      </c>
      <c r="E1049" s="98">
        <v>4800</v>
      </c>
      <c r="F1049" s="33" t="s">
        <v>1923</v>
      </c>
      <c r="G1049" s="44" t="s">
        <v>834</v>
      </c>
      <c r="H1049" s="44" t="s">
        <v>86</v>
      </c>
      <c r="I1049" s="44" t="s">
        <v>1000</v>
      </c>
      <c r="J1049" s="44">
        <v>44819</v>
      </c>
      <c r="K1049" s="44" t="s">
        <v>1053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1922</v>
      </c>
      <c r="C1050" s="46" t="s">
        <v>47</v>
      </c>
      <c r="D1050" s="33" t="s">
        <v>1036</v>
      </c>
      <c r="E1050" s="98">
        <v>7477.76</v>
      </c>
      <c r="F1050" s="33" t="s">
        <v>1923</v>
      </c>
      <c r="G1050" s="44" t="s">
        <v>834</v>
      </c>
      <c r="H1050" s="44" t="s">
        <v>86</v>
      </c>
      <c r="I1050" s="44" t="s">
        <v>1000</v>
      </c>
      <c r="J1050" s="44">
        <v>44819</v>
      </c>
      <c r="K1050" s="44" t="s">
        <v>1053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1924</v>
      </c>
      <c r="C1051" s="46" t="s">
        <v>47</v>
      </c>
      <c r="D1051" s="33" t="s">
        <v>1036</v>
      </c>
      <c r="E1051" s="98">
        <v>199998</v>
      </c>
      <c r="F1051" s="33" t="s">
        <v>1925</v>
      </c>
      <c r="G1051" s="44" t="s">
        <v>834</v>
      </c>
      <c r="H1051" s="44" t="s">
        <v>1298</v>
      </c>
      <c r="I1051" s="44" t="s">
        <v>885</v>
      </c>
      <c r="J1051" s="44">
        <v>44739</v>
      </c>
      <c r="K1051" s="44" t="s">
        <v>1178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1926</v>
      </c>
      <c r="C1052" s="46" t="s">
        <v>47</v>
      </c>
      <c r="D1052" s="33" t="s">
        <v>1027</v>
      </c>
      <c r="E1052" s="98">
        <v>104271.35</v>
      </c>
      <c r="F1052" s="33" t="s">
        <v>1927</v>
      </c>
      <c r="G1052" s="44" t="s">
        <v>834</v>
      </c>
      <c r="H1052" s="44" t="s">
        <v>1298</v>
      </c>
      <c r="I1052" s="44" t="s">
        <v>885</v>
      </c>
      <c r="J1052" s="44">
        <v>44460</v>
      </c>
      <c r="K1052" s="44" t="s">
        <v>1928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1897</v>
      </c>
      <c r="C1053" s="46" t="s">
        <v>47</v>
      </c>
      <c r="D1053" s="33" t="s">
        <v>1036</v>
      </c>
      <c r="E1053" s="98">
        <v>400000</v>
      </c>
      <c r="F1053" s="33" t="s">
        <v>1929</v>
      </c>
      <c r="G1053" s="44" t="s">
        <v>834</v>
      </c>
      <c r="H1053" s="44" t="s">
        <v>1298</v>
      </c>
      <c r="I1053" s="44" t="s">
        <v>869</v>
      </c>
      <c r="J1053" s="44">
        <v>44698</v>
      </c>
      <c r="K1053" s="44" t="s">
        <v>1029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1182</v>
      </c>
      <c r="C1054" s="46" t="s">
        <v>47</v>
      </c>
      <c r="D1054" s="33" t="s">
        <v>1036</v>
      </c>
      <c r="E1054" s="98">
        <v>10000</v>
      </c>
      <c r="F1054" s="33" t="s">
        <v>1183</v>
      </c>
      <c r="G1054" s="44" t="s">
        <v>903</v>
      </c>
      <c r="H1054" s="44" t="s">
        <v>86</v>
      </c>
      <c r="I1054" s="44" t="s">
        <v>911</v>
      </c>
      <c r="J1054" s="44">
        <v>44263</v>
      </c>
      <c r="K1054" s="44" t="s">
        <v>1040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1657</v>
      </c>
      <c r="C1055" s="46" t="s">
        <v>47</v>
      </c>
      <c r="D1055" s="33" t="s">
        <v>1036</v>
      </c>
      <c r="E1055" s="98">
        <v>30000</v>
      </c>
      <c r="F1055" s="33" t="s">
        <v>1658</v>
      </c>
      <c r="G1055" s="44" t="s">
        <v>834</v>
      </c>
      <c r="H1055" s="44" t="s">
        <v>86</v>
      </c>
      <c r="I1055" s="44" t="s">
        <v>1005</v>
      </c>
      <c r="J1055" s="44">
        <v>44594</v>
      </c>
      <c r="K1055" s="44" t="s">
        <v>1178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1930</v>
      </c>
      <c r="C1056" s="46" t="s">
        <v>47</v>
      </c>
      <c r="D1056" s="33" t="s">
        <v>1036</v>
      </c>
      <c r="E1056" s="98">
        <v>10000</v>
      </c>
      <c r="F1056" s="33" t="s">
        <v>1931</v>
      </c>
      <c r="G1056" s="44" t="s">
        <v>903</v>
      </c>
      <c r="H1056" s="44" t="s">
        <v>86</v>
      </c>
      <c r="I1056" s="44" t="s">
        <v>848</v>
      </c>
      <c r="J1056" s="44">
        <v>44217</v>
      </c>
      <c r="K1056" s="44" t="s">
        <v>1040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1932</v>
      </c>
      <c r="C1057" s="46" t="s">
        <v>47</v>
      </c>
      <c r="D1057" s="33" t="s">
        <v>1036</v>
      </c>
      <c r="E1057" s="98">
        <v>2000</v>
      </c>
      <c r="F1057" s="33" t="s">
        <v>1933</v>
      </c>
      <c r="G1057" s="44" t="s">
        <v>903</v>
      </c>
      <c r="H1057" s="44" t="s">
        <v>86</v>
      </c>
      <c r="I1057" s="44" t="s">
        <v>917</v>
      </c>
      <c r="J1057" s="44">
        <v>44421</v>
      </c>
      <c r="K1057" s="44" t="s">
        <v>1040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1897</v>
      </c>
      <c r="C1058" s="46" t="s">
        <v>47</v>
      </c>
      <c r="D1058" s="33" t="s">
        <v>1036</v>
      </c>
      <c r="E1058" s="98">
        <v>122000</v>
      </c>
      <c r="F1058" s="33" t="s">
        <v>1898</v>
      </c>
      <c r="G1058" s="44" t="s">
        <v>834</v>
      </c>
      <c r="H1058" s="44" t="s">
        <v>1298</v>
      </c>
      <c r="I1058" s="44" t="s">
        <v>869</v>
      </c>
      <c r="J1058" s="44">
        <v>44698</v>
      </c>
      <c r="K1058" s="44" t="s">
        <v>1029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1897</v>
      </c>
      <c r="C1059" s="46" t="s">
        <v>47</v>
      </c>
      <c r="D1059" s="33" t="s">
        <v>1036</v>
      </c>
      <c r="E1059" s="98">
        <v>13000</v>
      </c>
      <c r="F1059" s="33" t="s">
        <v>1898</v>
      </c>
      <c r="G1059" s="44" t="s">
        <v>834</v>
      </c>
      <c r="H1059" s="44" t="s">
        <v>1298</v>
      </c>
      <c r="I1059" s="44" t="s">
        <v>869</v>
      </c>
      <c r="J1059" s="44">
        <v>44698</v>
      </c>
      <c r="K1059" s="44" t="s">
        <v>1029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1639</v>
      </c>
      <c r="C1060" s="46" t="s">
        <v>47</v>
      </c>
      <c r="D1060" s="33" t="s">
        <v>1036</v>
      </c>
      <c r="E1060" s="98">
        <v>25000</v>
      </c>
      <c r="F1060" s="33" t="s">
        <v>1640</v>
      </c>
      <c r="G1060" s="44" t="s">
        <v>834</v>
      </c>
      <c r="H1060" s="44" t="s">
        <v>86</v>
      </c>
      <c r="I1060" s="44" t="s">
        <v>875</v>
      </c>
      <c r="J1060" s="44">
        <v>44061</v>
      </c>
      <c r="K1060" s="44" t="s">
        <v>1040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1730</v>
      </c>
      <c r="C1061" s="10" t="s">
        <v>47</v>
      </c>
      <c r="D1061" s="33" t="s">
        <v>1036</v>
      </c>
      <c r="E1061" s="90">
        <v>50000</v>
      </c>
      <c r="F1061" s="10" t="s">
        <v>1731</v>
      </c>
      <c r="G1061" s="33" t="s">
        <v>834</v>
      </c>
      <c r="H1061" s="33" t="s">
        <v>1298</v>
      </c>
      <c r="I1061" s="33" t="s">
        <v>1001</v>
      </c>
      <c r="J1061" s="44">
        <v>44614</v>
      </c>
      <c r="K1061" s="35" t="s">
        <v>1040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1670</v>
      </c>
      <c r="C1062" s="10" t="s">
        <v>47</v>
      </c>
      <c r="D1062" s="46" t="s">
        <v>1036</v>
      </c>
      <c r="E1062" s="47">
        <v>18000</v>
      </c>
      <c r="F1062" s="46" t="s">
        <v>1671</v>
      </c>
      <c r="G1062" s="46" t="s">
        <v>834</v>
      </c>
      <c r="H1062" s="46" t="s">
        <v>1298</v>
      </c>
      <c r="I1062" s="46" t="s">
        <v>1001</v>
      </c>
      <c r="J1062" s="45">
        <v>44609</v>
      </c>
      <c r="K1062" s="10" t="s">
        <v>1053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1934</v>
      </c>
      <c r="C1063" s="10" t="s">
        <v>47</v>
      </c>
      <c r="D1063" s="46" t="s">
        <v>1036</v>
      </c>
      <c r="E1063" s="47">
        <v>50000</v>
      </c>
      <c r="F1063" s="46" t="s">
        <v>1935</v>
      </c>
      <c r="G1063" s="46" t="s">
        <v>834</v>
      </c>
      <c r="H1063" s="46" t="s">
        <v>86</v>
      </c>
      <c r="I1063" s="46" t="s">
        <v>871</v>
      </c>
      <c r="J1063" s="45">
        <v>44831</v>
      </c>
      <c r="K1063" s="44" t="s">
        <v>1121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1936</v>
      </c>
      <c r="C1064" s="33" t="s">
        <v>47</v>
      </c>
      <c r="D1064" s="33" t="s">
        <v>1036</v>
      </c>
      <c r="E1064" s="47">
        <v>10000</v>
      </c>
      <c r="F1064" s="46" t="s">
        <v>1937</v>
      </c>
      <c r="G1064" s="33" t="s">
        <v>834</v>
      </c>
      <c r="H1064" s="33" t="s">
        <v>1298</v>
      </c>
      <c r="I1064" s="33" t="s">
        <v>1887</v>
      </c>
      <c r="J1064" s="44">
        <v>44733</v>
      </c>
      <c r="K1064" s="33" t="s">
        <v>1053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1670</v>
      </c>
      <c r="C1065" s="10" t="s">
        <v>47</v>
      </c>
      <c r="D1065" s="46" t="s">
        <v>1036</v>
      </c>
      <c r="E1065" s="47">
        <v>20000</v>
      </c>
      <c r="F1065" s="46" t="s">
        <v>1671</v>
      </c>
      <c r="G1065" s="46" t="s">
        <v>834</v>
      </c>
      <c r="H1065" s="46" t="s">
        <v>1298</v>
      </c>
      <c r="I1065" s="46" t="s">
        <v>1001</v>
      </c>
      <c r="J1065" s="45">
        <v>44609</v>
      </c>
      <c r="K1065" s="10" t="s">
        <v>1053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47</v>
      </c>
      <c r="D1066" s="33" t="s">
        <v>1036</v>
      </c>
      <c r="E1066" s="90">
        <v>50000</v>
      </c>
      <c r="F1066" s="33" t="s">
        <v>1785</v>
      </c>
      <c r="G1066" s="33" t="s">
        <v>834</v>
      </c>
      <c r="H1066" s="33" t="s">
        <v>1298</v>
      </c>
      <c r="I1066" s="33" t="s">
        <v>962</v>
      </c>
      <c r="J1066" s="44">
        <v>44469</v>
      </c>
      <c r="K1066" s="35" t="s">
        <v>1053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1938</v>
      </c>
      <c r="C1067" s="33" t="s">
        <v>47</v>
      </c>
      <c r="D1067" s="33" t="s">
        <v>1036</v>
      </c>
      <c r="E1067" s="90">
        <v>10000</v>
      </c>
      <c r="F1067" s="33" t="s">
        <v>1939</v>
      </c>
      <c r="G1067" s="33" t="s">
        <v>834</v>
      </c>
      <c r="H1067" s="33" t="s">
        <v>1272</v>
      </c>
      <c r="I1067" s="33" t="s">
        <v>926</v>
      </c>
      <c r="J1067" s="44">
        <v>44260</v>
      </c>
      <c r="K1067" s="33" t="s">
        <v>1029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1940</v>
      </c>
      <c r="C1068" s="33" t="s">
        <v>47</v>
      </c>
      <c r="D1068" s="33" t="s">
        <v>1036</v>
      </c>
      <c r="E1068" s="90">
        <v>4000</v>
      </c>
      <c r="F1068" s="33" t="s">
        <v>1941</v>
      </c>
      <c r="G1068" s="33" t="s">
        <v>834</v>
      </c>
      <c r="H1068" s="33" t="s">
        <v>86</v>
      </c>
      <c r="I1068" s="33" t="s">
        <v>962</v>
      </c>
      <c r="J1068" s="44">
        <v>44749</v>
      </c>
      <c r="K1068" s="33" t="s">
        <v>1178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1820</v>
      </c>
      <c r="C1069" s="10" t="s">
        <v>47</v>
      </c>
      <c r="D1069" s="46" t="s">
        <v>1036</v>
      </c>
      <c r="E1069" s="47">
        <v>30000</v>
      </c>
      <c r="F1069" s="46" t="s">
        <v>1821</v>
      </c>
      <c r="G1069" s="46" t="s">
        <v>834</v>
      </c>
      <c r="H1069" s="46" t="s">
        <v>1298</v>
      </c>
      <c r="I1069" s="46" t="s">
        <v>962</v>
      </c>
      <c r="J1069" s="45">
        <v>44568</v>
      </c>
      <c r="K1069" s="10" t="s">
        <v>1822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47</v>
      </c>
      <c r="D1070" s="33" t="s">
        <v>1036</v>
      </c>
      <c r="E1070" s="90">
        <v>500</v>
      </c>
      <c r="F1070" s="33" t="s">
        <v>1688</v>
      </c>
      <c r="G1070" s="33" t="s">
        <v>834</v>
      </c>
      <c r="H1070" s="33" t="s">
        <v>1298</v>
      </c>
      <c r="I1070" s="33" t="s">
        <v>905</v>
      </c>
      <c r="J1070" s="44">
        <v>44503</v>
      </c>
      <c r="K1070" s="10" t="s">
        <v>1437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1942</v>
      </c>
      <c r="C1071" s="33" t="s">
        <v>47</v>
      </c>
      <c r="D1071" s="33" t="s">
        <v>1036</v>
      </c>
      <c r="E1071" s="90">
        <v>15000</v>
      </c>
      <c r="F1071" s="33" t="s">
        <v>1943</v>
      </c>
      <c r="G1071" s="33" t="s">
        <v>903</v>
      </c>
      <c r="H1071" s="33" t="s">
        <v>86</v>
      </c>
      <c r="I1071" s="33" t="s">
        <v>857</v>
      </c>
      <c r="J1071" s="44">
        <v>44085</v>
      </c>
      <c r="K1071" s="33" t="s">
        <v>1040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1922</v>
      </c>
      <c r="C1072" s="33" t="s">
        <v>47</v>
      </c>
      <c r="D1072" s="33" t="s">
        <v>1036</v>
      </c>
      <c r="E1072" s="90">
        <v>4500</v>
      </c>
      <c r="F1072" s="33" t="s">
        <v>1923</v>
      </c>
      <c r="G1072" s="33" t="s">
        <v>834</v>
      </c>
      <c r="H1072" s="33" t="s">
        <v>86</v>
      </c>
      <c r="I1072" s="33" t="s">
        <v>1000</v>
      </c>
      <c r="J1072" s="44">
        <v>44819</v>
      </c>
      <c r="K1072" s="33" t="s">
        <v>1053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1940</v>
      </c>
      <c r="C1073" s="33" t="s">
        <v>47</v>
      </c>
      <c r="D1073" s="33" t="s">
        <v>1036</v>
      </c>
      <c r="E1073" s="90">
        <v>6500</v>
      </c>
      <c r="F1073" s="33" t="s">
        <v>1941</v>
      </c>
      <c r="G1073" s="33" t="s">
        <v>834</v>
      </c>
      <c r="H1073" s="33" t="s">
        <v>86</v>
      </c>
      <c r="I1073" s="33" t="s">
        <v>962</v>
      </c>
      <c r="J1073" s="44">
        <v>44749</v>
      </c>
      <c r="K1073" s="33" t="s">
        <v>1178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1944</v>
      </c>
      <c r="C1074" s="33" t="s">
        <v>47</v>
      </c>
      <c r="D1074" s="33" t="s">
        <v>1036</v>
      </c>
      <c r="E1074" s="90">
        <v>100000</v>
      </c>
      <c r="F1074" s="33" t="s">
        <v>1945</v>
      </c>
      <c r="G1074" s="33" t="s">
        <v>834</v>
      </c>
      <c r="H1074" s="33" t="s">
        <v>1298</v>
      </c>
      <c r="I1074" s="33" t="s">
        <v>869</v>
      </c>
      <c r="J1074" s="44">
        <v>44790</v>
      </c>
      <c r="K1074" s="33" t="s">
        <v>1053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1657</v>
      </c>
      <c r="C1075" s="33" t="s">
        <v>47</v>
      </c>
      <c r="D1075" s="33" t="s">
        <v>1036</v>
      </c>
      <c r="E1075" s="90">
        <v>30000</v>
      </c>
      <c r="F1075" s="33" t="s">
        <v>1658</v>
      </c>
      <c r="G1075" s="33" t="s">
        <v>834</v>
      </c>
      <c r="H1075" s="33" t="s">
        <v>86</v>
      </c>
      <c r="I1075" s="33" t="s">
        <v>1659</v>
      </c>
      <c r="J1075" s="44">
        <v>44594</v>
      </c>
      <c r="K1075" s="33" t="s">
        <v>1178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1936</v>
      </c>
      <c r="C1076" s="33" t="s">
        <v>47</v>
      </c>
      <c r="D1076" s="33" t="s">
        <v>1036</v>
      </c>
      <c r="E1076" s="90">
        <v>1000</v>
      </c>
      <c r="F1076" s="33" t="s">
        <v>1946</v>
      </c>
      <c r="G1076" s="33" t="s">
        <v>834</v>
      </c>
      <c r="H1076" s="33" t="s">
        <v>1298</v>
      </c>
      <c r="I1076" s="33" t="s">
        <v>1887</v>
      </c>
      <c r="J1076" s="44">
        <v>44733</v>
      </c>
      <c r="K1076" s="33" t="s">
        <v>1053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1947</v>
      </c>
      <c r="C1077" s="33" t="s">
        <v>47</v>
      </c>
      <c r="D1077" s="33" t="s">
        <v>1036</v>
      </c>
      <c r="E1077" s="90">
        <v>60000</v>
      </c>
      <c r="F1077" s="33" t="s">
        <v>1948</v>
      </c>
      <c r="G1077" s="33" t="s">
        <v>834</v>
      </c>
      <c r="H1077" s="33" t="s">
        <v>86</v>
      </c>
      <c r="I1077" s="33" t="s">
        <v>989</v>
      </c>
      <c r="J1077" s="44">
        <v>44802</v>
      </c>
      <c r="K1077" s="33" t="s">
        <v>1178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1845</v>
      </c>
      <c r="C1078" s="33" t="s">
        <v>47</v>
      </c>
      <c r="D1078" s="33" t="s">
        <v>1036</v>
      </c>
      <c r="E1078" s="90">
        <v>8000</v>
      </c>
      <c r="F1078" s="33" t="s">
        <v>1846</v>
      </c>
      <c r="G1078" s="33" t="s">
        <v>834</v>
      </c>
      <c r="H1078" s="33" t="s">
        <v>86</v>
      </c>
      <c r="I1078" s="33" t="s">
        <v>919</v>
      </c>
      <c r="J1078" s="44">
        <v>44393</v>
      </c>
      <c r="K1078" s="33" t="s">
        <v>1121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1949</v>
      </c>
      <c r="C1079" s="33" t="s">
        <v>47</v>
      </c>
      <c r="D1079" s="33" t="s">
        <v>1036</v>
      </c>
      <c r="E1079" s="90">
        <v>6000</v>
      </c>
      <c r="F1079" s="33" t="s">
        <v>1950</v>
      </c>
      <c r="G1079" s="33" t="s">
        <v>834</v>
      </c>
      <c r="H1079" s="33" t="s">
        <v>1298</v>
      </c>
      <c r="I1079" s="33" t="s">
        <v>962</v>
      </c>
      <c r="J1079" s="44">
        <v>44767</v>
      </c>
      <c r="K1079" s="33" t="s">
        <v>1178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1897</v>
      </c>
      <c r="C1080" s="46" t="s">
        <v>47</v>
      </c>
      <c r="D1080" s="33" t="s">
        <v>1036</v>
      </c>
      <c r="E1080" s="98">
        <v>85000</v>
      </c>
      <c r="F1080" s="33" t="s">
        <v>1898</v>
      </c>
      <c r="G1080" s="44" t="s">
        <v>834</v>
      </c>
      <c r="H1080" s="44" t="s">
        <v>1298</v>
      </c>
      <c r="I1080" s="44" t="s">
        <v>869</v>
      </c>
      <c r="J1080" s="44">
        <v>44698</v>
      </c>
      <c r="K1080" s="44" t="s">
        <v>1029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47</v>
      </c>
      <c r="D1081" s="33" t="s">
        <v>1036</v>
      </c>
      <c r="E1081" s="90">
        <v>100000</v>
      </c>
      <c r="F1081" s="33" t="s">
        <v>1785</v>
      </c>
      <c r="G1081" s="33" t="s">
        <v>834</v>
      </c>
      <c r="H1081" s="33" t="s">
        <v>1298</v>
      </c>
      <c r="I1081" s="33" t="s">
        <v>962</v>
      </c>
      <c r="J1081" s="44">
        <v>44469</v>
      </c>
      <c r="K1081" s="35" t="s">
        <v>1053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1951</v>
      </c>
      <c r="C1082" s="33" t="s">
        <v>47</v>
      </c>
      <c r="D1082" s="33" t="s">
        <v>1036</v>
      </c>
      <c r="E1082" s="90">
        <v>5000</v>
      </c>
      <c r="F1082" s="33" t="s">
        <v>1952</v>
      </c>
      <c r="G1082" s="33" t="s">
        <v>903</v>
      </c>
      <c r="H1082" s="33" t="s">
        <v>86</v>
      </c>
      <c r="I1082" s="33" t="s">
        <v>852</v>
      </c>
      <c r="J1082" s="44">
        <v>44231</v>
      </c>
      <c r="K1082" s="33" t="s">
        <v>1029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1639</v>
      </c>
      <c r="C1083" s="46" t="s">
        <v>47</v>
      </c>
      <c r="D1083" s="33" t="s">
        <v>1036</v>
      </c>
      <c r="E1083" s="98">
        <v>20000</v>
      </c>
      <c r="F1083" s="33" t="s">
        <v>1640</v>
      </c>
      <c r="G1083" s="33" t="s">
        <v>834</v>
      </c>
      <c r="H1083" s="33" t="s">
        <v>86</v>
      </c>
      <c r="I1083" s="33" t="s">
        <v>875</v>
      </c>
      <c r="J1083" s="44">
        <v>44061</v>
      </c>
      <c r="K1083" s="33" t="s">
        <v>1040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1953</v>
      </c>
      <c r="C1084" s="33" t="s">
        <v>47</v>
      </c>
      <c r="D1084" s="33" t="s">
        <v>1036</v>
      </c>
      <c r="E1084" s="90">
        <v>10000</v>
      </c>
      <c r="F1084" s="33" t="s">
        <v>1954</v>
      </c>
      <c r="G1084" s="33" t="s">
        <v>834</v>
      </c>
      <c r="H1084" s="33" t="s">
        <v>86</v>
      </c>
      <c r="I1084" s="33" t="s">
        <v>989</v>
      </c>
      <c r="J1084" s="44">
        <v>44644</v>
      </c>
      <c r="K1084" s="33" t="s">
        <v>1178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1955</v>
      </c>
      <c r="C1085" s="33" t="s">
        <v>47</v>
      </c>
      <c r="D1085" s="33" t="s">
        <v>1036</v>
      </c>
      <c r="E1085" s="90">
        <v>18042.73</v>
      </c>
      <c r="F1085" s="33" t="s">
        <v>1956</v>
      </c>
      <c r="G1085" s="33" t="s">
        <v>834</v>
      </c>
      <c r="H1085" s="33" t="s">
        <v>1298</v>
      </c>
      <c r="I1085" s="33" t="s">
        <v>1006</v>
      </c>
      <c r="J1085" s="33" t="s">
        <v>647</v>
      </c>
      <c r="K1085" s="33" t="s">
        <v>1178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1845</v>
      </c>
      <c r="C1086" s="33" t="s">
        <v>47</v>
      </c>
      <c r="D1086" s="33" t="s">
        <v>1036</v>
      </c>
      <c r="E1086" s="90">
        <v>33000</v>
      </c>
      <c r="F1086" s="33" t="s">
        <v>1846</v>
      </c>
      <c r="G1086" s="33" t="s">
        <v>834</v>
      </c>
      <c r="H1086" s="33" t="s">
        <v>86</v>
      </c>
      <c r="I1086" s="33" t="s">
        <v>919</v>
      </c>
      <c r="J1086" s="44">
        <v>44393</v>
      </c>
      <c r="K1086" s="33" t="s">
        <v>1121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1670</v>
      </c>
      <c r="C1087" s="10" t="s">
        <v>47</v>
      </c>
      <c r="D1087" s="46" t="s">
        <v>1036</v>
      </c>
      <c r="E1087" s="47">
        <v>7000</v>
      </c>
      <c r="F1087" s="46" t="s">
        <v>1671</v>
      </c>
      <c r="G1087" s="46" t="s">
        <v>834</v>
      </c>
      <c r="H1087" s="46" t="s">
        <v>1298</v>
      </c>
      <c r="I1087" s="46" t="s">
        <v>1001</v>
      </c>
      <c r="J1087" s="45">
        <v>44609</v>
      </c>
      <c r="K1087" s="10" t="s">
        <v>1053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1670</v>
      </c>
      <c r="C1088" s="10" t="s">
        <v>47</v>
      </c>
      <c r="D1088" s="46" t="s">
        <v>1036</v>
      </c>
      <c r="E1088" s="47">
        <v>7000</v>
      </c>
      <c r="F1088" s="46" t="s">
        <v>1671</v>
      </c>
      <c r="G1088" s="46" t="s">
        <v>834</v>
      </c>
      <c r="H1088" s="46" t="s">
        <v>1298</v>
      </c>
      <c r="I1088" s="46" t="s">
        <v>1001</v>
      </c>
      <c r="J1088" s="45">
        <v>44609</v>
      </c>
      <c r="K1088" s="10" t="s">
        <v>1053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1957</v>
      </c>
      <c r="C1089" s="33" t="s">
        <v>47</v>
      </c>
      <c r="D1089" s="33" t="s">
        <v>1036</v>
      </c>
      <c r="E1089" s="90">
        <v>3000</v>
      </c>
      <c r="F1089" s="33" t="s">
        <v>1958</v>
      </c>
      <c r="G1089" s="33" t="s">
        <v>903</v>
      </c>
      <c r="H1089" s="33" t="s">
        <v>86</v>
      </c>
      <c r="I1089" s="33" t="s">
        <v>1008</v>
      </c>
      <c r="J1089" s="44">
        <v>44840</v>
      </c>
      <c r="K1089" s="33" t="s">
        <v>1178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1820</v>
      </c>
      <c r="C1090" s="10" t="s">
        <v>47</v>
      </c>
      <c r="D1090" s="46" t="s">
        <v>1036</v>
      </c>
      <c r="E1090" s="47">
        <v>300000</v>
      </c>
      <c r="F1090" s="46" t="s">
        <v>1821</v>
      </c>
      <c r="G1090" s="46" t="s">
        <v>834</v>
      </c>
      <c r="H1090" s="46" t="s">
        <v>1298</v>
      </c>
      <c r="I1090" s="46" t="s">
        <v>962</v>
      </c>
      <c r="J1090" s="45">
        <v>44568</v>
      </c>
      <c r="K1090" s="10" t="s">
        <v>1822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1843</v>
      </c>
      <c r="C1091" s="33" t="s">
        <v>47</v>
      </c>
      <c r="D1091" s="33" t="s">
        <v>1036</v>
      </c>
      <c r="E1091" s="90">
        <v>5000</v>
      </c>
      <c r="F1091" s="33" t="s">
        <v>1844</v>
      </c>
      <c r="G1091" s="33" t="s">
        <v>834</v>
      </c>
      <c r="H1091" s="33" t="s">
        <v>86</v>
      </c>
      <c r="I1091" s="33" t="s">
        <v>871</v>
      </c>
      <c r="J1091" s="44">
        <v>44460</v>
      </c>
      <c r="K1091" s="33" t="s">
        <v>1178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1959</v>
      </c>
      <c r="C1092" s="33" t="s">
        <v>47</v>
      </c>
      <c r="D1092" s="33" t="s">
        <v>1036</v>
      </c>
      <c r="E1092" s="90">
        <v>30000</v>
      </c>
      <c r="F1092" s="33" t="s">
        <v>1960</v>
      </c>
      <c r="G1092" s="33" t="s">
        <v>834</v>
      </c>
      <c r="H1092" s="33" t="s">
        <v>1298</v>
      </c>
      <c r="I1092" s="33" t="s">
        <v>848</v>
      </c>
      <c r="J1092" s="44">
        <v>44186</v>
      </c>
      <c r="K1092" s="33" t="s">
        <v>1121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47</v>
      </c>
      <c r="D1093" s="33" t="s">
        <v>1036</v>
      </c>
      <c r="E1093" s="90">
        <v>4386.42</v>
      </c>
      <c r="F1093" s="33" t="s">
        <v>1688</v>
      </c>
      <c r="G1093" s="33" t="s">
        <v>834</v>
      </c>
      <c r="H1093" s="33" t="s">
        <v>1298</v>
      </c>
      <c r="I1093" s="33" t="s">
        <v>905</v>
      </c>
      <c r="J1093" s="44">
        <v>44503</v>
      </c>
      <c r="K1093" s="10" t="s">
        <v>1437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1897</v>
      </c>
      <c r="C1094" s="33" t="s">
        <v>47</v>
      </c>
      <c r="D1094" s="33" t="s">
        <v>1061</v>
      </c>
      <c r="E1094" s="90">
        <v>377183.5</v>
      </c>
      <c r="F1094" s="33" t="s">
        <v>1898</v>
      </c>
      <c r="G1094" s="33" t="s">
        <v>834</v>
      </c>
      <c r="H1094" s="33" t="s">
        <v>1298</v>
      </c>
      <c r="I1094" s="33" t="s">
        <v>869</v>
      </c>
      <c r="J1094" s="44">
        <v>44714</v>
      </c>
      <c r="K1094" s="33" t="s">
        <v>1029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1961</v>
      </c>
      <c r="C1095" s="33" t="s">
        <v>47</v>
      </c>
      <c r="D1095" s="33" t="s">
        <v>1036</v>
      </c>
      <c r="E1095" s="90">
        <v>60000</v>
      </c>
      <c r="F1095" s="33" t="s">
        <v>1962</v>
      </c>
      <c r="G1095" s="33" t="s">
        <v>834</v>
      </c>
      <c r="H1095" s="33" t="s">
        <v>1298</v>
      </c>
      <c r="I1095" s="33" t="s">
        <v>962</v>
      </c>
      <c r="J1095" s="44">
        <v>44714</v>
      </c>
      <c r="K1095" s="33" t="s">
        <v>1053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1730</v>
      </c>
      <c r="C1096" s="10" t="s">
        <v>47</v>
      </c>
      <c r="D1096" s="33" t="s">
        <v>1036</v>
      </c>
      <c r="E1096" s="90">
        <v>15000</v>
      </c>
      <c r="F1096" s="10" t="s">
        <v>1731</v>
      </c>
      <c r="G1096" s="33" t="s">
        <v>834</v>
      </c>
      <c r="H1096" s="33" t="s">
        <v>1298</v>
      </c>
      <c r="I1096" s="33" t="s">
        <v>1001</v>
      </c>
      <c r="J1096" s="44">
        <v>44614</v>
      </c>
      <c r="K1096" s="35" t="s">
        <v>1040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1657</v>
      </c>
      <c r="C1097" s="46" t="s">
        <v>47</v>
      </c>
      <c r="D1097" s="33" t="s">
        <v>1036</v>
      </c>
      <c r="E1097" s="98">
        <v>30000</v>
      </c>
      <c r="F1097" s="33" t="s">
        <v>1658</v>
      </c>
      <c r="G1097" s="44" t="s">
        <v>834</v>
      </c>
      <c r="H1097" s="44" t="s">
        <v>86</v>
      </c>
      <c r="I1097" s="44" t="s">
        <v>1005</v>
      </c>
      <c r="J1097" s="44">
        <v>44594</v>
      </c>
      <c r="K1097" s="44" t="s">
        <v>1178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1961</v>
      </c>
      <c r="C1098" s="33" t="s">
        <v>47</v>
      </c>
      <c r="D1098" s="33" t="s">
        <v>1036</v>
      </c>
      <c r="E1098" s="90">
        <v>60000</v>
      </c>
      <c r="F1098" s="33" t="s">
        <v>1962</v>
      </c>
      <c r="G1098" s="33" t="s">
        <v>834</v>
      </c>
      <c r="H1098" s="33" t="s">
        <v>1298</v>
      </c>
      <c r="I1098" s="33" t="s">
        <v>962</v>
      </c>
      <c r="J1098" s="44">
        <v>44714</v>
      </c>
      <c r="K1098" s="33" t="s">
        <v>1053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1815</v>
      </c>
      <c r="C1099" s="33" t="s">
        <v>47</v>
      </c>
      <c r="D1099" s="33" t="s">
        <v>1036</v>
      </c>
      <c r="E1099" s="90">
        <v>30000</v>
      </c>
      <c r="F1099" s="33" t="s">
        <v>1816</v>
      </c>
      <c r="G1099" s="33" t="s">
        <v>834</v>
      </c>
      <c r="H1099" s="33" t="s">
        <v>1298</v>
      </c>
      <c r="I1099" s="33" t="s">
        <v>899</v>
      </c>
      <c r="J1099" s="44">
        <v>44445</v>
      </c>
      <c r="K1099" s="33" t="s">
        <v>1178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47</v>
      </c>
      <c r="D1100" s="33" t="s">
        <v>1036</v>
      </c>
      <c r="E1100" s="90">
        <v>1620</v>
      </c>
      <c r="F1100" s="33" t="s">
        <v>1923</v>
      </c>
      <c r="G1100" s="33" t="s">
        <v>834</v>
      </c>
      <c r="H1100" s="33" t="s">
        <v>86</v>
      </c>
      <c r="I1100" s="33" t="s">
        <v>1000</v>
      </c>
      <c r="J1100" s="44">
        <v>44819</v>
      </c>
      <c r="K1100" s="33" t="s">
        <v>1053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1947</v>
      </c>
      <c r="C1101" s="33" t="s">
        <v>47</v>
      </c>
      <c r="D1101" s="33" t="s">
        <v>1036</v>
      </c>
      <c r="E1101" s="90">
        <v>80000</v>
      </c>
      <c r="F1101" s="33" t="s">
        <v>1948</v>
      </c>
      <c r="G1101" s="33" t="s">
        <v>834</v>
      </c>
      <c r="H1101" s="33" t="s">
        <v>86</v>
      </c>
      <c r="I1101" s="33" t="s">
        <v>989</v>
      </c>
      <c r="J1101" s="44">
        <v>44802</v>
      </c>
      <c r="K1101" s="33" t="s">
        <v>1178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1959</v>
      </c>
      <c r="C1102" s="33" t="s">
        <v>47</v>
      </c>
      <c r="D1102" s="33" t="s">
        <v>1027</v>
      </c>
      <c r="E1102" s="90">
        <v>159092.51</v>
      </c>
      <c r="F1102" s="33" t="s">
        <v>1960</v>
      </c>
      <c r="G1102" s="33" t="s">
        <v>834</v>
      </c>
      <c r="H1102" s="33" t="s">
        <v>1298</v>
      </c>
      <c r="I1102" s="33" t="s">
        <v>848</v>
      </c>
      <c r="J1102" s="44">
        <v>44186</v>
      </c>
      <c r="K1102" s="33" t="s">
        <v>1121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47</v>
      </c>
      <c r="D1103" s="33" t="s">
        <v>1061</v>
      </c>
      <c r="E1103" s="90">
        <v>101114.41</v>
      </c>
      <c r="F1103" s="33" t="s">
        <v>1963</v>
      </c>
      <c r="G1103" s="33" t="s">
        <v>834</v>
      </c>
      <c r="H1103" s="33" t="s">
        <v>1964</v>
      </c>
      <c r="I1103" s="33" t="s">
        <v>1965</v>
      </c>
      <c r="J1103" s="44">
        <v>44078</v>
      </c>
      <c r="K1103" s="33" t="s">
        <v>1029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1966</v>
      </c>
      <c r="C1104" s="33" t="s">
        <v>47</v>
      </c>
      <c r="D1104" s="33" t="s">
        <v>1027</v>
      </c>
      <c r="E1104" s="90">
        <v>179504.09</v>
      </c>
      <c r="F1104" s="33" t="s">
        <v>1967</v>
      </c>
      <c r="G1104" s="33" t="s">
        <v>903</v>
      </c>
      <c r="H1104" s="33" t="s">
        <v>86</v>
      </c>
      <c r="I1104" s="33" t="s">
        <v>848</v>
      </c>
      <c r="J1104" s="44">
        <v>44246</v>
      </c>
      <c r="K1104" s="33" t="s">
        <v>1040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1968</v>
      </c>
      <c r="C1105" s="33" t="s">
        <v>47</v>
      </c>
      <c r="D1105" s="33" t="s">
        <v>1027</v>
      </c>
      <c r="E1105" s="90" t="s">
        <v>1969</v>
      </c>
      <c r="F1105" s="10" t="s">
        <v>1970</v>
      </c>
      <c r="G1105" s="33" t="s">
        <v>834</v>
      </c>
      <c r="H1105" s="33" t="s">
        <v>1298</v>
      </c>
      <c r="I1105" s="33" t="s">
        <v>885</v>
      </c>
      <c r="J1105" s="44">
        <v>44390</v>
      </c>
      <c r="K1105" s="33" t="s">
        <v>1029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1959</v>
      </c>
      <c r="C1106" s="33" t="s">
        <v>47</v>
      </c>
      <c r="D1106" s="33" t="s">
        <v>1027</v>
      </c>
      <c r="E1106" s="90">
        <v>156195.12</v>
      </c>
      <c r="F1106" s="33" t="s">
        <v>1960</v>
      </c>
      <c r="G1106" s="33" t="s">
        <v>903</v>
      </c>
      <c r="H1106" s="33" t="s">
        <v>86</v>
      </c>
      <c r="I1106" s="33" t="s">
        <v>848</v>
      </c>
      <c r="J1106" s="44">
        <v>44186</v>
      </c>
      <c r="K1106" s="33" t="s">
        <v>1121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1579</v>
      </c>
      <c r="C1107" s="33" t="s">
        <v>47</v>
      </c>
      <c r="D1107" s="33" t="s">
        <v>1027</v>
      </c>
      <c r="E1107" s="90">
        <v>244812.62</v>
      </c>
      <c r="F1107" s="33" t="s">
        <v>1580</v>
      </c>
      <c r="G1107" s="33" t="s">
        <v>903</v>
      </c>
      <c r="H1107" s="33" t="s">
        <v>1298</v>
      </c>
      <c r="I1107" s="33" t="s">
        <v>1965</v>
      </c>
      <c r="J1107" s="44">
        <v>44340</v>
      </c>
      <c r="K1107" s="33" t="s">
        <v>1029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1971</v>
      </c>
      <c r="C1108" s="33" t="s">
        <v>47</v>
      </c>
      <c r="D1108" s="33" t="s">
        <v>1036</v>
      </c>
      <c r="E1108" s="90">
        <v>5000</v>
      </c>
      <c r="F1108" s="33" t="s">
        <v>1972</v>
      </c>
      <c r="G1108" s="33" t="s">
        <v>903</v>
      </c>
      <c r="H1108" s="33" t="s">
        <v>86</v>
      </c>
      <c r="I1108" s="33" t="s">
        <v>852</v>
      </c>
      <c r="J1108" s="44">
        <v>44421</v>
      </c>
      <c r="K1108" s="33" t="s">
        <v>1029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1973</v>
      </c>
      <c r="C1109" s="33" t="s">
        <v>47</v>
      </c>
      <c r="D1109" s="33" t="s">
        <v>1036</v>
      </c>
      <c r="E1109" s="90">
        <v>25000</v>
      </c>
      <c r="F1109" s="33" t="s">
        <v>1974</v>
      </c>
      <c r="G1109" s="33" t="s">
        <v>834</v>
      </c>
      <c r="H1109" s="33" t="s">
        <v>1298</v>
      </c>
      <c r="I1109" s="33" t="s">
        <v>1001</v>
      </c>
      <c r="J1109" s="44">
        <v>44655</v>
      </c>
      <c r="K1109" s="33" t="s">
        <v>1178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1428</v>
      </c>
      <c r="C1110" s="33" t="s">
        <v>1026</v>
      </c>
      <c r="D1110" s="33" t="s">
        <v>1027</v>
      </c>
      <c r="E1110" s="109">
        <v>70026.759999999995</v>
      </c>
      <c r="F1110" s="35" t="s">
        <v>1429</v>
      </c>
      <c r="G1110" s="33" t="s">
        <v>834</v>
      </c>
      <c r="H1110" s="33" t="s">
        <v>1175</v>
      </c>
      <c r="I1110" s="33" t="s">
        <v>974</v>
      </c>
      <c r="J1110" s="43">
        <v>44267</v>
      </c>
      <c r="K1110" s="33" t="s">
        <v>1040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647</v>
      </c>
      <c r="C1111" s="33" t="s">
        <v>1026</v>
      </c>
      <c r="D1111" s="33" t="s">
        <v>1027</v>
      </c>
      <c r="E1111" s="90">
        <v>0</v>
      </c>
      <c r="F1111" s="10" t="s">
        <v>1429</v>
      </c>
      <c r="G1111" s="33" t="s">
        <v>834</v>
      </c>
      <c r="H1111" s="33" t="s">
        <v>1175</v>
      </c>
      <c r="I1111" s="33" t="s">
        <v>974</v>
      </c>
      <c r="J1111" s="33" t="s">
        <v>647</v>
      </c>
      <c r="K1111" s="33" t="s">
        <v>1913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1975</v>
      </c>
      <c r="C1112" s="33" t="s">
        <v>1026</v>
      </c>
      <c r="D1112" s="33" t="s">
        <v>1027</v>
      </c>
      <c r="E1112" s="90" t="s">
        <v>1976</v>
      </c>
      <c r="F1112" s="33" t="s">
        <v>1977</v>
      </c>
      <c r="G1112" s="33" t="s">
        <v>834</v>
      </c>
      <c r="H1112" s="33" t="s">
        <v>1175</v>
      </c>
      <c r="I1112" s="33" t="s">
        <v>974</v>
      </c>
      <c r="J1112" s="44">
        <v>44733</v>
      </c>
      <c r="K1112" s="33" t="s">
        <v>1178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1823</v>
      </c>
      <c r="C1113" s="33" t="s">
        <v>47</v>
      </c>
      <c r="D1113" s="33" t="s">
        <v>1027</v>
      </c>
      <c r="E1113" s="90">
        <v>251143.6</v>
      </c>
      <c r="F1113" s="33" t="s">
        <v>1824</v>
      </c>
      <c r="G1113" s="33" t="s">
        <v>834</v>
      </c>
      <c r="H1113" s="33" t="s">
        <v>1298</v>
      </c>
      <c r="I1113" s="33" t="s">
        <v>885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1670</v>
      </c>
      <c r="C1114" s="10" t="s">
        <v>47</v>
      </c>
      <c r="D1114" s="46" t="s">
        <v>1036</v>
      </c>
      <c r="E1114" s="47">
        <v>10000</v>
      </c>
      <c r="F1114" s="46" t="s">
        <v>1671</v>
      </c>
      <c r="G1114" s="46" t="s">
        <v>834</v>
      </c>
      <c r="H1114" s="46" t="s">
        <v>1298</v>
      </c>
      <c r="I1114" s="46" t="s">
        <v>1001</v>
      </c>
      <c r="J1114" s="45">
        <v>44609</v>
      </c>
      <c r="K1114" s="10" t="s">
        <v>1053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1243</v>
      </c>
      <c r="C1115" s="10" t="s">
        <v>47</v>
      </c>
      <c r="D1115" s="33" t="s">
        <v>1027</v>
      </c>
      <c r="E1115" s="90">
        <v>115969.72</v>
      </c>
      <c r="F1115" s="33" t="s">
        <v>1244</v>
      </c>
      <c r="G1115" s="33" t="s">
        <v>903</v>
      </c>
      <c r="H1115" s="33" t="s">
        <v>86</v>
      </c>
      <c r="I1115" s="33" t="s">
        <v>1978</v>
      </c>
      <c r="J1115" s="44">
        <v>44203</v>
      </c>
      <c r="K1115" s="33" t="s">
        <v>1040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1979</v>
      </c>
      <c r="C1116" s="33" t="s">
        <v>1026</v>
      </c>
      <c r="D1116" s="33" t="s">
        <v>1027</v>
      </c>
      <c r="E1116" s="109">
        <v>6543.8</v>
      </c>
      <c r="F1116" s="33" t="s">
        <v>1980</v>
      </c>
      <c r="G1116" s="33" t="s">
        <v>834</v>
      </c>
      <c r="H1116" s="33" t="s">
        <v>1175</v>
      </c>
      <c r="I1116" s="33" t="s">
        <v>972</v>
      </c>
      <c r="J1116" s="44">
        <v>44263</v>
      </c>
      <c r="K1116" s="33" t="s">
        <v>1121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47</v>
      </c>
      <c r="D1117" s="33" t="s">
        <v>1036</v>
      </c>
      <c r="E1117" s="109">
        <v>3700</v>
      </c>
      <c r="F1117" s="33" t="s">
        <v>1981</v>
      </c>
      <c r="G1117" s="33" t="s">
        <v>834</v>
      </c>
      <c r="H1117" s="33" t="s">
        <v>86</v>
      </c>
      <c r="I1117" s="33" t="s">
        <v>871</v>
      </c>
      <c r="J1117" s="44">
        <v>44460</v>
      </c>
      <c r="K1117" s="33" t="s">
        <v>1178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47</v>
      </c>
      <c r="D1118" s="33" t="s">
        <v>1036</v>
      </c>
      <c r="E1118" s="109">
        <v>250000</v>
      </c>
      <c r="F1118" s="33" t="s">
        <v>1982</v>
      </c>
      <c r="G1118" s="33" t="s">
        <v>903</v>
      </c>
      <c r="H1118" s="33" t="s">
        <v>86</v>
      </c>
      <c r="I1118" s="33" t="s">
        <v>1004</v>
      </c>
      <c r="J1118" s="44">
        <v>44714</v>
      </c>
      <c r="K1118" s="10" t="s">
        <v>1053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47</v>
      </c>
      <c r="D1119" s="33" t="s">
        <v>1036</v>
      </c>
      <c r="E1119" s="109">
        <v>150000</v>
      </c>
      <c r="F1119" s="33" t="s">
        <v>1983</v>
      </c>
      <c r="G1119" s="33" t="s">
        <v>903</v>
      </c>
      <c r="H1119" s="33" t="s">
        <v>86</v>
      </c>
      <c r="I1119" s="33" t="s">
        <v>1004</v>
      </c>
      <c r="J1119" s="44">
        <v>44714</v>
      </c>
      <c r="K1119" s="10" t="s">
        <v>1053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1984</v>
      </c>
      <c r="C1120" s="33" t="s">
        <v>47</v>
      </c>
      <c r="D1120" s="33" t="s">
        <v>1036</v>
      </c>
      <c r="E1120" s="90">
        <v>54000</v>
      </c>
      <c r="F1120" s="33" t="s">
        <v>1237</v>
      </c>
      <c r="G1120" s="33" t="s">
        <v>903</v>
      </c>
      <c r="H1120" s="33" t="s">
        <v>86</v>
      </c>
      <c r="I1120" s="33" t="s">
        <v>893</v>
      </c>
      <c r="J1120" s="44">
        <v>44134</v>
      </c>
      <c r="K1120" s="33" t="s">
        <v>1121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1985</v>
      </c>
      <c r="C1121" s="33" t="s">
        <v>47</v>
      </c>
      <c r="D1121" s="33" t="s">
        <v>1061</v>
      </c>
      <c r="E1121" s="90">
        <v>105535.73</v>
      </c>
      <c r="F1121" s="33" t="s">
        <v>1986</v>
      </c>
      <c r="G1121" s="33" t="s">
        <v>903</v>
      </c>
      <c r="H1121" s="33" t="s">
        <v>86</v>
      </c>
      <c r="I1121" s="33" t="s">
        <v>1003</v>
      </c>
      <c r="J1121" s="44">
        <v>44361</v>
      </c>
      <c r="K1121" s="33" t="s">
        <v>1053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1657</v>
      </c>
      <c r="C1122" s="33" t="s">
        <v>47</v>
      </c>
      <c r="D1122" s="33" t="s">
        <v>1036</v>
      </c>
      <c r="E1122" s="90">
        <v>30000</v>
      </c>
      <c r="F1122" s="33" t="s">
        <v>1658</v>
      </c>
      <c r="G1122" s="44" t="s">
        <v>834</v>
      </c>
      <c r="H1122" s="44" t="s">
        <v>86</v>
      </c>
      <c r="I1122" s="44" t="s">
        <v>1005</v>
      </c>
      <c r="J1122" s="44">
        <v>44594</v>
      </c>
      <c r="K1122" s="44" t="s">
        <v>1178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1845</v>
      </c>
      <c r="C1123" s="33" t="s">
        <v>47</v>
      </c>
      <c r="D1123" s="33" t="s">
        <v>1036</v>
      </c>
      <c r="E1123" s="90">
        <v>11000</v>
      </c>
      <c r="F1123" s="33" t="s">
        <v>1846</v>
      </c>
      <c r="G1123" s="33" t="s">
        <v>834</v>
      </c>
      <c r="H1123" s="33" t="s">
        <v>86</v>
      </c>
      <c r="I1123" s="33" t="s">
        <v>919</v>
      </c>
      <c r="J1123" s="44">
        <v>44393</v>
      </c>
      <c r="K1123" s="33" t="s">
        <v>1121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1987</v>
      </c>
      <c r="C1124" s="33" t="s">
        <v>47</v>
      </c>
      <c r="D1124" s="33" t="s">
        <v>1036</v>
      </c>
      <c r="E1124" s="90">
        <v>12000</v>
      </c>
      <c r="F1124" s="33" t="s">
        <v>1988</v>
      </c>
      <c r="G1124" s="33" t="s">
        <v>834</v>
      </c>
      <c r="H1124" s="33" t="s">
        <v>86</v>
      </c>
      <c r="I1124" s="33" t="s">
        <v>1016</v>
      </c>
      <c r="J1124" s="44">
        <v>44076</v>
      </c>
      <c r="K1124" s="33" t="s">
        <v>1053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1989</v>
      </c>
      <c r="C1125" s="33" t="s">
        <v>47</v>
      </c>
      <c r="D1125" s="33" t="s">
        <v>1036</v>
      </c>
      <c r="E1125" s="90">
        <v>36019.279999999999</v>
      </c>
      <c r="F1125" s="33" t="s">
        <v>1650</v>
      </c>
      <c r="G1125" s="44" t="s">
        <v>834</v>
      </c>
      <c r="H1125" s="44" t="s">
        <v>1298</v>
      </c>
      <c r="I1125" s="44" t="s">
        <v>899</v>
      </c>
      <c r="J1125" s="44">
        <v>44511</v>
      </c>
      <c r="K1125" s="44" t="s">
        <v>1040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1820</v>
      </c>
      <c r="C1126" s="33" t="s">
        <v>47</v>
      </c>
      <c r="D1126" s="33" t="s">
        <v>1036</v>
      </c>
      <c r="E1126" s="90">
        <v>10000</v>
      </c>
      <c r="F1126" s="33" t="s">
        <v>1821</v>
      </c>
      <c r="G1126" s="46" t="s">
        <v>834</v>
      </c>
      <c r="H1126" s="46" t="s">
        <v>1298</v>
      </c>
      <c r="I1126" s="46" t="s">
        <v>962</v>
      </c>
      <c r="J1126" s="45">
        <v>44568</v>
      </c>
      <c r="K1126" s="10" t="s">
        <v>1822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1918</v>
      </c>
      <c r="C1127" s="33" t="s">
        <v>47</v>
      </c>
      <c r="D1127" s="33" t="s">
        <v>1061</v>
      </c>
      <c r="E1127" s="90">
        <v>44803.44</v>
      </c>
      <c r="F1127" s="33" t="s">
        <v>1919</v>
      </c>
      <c r="G1127" s="33" t="s">
        <v>834</v>
      </c>
      <c r="H1127" s="33" t="s">
        <v>86</v>
      </c>
      <c r="I1127" s="33" t="s">
        <v>989</v>
      </c>
      <c r="J1127" s="110">
        <v>44652</v>
      </c>
      <c r="K1127" s="33" t="s">
        <v>1178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1581</v>
      </c>
      <c r="C1128" s="33" t="s">
        <v>47</v>
      </c>
      <c r="D1128" s="33" t="s">
        <v>1061</v>
      </c>
      <c r="E1128" s="90">
        <v>25323.14</v>
      </c>
      <c r="F1128" s="33" t="s">
        <v>1990</v>
      </c>
      <c r="G1128" s="33" t="s">
        <v>834</v>
      </c>
      <c r="H1128" s="33" t="s">
        <v>86</v>
      </c>
      <c r="I1128" s="33" t="s">
        <v>919</v>
      </c>
      <c r="J1128" s="44">
        <v>44399</v>
      </c>
      <c r="K1128" s="33" t="s">
        <v>1040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1949</v>
      </c>
      <c r="C1129" s="33" t="s">
        <v>47</v>
      </c>
      <c r="D1129" s="33" t="s">
        <v>1036</v>
      </c>
      <c r="E1129" s="90">
        <v>5000</v>
      </c>
      <c r="F1129" s="33" t="s">
        <v>1950</v>
      </c>
      <c r="G1129" s="33" t="s">
        <v>834</v>
      </c>
      <c r="H1129" s="33" t="s">
        <v>1298</v>
      </c>
      <c r="I1129" s="33" t="s">
        <v>962</v>
      </c>
      <c r="J1129" s="45">
        <v>44767</v>
      </c>
      <c r="K1129" s="45" t="s">
        <v>1178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1196</v>
      </c>
      <c r="C1130" s="33" t="s">
        <v>47</v>
      </c>
      <c r="D1130" s="33" t="s">
        <v>1027</v>
      </c>
      <c r="E1130" s="90">
        <v>47562.04</v>
      </c>
      <c r="F1130" s="33" t="s">
        <v>1991</v>
      </c>
      <c r="G1130" s="33" t="s">
        <v>834</v>
      </c>
      <c r="H1130" s="33" t="s">
        <v>86</v>
      </c>
      <c r="I1130" s="33" t="s">
        <v>989</v>
      </c>
      <c r="J1130" s="44">
        <v>44089</v>
      </c>
      <c r="K1130" s="33" t="s">
        <v>1178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1992</v>
      </c>
      <c r="C1131" s="33" t="s">
        <v>47</v>
      </c>
      <c r="D1131" s="33" t="s">
        <v>1036</v>
      </c>
      <c r="E1131" s="90">
        <v>39735.11</v>
      </c>
      <c r="F1131" s="46" t="s">
        <v>1705</v>
      </c>
      <c r="G1131" s="46" t="s">
        <v>834</v>
      </c>
      <c r="H1131" s="46" t="s">
        <v>1298</v>
      </c>
      <c r="I1131" s="46" t="s">
        <v>1001</v>
      </c>
      <c r="J1131" s="45">
        <v>44645</v>
      </c>
      <c r="K1131" s="10" t="s">
        <v>1040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1845</v>
      </c>
      <c r="C1132" s="33" t="s">
        <v>47</v>
      </c>
      <c r="D1132" s="33" t="s">
        <v>1036</v>
      </c>
      <c r="E1132" s="90">
        <v>18000</v>
      </c>
      <c r="F1132" s="33" t="s">
        <v>1846</v>
      </c>
      <c r="G1132" s="33" t="s">
        <v>834</v>
      </c>
      <c r="H1132" s="33" t="s">
        <v>86</v>
      </c>
      <c r="I1132" s="33" t="s">
        <v>919</v>
      </c>
      <c r="J1132" s="44">
        <v>44393</v>
      </c>
      <c r="K1132" s="33" t="s">
        <v>1121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1993</v>
      </c>
      <c r="C1133" s="33" t="s">
        <v>132</v>
      </c>
      <c r="D1133" s="33" t="s">
        <v>1036</v>
      </c>
      <c r="E1133" s="90">
        <v>51409.52</v>
      </c>
      <c r="F1133" s="33" t="s">
        <v>1994</v>
      </c>
      <c r="G1133" s="33" t="s">
        <v>834</v>
      </c>
      <c r="H1133" s="33" t="s">
        <v>1298</v>
      </c>
      <c r="I1133" s="33" t="s">
        <v>869</v>
      </c>
      <c r="J1133" s="44">
        <v>44951</v>
      </c>
      <c r="K1133" s="33" t="s">
        <v>1178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1995</v>
      </c>
      <c r="C1134" s="33" t="s">
        <v>132</v>
      </c>
      <c r="D1134" s="33" t="s">
        <v>1036</v>
      </c>
      <c r="E1134" s="90">
        <v>9000</v>
      </c>
      <c r="F1134" s="33" t="s">
        <v>1996</v>
      </c>
      <c r="G1134" s="33" t="s">
        <v>834</v>
      </c>
      <c r="H1134" s="33" t="s">
        <v>86</v>
      </c>
      <c r="I1134" s="33" t="s">
        <v>989</v>
      </c>
      <c r="J1134" s="44">
        <v>44888</v>
      </c>
      <c r="K1134" s="33" t="s">
        <v>1178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1845</v>
      </c>
      <c r="C1135" s="33" t="s">
        <v>47</v>
      </c>
      <c r="D1135" s="33" t="s">
        <v>1036</v>
      </c>
      <c r="E1135" s="90">
        <v>9500</v>
      </c>
      <c r="F1135" s="33" t="s">
        <v>1846</v>
      </c>
      <c r="G1135" s="33" t="s">
        <v>834</v>
      </c>
      <c r="H1135" s="33" t="s">
        <v>86</v>
      </c>
      <c r="I1135" s="33" t="s">
        <v>919</v>
      </c>
      <c r="J1135" s="44">
        <v>44393</v>
      </c>
      <c r="K1135" s="33" t="s">
        <v>1121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1119</v>
      </c>
      <c r="C1136" s="33" t="s">
        <v>1075</v>
      </c>
      <c r="D1136" s="33" t="s">
        <v>1036</v>
      </c>
      <c r="E1136" s="90">
        <v>10000</v>
      </c>
      <c r="F1136" s="33" t="s">
        <v>1997</v>
      </c>
      <c r="G1136" s="33" t="s">
        <v>834</v>
      </c>
      <c r="H1136" s="33" t="s">
        <v>86</v>
      </c>
      <c r="I1136" s="33" t="s">
        <v>919</v>
      </c>
      <c r="J1136" s="44">
        <v>43934</v>
      </c>
      <c r="K1136" s="33" t="s">
        <v>1121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1998</v>
      </c>
      <c r="C1137" s="33" t="s">
        <v>47</v>
      </c>
      <c r="D1137" s="33" t="s">
        <v>1061</v>
      </c>
      <c r="E1137" s="90" t="s">
        <v>1999</v>
      </c>
      <c r="F1137" s="62" t="s">
        <v>2000</v>
      </c>
      <c r="G1137" s="33" t="s">
        <v>834</v>
      </c>
      <c r="H1137" s="33" t="s">
        <v>1298</v>
      </c>
      <c r="I1137" s="33" t="s">
        <v>885</v>
      </c>
      <c r="J1137" s="33" t="s">
        <v>2001</v>
      </c>
      <c r="K1137" s="33" t="s">
        <v>1040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1820</v>
      </c>
      <c r="C1138" s="33" t="s">
        <v>47</v>
      </c>
      <c r="D1138" s="33" t="s">
        <v>1061</v>
      </c>
      <c r="E1138" s="90">
        <v>4119326.59</v>
      </c>
      <c r="F1138" s="33" t="s">
        <v>1821</v>
      </c>
      <c r="G1138" s="46" t="s">
        <v>834</v>
      </c>
      <c r="H1138" s="46" t="s">
        <v>1298</v>
      </c>
      <c r="I1138" s="46" t="s">
        <v>962</v>
      </c>
      <c r="J1138" s="45">
        <v>44568</v>
      </c>
      <c r="K1138" s="10" t="s">
        <v>1822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1239</v>
      </c>
      <c r="C1139" s="33" t="s">
        <v>47</v>
      </c>
      <c r="D1139" s="33" t="s">
        <v>1061</v>
      </c>
      <c r="E1139" s="90">
        <v>97046.39</v>
      </c>
      <c r="F1139" s="35" t="s">
        <v>1240</v>
      </c>
      <c r="G1139" s="33" t="s">
        <v>903</v>
      </c>
      <c r="H1139" s="33" t="s">
        <v>86</v>
      </c>
      <c r="I1139" s="33" t="s">
        <v>911</v>
      </c>
      <c r="J1139" s="44">
        <v>44180</v>
      </c>
      <c r="K1139" s="33" t="s">
        <v>1040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2002</v>
      </c>
      <c r="C1140" s="33" t="s">
        <v>132</v>
      </c>
      <c r="D1140" s="33" t="s">
        <v>1036</v>
      </c>
      <c r="E1140" s="90">
        <v>13092.93</v>
      </c>
      <c r="F1140" s="33" t="s">
        <v>2003</v>
      </c>
      <c r="G1140" s="33" t="s">
        <v>834</v>
      </c>
      <c r="H1140" s="33" t="s">
        <v>1298</v>
      </c>
      <c r="I1140" s="33" t="s">
        <v>885</v>
      </c>
      <c r="J1140" s="110">
        <v>44951</v>
      </c>
      <c r="K1140" s="33" t="s">
        <v>1178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1949</v>
      </c>
      <c r="C1141" s="33" t="s">
        <v>47</v>
      </c>
      <c r="D1141" s="33" t="s">
        <v>1036</v>
      </c>
      <c r="E1141" s="90">
        <v>1000</v>
      </c>
      <c r="F1141" s="33" t="s">
        <v>1950</v>
      </c>
      <c r="G1141" s="33" t="s">
        <v>834</v>
      </c>
      <c r="H1141" s="33" t="s">
        <v>1298</v>
      </c>
      <c r="I1141" s="33" t="s">
        <v>962</v>
      </c>
      <c r="J1141" s="110">
        <v>44767</v>
      </c>
      <c r="K1141" s="33" t="s">
        <v>1178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2A3A6C41-BA6A-4D47-82C2-D683A7F18B26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topLeftCell="G1"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0" customFormat="1">
      <c r="A1" s="163" t="s">
        <v>57</v>
      </c>
      <c r="B1" s="163"/>
      <c r="C1" s="163"/>
      <c r="E1" s="164" t="s">
        <v>2004</v>
      </c>
      <c r="F1" s="164"/>
      <c r="G1" s="164"/>
      <c r="I1" s="164" t="s">
        <v>67</v>
      </c>
      <c r="J1" s="164"/>
      <c r="K1" s="164"/>
      <c r="M1" s="164" t="s">
        <v>226</v>
      </c>
      <c r="N1" s="164"/>
      <c r="O1" s="164"/>
      <c r="Q1" s="164" t="s">
        <v>151</v>
      </c>
      <c r="R1" s="164"/>
      <c r="S1" s="164"/>
      <c r="U1" s="150" t="s">
        <v>2005</v>
      </c>
      <c r="W1" s="150" t="s">
        <v>2006</v>
      </c>
    </row>
    <row r="2" spans="1:23" ht="15">
      <c r="A2" s="143" t="s">
        <v>2007</v>
      </c>
      <c r="B2" s="144" t="s">
        <v>2008</v>
      </c>
      <c r="C2" s="144" t="s">
        <v>2009</v>
      </c>
      <c r="E2" s="143" t="s">
        <v>2007</v>
      </c>
      <c r="F2" s="144" t="s">
        <v>2008</v>
      </c>
      <c r="G2" s="144" t="s">
        <v>2009</v>
      </c>
      <c r="I2" s="143" t="s">
        <v>2007</v>
      </c>
      <c r="J2" s="144" t="s">
        <v>2008</v>
      </c>
      <c r="K2" s="144" t="s">
        <v>2009</v>
      </c>
      <c r="M2" s="143" t="s">
        <v>2007</v>
      </c>
      <c r="N2" s="144" t="s">
        <v>2008</v>
      </c>
      <c r="O2" s="144" t="s">
        <v>2009</v>
      </c>
      <c r="Q2" s="143" t="s">
        <v>2007</v>
      </c>
      <c r="R2" s="144" t="s">
        <v>2008</v>
      </c>
      <c r="S2" s="144" t="s">
        <v>2009</v>
      </c>
      <c r="U2" s="143" t="s">
        <v>2007</v>
      </c>
      <c r="W2" s="143" t="s">
        <v>2007</v>
      </c>
    </row>
    <row r="3" spans="1:23">
      <c r="A3" s="145">
        <v>6.0000000000000001E-3</v>
      </c>
      <c r="B3" s="146">
        <v>1000000</v>
      </c>
      <c r="C3" s="147">
        <v>5000000</v>
      </c>
      <c r="E3" s="145">
        <v>7.0000000000000001E-3</v>
      </c>
      <c r="F3" s="146">
        <v>1000000</v>
      </c>
      <c r="G3" s="147">
        <v>5000000</v>
      </c>
      <c r="I3" s="148">
        <v>0.01</v>
      </c>
      <c r="J3" s="149"/>
      <c r="K3" s="149">
        <v>1000000</v>
      </c>
      <c r="M3" s="148">
        <v>6.0000000000000001E-3</v>
      </c>
      <c r="N3" s="149">
        <v>1000000</v>
      </c>
      <c r="O3" s="149">
        <v>5000000</v>
      </c>
      <c r="Q3" s="148">
        <v>6.0000000000000001E-3</v>
      </c>
      <c r="R3" s="149">
        <v>1000000</v>
      </c>
      <c r="S3" s="149">
        <v>5000000</v>
      </c>
      <c r="U3" s="148">
        <v>3.5000000000000001E-3</v>
      </c>
      <c r="W3" s="148">
        <v>4.0000000000000001E-3</v>
      </c>
    </row>
    <row r="4" spans="1:23">
      <c r="A4" s="145">
        <v>5.0000000000000001E-3</v>
      </c>
      <c r="B4" s="146">
        <v>5000000.01</v>
      </c>
      <c r="C4" s="147">
        <v>10000000</v>
      </c>
      <c r="E4" s="145">
        <v>6.0000000000000001E-3</v>
      </c>
      <c r="F4" s="146">
        <v>5000000.01</v>
      </c>
      <c r="G4" s="147">
        <v>10000000</v>
      </c>
      <c r="I4" s="148">
        <v>8.0000000000000002E-3</v>
      </c>
      <c r="J4" s="149">
        <v>1000000.01</v>
      </c>
      <c r="K4" s="149">
        <v>5000000</v>
      </c>
      <c r="M4" s="148">
        <v>5.0000000000000001E-3</v>
      </c>
      <c r="N4" s="149">
        <v>5000000.01</v>
      </c>
      <c r="O4" s="149">
        <v>10000000</v>
      </c>
      <c r="Q4" s="148">
        <v>4.0000000000000001E-3</v>
      </c>
      <c r="R4" s="149">
        <v>5000000.01</v>
      </c>
      <c r="S4" s="149">
        <v>10000000</v>
      </c>
    </row>
    <row r="5" spans="1:23">
      <c r="A5" s="145">
        <v>4.0000000000000001E-3</v>
      </c>
      <c r="B5" s="146">
        <v>10000000.01</v>
      </c>
      <c r="C5" s="147">
        <v>15000000</v>
      </c>
      <c r="E5" s="145">
        <v>5.0000000000000001E-3</v>
      </c>
      <c r="F5" s="146">
        <v>10000000.01</v>
      </c>
      <c r="G5" s="147">
        <v>15000000</v>
      </c>
      <c r="I5" s="148">
        <v>7.0000000000000001E-3</v>
      </c>
      <c r="J5" s="149">
        <v>5000000.01</v>
      </c>
      <c r="K5" s="149">
        <v>10000000</v>
      </c>
      <c r="M5" s="148">
        <v>4.0000000000000001E-3</v>
      </c>
      <c r="N5" s="149">
        <v>10000000.01</v>
      </c>
      <c r="O5" s="149">
        <v>15000000</v>
      </c>
      <c r="Q5" s="148">
        <v>4.0000000000000001E-3</v>
      </c>
      <c r="R5" s="149">
        <v>10000000.01</v>
      </c>
      <c r="S5" s="149">
        <v>15000000</v>
      </c>
    </row>
    <row r="6" spans="1:23">
      <c r="A6" s="145">
        <v>3.0000000000000001E-3</v>
      </c>
      <c r="B6" s="146">
        <v>15000000.01</v>
      </c>
      <c r="C6" s="147"/>
      <c r="E6" s="145">
        <v>4.0000000000000001E-3</v>
      </c>
      <c r="F6" s="146">
        <v>15000000.01</v>
      </c>
      <c r="G6" s="147">
        <v>30000000</v>
      </c>
      <c r="I6" s="148">
        <v>6.0000000000000001E-3</v>
      </c>
      <c r="J6" s="149">
        <v>10000000.01</v>
      </c>
      <c r="K6" s="149">
        <v>15000000</v>
      </c>
      <c r="M6" s="148">
        <v>3.0000000000000001E-3</v>
      </c>
      <c r="N6" s="149">
        <v>15000000.01</v>
      </c>
      <c r="O6" s="149">
        <v>50000000</v>
      </c>
      <c r="Q6" s="148">
        <v>3.0000000000000001E-3</v>
      </c>
      <c r="R6" s="149">
        <v>15000000.01</v>
      </c>
      <c r="S6" s="149"/>
    </row>
    <row r="7" spans="1:23">
      <c r="E7" s="145">
        <v>3.0000000000000001E-3</v>
      </c>
      <c r="F7" s="146">
        <v>30000000.010000002</v>
      </c>
      <c r="G7" s="147">
        <v>100000000</v>
      </c>
      <c r="I7" s="148">
        <v>5.0000000000000001E-3</v>
      </c>
      <c r="J7" s="149">
        <v>15000000.01</v>
      </c>
      <c r="K7" s="149">
        <v>30000000</v>
      </c>
      <c r="M7" s="148">
        <v>2.8999999999999998E-3</v>
      </c>
      <c r="N7" s="149">
        <v>50000000.009999998</v>
      </c>
      <c r="O7" s="149">
        <v>100000000</v>
      </c>
      <c r="Q7" s="151"/>
      <c r="R7" s="151"/>
      <c r="S7" s="151"/>
    </row>
    <row r="8" spans="1:23">
      <c r="E8" s="145">
        <v>2.8999999999999998E-3</v>
      </c>
      <c r="F8" s="146">
        <v>100000000.01000001</v>
      </c>
      <c r="G8" s="147">
        <v>150000000</v>
      </c>
      <c r="I8" s="148">
        <v>4.0000000000000001E-3</v>
      </c>
      <c r="J8" s="149">
        <v>30000000.010000002</v>
      </c>
      <c r="K8" s="149">
        <v>50000000</v>
      </c>
      <c r="M8" s="148">
        <v>2.8E-3</v>
      </c>
      <c r="N8" s="149">
        <v>100000000.01000001</v>
      </c>
      <c r="O8" s="149">
        <v>150000000</v>
      </c>
      <c r="Q8" s="151"/>
      <c r="R8" s="151"/>
      <c r="S8" s="151"/>
    </row>
    <row r="9" spans="1:23">
      <c r="E9" s="145">
        <v>2.8E-3</v>
      </c>
      <c r="F9" s="146">
        <v>150000000.00999999</v>
      </c>
      <c r="G9" s="147">
        <v>200000000</v>
      </c>
      <c r="I9" s="148">
        <v>3.0000000000000001E-3</v>
      </c>
      <c r="J9" s="149">
        <v>50000000.009999998</v>
      </c>
      <c r="K9" s="149">
        <v>100000000</v>
      </c>
      <c r="M9" s="148">
        <v>2.7000000000000001E-3</v>
      </c>
      <c r="N9" s="149">
        <v>150000000.00999999</v>
      </c>
      <c r="O9" s="149">
        <v>200000000</v>
      </c>
      <c r="Q9" s="151"/>
      <c r="R9" s="151"/>
      <c r="S9" s="151"/>
    </row>
    <row r="10" spans="1:23">
      <c r="E10" s="145">
        <v>2.7000000000000001E-3</v>
      </c>
      <c r="F10" s="146">
        <v>200000000.00999999</v>
      </c>
      <c r="G10" s="147">
        <v>250000000</v>
      </c>
      <c r="I10" s="148">
        <v>2.8999999999999998E-3</v>
      </c>
      <c r="J10" s="149">
        <v>100000000.01000001</v>
      </c>
      <c r="K10" s="149">
        <v>150000000</v>
      </c>
      <c r="M10" s="148">
        <v>2.5999999999999999E-3</v>
      </c>
      <c r="N10" s="149">
        <v>200000000.00999999</v>
      </c>
      <c r="O10" s="149">
        <v>250000000</v>
      </c>
      <c r="Q10" s="151"/>
      <c r="R10" s="151"/>
      <c r="S10" s="151"/>
    </row>
    <row r="11" spans="1:23">
      <c r="E11" s="145">
        <v>2.5999999999999999E-3</v>
      </c>
      <c r="F11" s="146">
        <v>250000000.00999999</v>
      </c>
      <c r="G11" s="147">
        <v>300000000</v>
      </c>
      <c r="I11" s="148">
        <v>2.8E-3</v>
      </c>
      <c r="J11" s="149">
        <v>150000000.00999999</v>
      </c>
      <c r="K11" s="149">
        <v>200000000</v>
      </c>
      <c r="M11" s="148">
        <v>2.5000000000000001E-3</v>
      </c>
      <c r="N11" s="149">
        <v>250000000</v>
      </c>
      <c r="O11" s="149"/>
      <c r="Q11" s="151"/>
      <c r="R11" s="151"/>
      <c r="S11" s="151"/>
    </row>
    <row r="12" spans="1:23">
      <c r="E12" s="145">
        <v>2.5000000000000001E-3</v>
      </c>
      <c r="F12" s="146">
        <v>300000000.00999999</v>
      </c>
      <c r="G12" s="147"/>
      <c r="I12" s="148">
        <v>2.7000000000000001E-3</v>
      </c>
      <c r="J12" s="149">
        <v>200000000.00999999</v>
      </c>
      <c r="K12" s="149">
        <v>250000000</v>
      </c>
      <c r="M12" s="151"/>
      <c r="N12" s="151"/>
      <c r="O12" s="151"/>
      <c r="Q12" s="151"/>
      <c r="R12" s="151"/>
      <c r="S12" s="151"/>
    </row>
    <row r="13" spans="1:23">
      <c r="I13" s="148">
        <v>2.5999999999999999E-3</v>
      </c>
      <c r="J13" s="149">
        <v>250000000.00999999</v>
      </c>
      <c r="K13" s="149">
        <v>300000000</v>
      </c>
      <c r="M13" s="151"/>
      <c r="N13" s="151"/>
      <c r="O13" s="151"/>
      <c r="Q13" s="151"/>
      <c r="R13" s="151"/>
      <c r="S13" s="151"/>
    </row>
    <row r="14" spans="1:23">
      <c r="I14" s="148">
        <v>2.5000000000000001E-3</v>
      </c>
      <c r="J14" s="149">
        <v>300000000.00999999</v>
      </c>
      <c r="K14" s="149"/>
      <c r="M14" s="151"/>
      <c r="N14" s="151"/>
      <c r="O14" s="151"/>
      <c r="Q14" s="151"/>
      <c r="R14" s="151"/>
      <c r="S14" s="151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2026-10-08T19:32:46Z</dcterms:modified>
  <cp:category/>
  <cp:contentStatus/>
</cp:coreProperties>
</file>